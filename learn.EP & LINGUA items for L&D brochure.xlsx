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europarl.sharepoint.com/sites/LD/Shared Documents/General/L&amp;D horizontal projects and files (all sectors)/Reports (EU learn,...)/"/>
    </mc:Choice>
  </mc:AlternateContent>
  <xr:revisionPtr revIDLastSave="0" documentId="8_{4B121F5D-8BCD-4166-9F5C-9DEB613C702B}" xr6:coauthVersionLast="47" xr6:coauthVersionMax="47" xr10:uidLastSave="{00000000-0000-0000-0000-000000000000}"/>
  <bookViews>
    <workbookView xWindow="-103" yWindow="-103" windowWidth="22149" windowHeight="13200" firstSheet="8" activeTab="8" xr2:uid="{00000000-000D-0000-FFFF-FFFF00000000}"/>
  </bookViews>
  <sheets>
    <sheet name="2026-02-03 tidy up" sheetId="3" state="hidden" r:id="rId1"/>
    <sheet name="Brochure item identification" sheetId="1" r:id="rId2"/>
    <sheet name="Brochure Items " sheetId="6" r:id="rId3"/>
    <sheet name="Missing Text" sheetId="7" r:id="rId4"/>
    <sheet name="2026-05-21 update" sheetId="5" r:id="rId5"/>
    <sheet name="2026-06-24 update" sheetId="8" r:id="rId6"/>
    <sheet name="2027-07-14 update" sheetId="9" r:id="rId7"/>
    <sheet name="Analysis" sheetId="4" r:id="rId8"/>
    <sheet name="drop down" sheetId="2" r:id="rId9"/>
  </sheets>
  <definedNames>
    <definedName name="_xlnm._FilterDatabase" localSheetId="2" hidden="1">'Brochure Items '!$A$1:$H$100</definedName>
  </definedNames>
  <calcPr calcId="191028"/>
  <pivotCaches>
    <pivotCache cacheId="561" r:id="rId10"/>
    <pivotCache cacheId="56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M2" i="3" s="1"/>
  <c r="C3" i="3"/>
  <c r="M3" i="3" s="1"/>
  <c r="C4" i="3"/>
  <c r="M4" i="3" s="1"/>
  <c r="C5" i="3"/>
  <c r="M5" i="3" s="1"/>
  <c r="C6" i="3"/>
  <c r="M6" i="3" s="1"/>
  <c r="C7" i="3"/>
  <c r="M7" i="3" s="1"/>
  <c r="C8" i="3"/>
  <c r="M8" i="3" s="1"/>
  <c r="C9" i="3"/>
  <c r="M9" i="3" s="1"/>
  <c r="C10" i="3"/>
  <c r="M10" i="3" s="1"/>
  <c r="C11" i="3"/>
  <c r="M11" i="3" s="1"/>
  <c r="C12" i="3"/>
  <c r="M12" i="3" s="1"/>
  <c r="C13" i="3"/>
  <c r="M13" i="3" s="1"/>
  <c r="C14" i="3"/>
  <c r="M14" i="3" s="1"/>
  <c r="C15" i="3"/>
  <c r="M15" i="3" s="1"/>
  <c r="C16" i="3"/>
  <c r="M16" i="3" s="1"/>
  <c r="C17" i="3"/>
  <c r="M17" i="3" s="1"/>
  <c r="C18" i="3"/>
  <c r="M18" i="3" s="1"/>
  <c r="C19" i="3"/>
  <c r="M19" i="3" s="1"/>
  <c r="C20" i="3"/>
  <c r="M20" i="3" s="1"/>
  <c r="C21" i="3"/>
  <c r="M21" i="3" s="1"/>
  <c r="C22" i="3"/>
  <c r="M22" i="3" s="1"/>
  <c r="C23" i="3"/>
  <c r="M23" i="3" s="1"/>
  <c r="C24" i="3"/>
  <c r="M24" i="3" s="1"/>
  <c r="C25" i="3"/>
  <c r="M25" i="3" s="1"/>
  <c r="C26" i="3"/>
  <c r="M26" i="3" s="1"/>
  <c r="C27" i="3"/>
  <c r="M27" i="3" s="1"/>
  <c r="C28" i="3"/>
  <c r="M28" i="3" s="1"/>
  <c r="C29" i="3"/>
  <c r="M29" i="3" s="1"/>
  <c r="C30" i="3"/>
  <c r="M30" i="3" s="1"/>
  <c r="C31" i="3"/>
  <c r="M31" i="3" s="1"/>
  <c r="C32" i="3"/>
  <c r="M32" i="3" s="1"/>
  <c r="C33" i="3"/>
  <c r="M33" i="3" s="1"/>
  <c r="C34" i="3"/>
  <c r="M34" i="3" s="1"/>
  <c r="C35" i="3"/>
  <c r="M35" i="3" s="1"/>
  <c r="C36" i="3"/>
  <c r="M36" i="3" s="1"/>
  <c r="C37" i="3"/>
  <c r="M37" i="3" s="1"/>
  <c r="C38" i="3"/>
  <c r="M38" i="3" s="1"/>
  <c r="C39" i="3"/>
  <c r="M39" i="3" s="1"/>
  <c r="C40" i="3"/>
  <c r="M40" i="3" s="1"/>
  <c r="C41" i="3"/>
  <c r="M41" i="3" s="1"/>
  <c r="C42" i="3"/>
  <c r="M42" i="3" s="1"/>
  <c r="C43" i="3"/>
  <c r="M43" i="3" s="1"/>
  <c r="C44" i="3"/>
  <c r="M44" i="3" s="1"/>
  <c r="C45" i="3"/>
  <c r="M45" i="3" s="1"/>
  <c r="C46" i="3"/>
  <c r="M46" i="3" s="1"/>
  <c r="C47" i="3"/>
  <c r="M47" i="3" s="1"/>
  <c r="C48" i="3"/>
  <c r="M48" i="3" s="1"/>
  <c r="C49" i="3"/>
  <c r="M49" i="3" s="1"/>
  <c r="C50" i="3"/>
  <c r="M50" i="3" s="1"/>
  <c r="C51" i="3"/>
  <c r="M51" i="3" s="1"/>
  <c r="C52" i="3"/>
  <c r="M52" i="3" s="1"/>
  <c r="C53" i="3"/>
  <c r="M53" i="3" s="1"/>
  <c r="C54" i="3"/>
  <c r="M54" i="3" s="1"/>
  <c r="C55" i="3"/>
  <c r="M55" i="3" s="1"/>
  <c r="C56" i="3"/>
  <c r="M56" i="3" s="1"/>
  <c r="C57" i="3"/>
  <c r="M57" i="3" s="1"/>
  <c r="C58" i="3"/>
  <c r="M58" i="3" s="1"/>
  <c r="C59" i="3"/>
  <c r="M59" i="3" s="1"/>
  <c r="C60" i="3"/>
  <c r="M60" i="3" s="1"/>
  <c r="C61" i="3"/>
  <c r="M61" i="3" s="1"/>
  <c r="C62" i="3"/>
  <c r="M62" i="3" s="1"/>
  <c r="C63" i="3"/>
  <c r="M63" i="3" s="1"/>
  <c r="C64" i="3"/>
  <c r="M64" i="3" s="1"/>
  <c r="C65" i="3"/>
  <c r="M65" i="3" s="1"/>
  <c r="C66" i="3"/>
  <c r="M66" i="3" s="1"/>
  <c r="C67" i="3"/>
  <c r="M67" i="3" s="1"/>
  <c r="C68" i="3"/>
  <c r="M68" i="3" s="1"/>
  <c r="C69" i="3"/>
  <c r="M69" i="3" s="1"/>
  <c r="C70" i="3"/>
  <c r="M70" i="3" s="1"/>
  <c r="C71" i="3"/>
  <c r="M71" i="3" s="1"/>
  <c r="C72" i="3"/>
  <c r="M72" i="3" s="1"/>
  <c r="C73" i="3"/>
  <c r="M73" i="3" s="1"/>
  <c r="C74" i="3"/>
  <c r="M74" i="3" s="1"/>
  <c r="C75" i="3"/>
  <c r="M75" i="3" s="1"/>
  <c r="C76" i="3"/>
  <c r="M76" i="3" s="1"/>
  <c r="C77" i="3"/>
  <c r="M77" i="3" s="1"/>
  <c r="C78" i="3"/>
  <c r="M78" i="3" s="1"/>
  <c r="C79" i="3"/>
  <c r="M79" i="3" s="1"/>
  <c r="C80" i="3"/>
  <c r="M80" i="3" s="1"/>
  <c r="C81" i="3"/>
  <c r="M81" i="3" s="1"/>
  <c r="C82" i="3"/>
  <c r="M82" i="3" s="1"/>
  <c r="C83" i="3"/>
  <c r="M83" i="3" s="1"/>
  <c r="C84" i="3"/>
  <c r="M84" i="3" s="1"/>
  <c r="C85" i="3"/>
  <c r="M85" i="3" s="1"/>
  <c r="C86" i="3"/>
  <c r="M86" i="3" s="1"/>
  <c r="C87" i="3"/>
  <c r="M87" i="3" s="1"/>
  <c r="C88" i="3"/>
  <c r="M88" i="3" s="1"/>
  <c r="C89" i="3"/>
  <c r="M89" i="3" s="1"/>
  <c r="C90" i="3"/>
  <c r="M90" i="3" s="1"/>
  <c r="C91" i="3"/>
  <c r="M91" i="3" s="1"/>
  <c r="C92" i="3"/>
  <c r="M92" i="3" s="1"/>
  <c r="C93" i="3"/>
  <c r="M93" i="3" s="1"/>
  <c r="C94" i="3"/>
  <c r="M94" i="3" s="1"/>
  <c r="C95" i="3"/>
  <c r="M95" i="3" s="1"/>
  <c r="C96" i="3"/>
  <c r="M96" i="3" s="1"/>
  <c r="C97" i="3"/>
  <c r="M97" i="3" s="1"/>
  <c r="C98" i="3"/>
  <c r="M98" i="3" s="1"/>
  <c r="C99" i="3"/>
  <c r="M99" i="3" s="1"/>
  <c r="C100" i="3"/>
  <c r="M100" i="3" s="1"/>
  <c r="C101" i="3"/>
  <c r="M101" i="3" s="1"/>
  <c r="C102" i="3"/>
  <c r="M102" i="3" s="1"/>
  <c r="C103" i="3"/>
  <c r="M103" i="3" s="1"/>
  <c r="C104" i="3"/>
  <c r="M104" i="3" s="1"/>
  <c r="C105" i="3"/>
  <c r="M105" i="3" s="1"/>
  <c r="C106" i="3"/>
  <c r="M106" i="3" s="1"/>
  <c r="C107" i="3"/>
  <c r="M107" i="3" s="1"/>
  <c r="C108" i="3"/>
  <c r="M108" i="3" s="1"/>
  <c r="C109" i="3"/>
  <c r="M109" i="3" s="1"/>
  <c r="C110" i="3"/>
  <c r="M110" i="3" s="1"/>
  <c r="C111" i="3"/>
  <c r="M111" i="3" s="1"/>
  <c r="C112" i="3"/>
  <c r="M112" i="3" s="1"/>
  <c r="C113" i="3"/>
  <c r="M113" i="3" s="1"/>
  <c r="C114" i="3"/>
  <c r="M114" i="3" s="1"/>
  <c r="C115" i="3"/>
  <c r="M115" i="3" s="1"/>
  <c r="C116" i="3"/>
  <c r="M116" i="3" s="1"/>
  <c r="C117" i="3"/>
  <c r="M117" i="3" s="1"/>
  <c r="C118" i="3"/>
  <c r="M118" i="3" s="1"/>
  <c r="C119" i="3"/>
  <c r="M119" i="3" s="1"/>
  <c r="C120" i="3"/>
  <c r="M120" i="3" s="1"/>
  <c r="C121" i="3"/>
  <c r="M121" i="3" s="1"/>
  <c r="C122" i="3"/>
  <c r="M122" i="3" s="1"/>
  <c r="C123" i="3"/>
  <c r="M123" i="3" s="1"/>
  <c r="C124" i="3"/>
  <c r="M124" i="3" s="1"/>
  <c r="C125" i="3"/>
  <c r="M125" i="3" s="1"/>
  <c r="C126" i="3"/>
  <c r="M126" i="3" s="1"/>
  <c r="C127" i="3"/>
  <c r="M127" i="3" s="1"/>
  <c r="C128" i="3"/>
  <c r="M128" i="3" s="1"/>
  <c r="C129" i="3"/>
  <c r="M129" i="3" s="1"/>
  <c r="C130" i="3"/>
  <c r="M130" i="3" s="1"/>
  <c r="C131" i="3"/>
  <c r="M131" i="3" s="1"/>
  <c r="C132" i="3"/>
  <c r="M132" i="3" s="1"/>
  <c r="C133" i="3"/>
  <c r="M133" i="3" s="1"/>
  <c r="C134" i="3"/>
  <c r="M134" i="3" s="1"/>
  <c r="C135" i="3"/>
  <c r="M135" i="3" s="1"/>
  <c r="C136" i="3"/>
  <c r="M136" i="3" s="1"/>
  <c r="C137" i="3"/>
  <c r="M137" i="3" s="1"/>
  <c r="C138" i="3"/>
  <c r="M138" i="3" s="1"/>
  <c r="C139" i="3"/>
  <c r="M139" i="3" s="1"/>
  <c r="C140" i="3"/>
  <c r="M140" i="3" s="1"/>
  <c r="C141" i="3"/>
  <c r="M141" i="3" s="1"/>
  <c r="C142" i="3"/>
  <c r="M142" i="3" s="1"/>
  <c r="C143" i="3"/>
  <c r="M143" i="3" s="1"/>
  <c r="C144" i="3"/>
  <c r="M144" i="3" s="1"/>
  <c r="C145" i="3"/>
  <c r="M145" i="3" s="1"/>
  <c r="C146" i="3"/>
  <c r="M146" i="3" s="1"/>
  <c r="C147" i="3"/>
  <c r="M147" i="3" s="1"/>
  <c r="C148" i="3"/>
  <c r="M148" i="3" s="1"/>
  <c r="C149" i="3"/>
  <c r="M149" i="3" s="1"/>
  <c r="C150" i="3"/>
  <c r="M150" i="3" s="1"/>
  <c r="C151" i="3"/>
  <c r="M151" i="3" s="1"/>
  <c r="C152" i="3"/>
  <c r="M152" i="3" s="1"/>
  <c r="C153" i="3"/>
  <c r="M153" i="3" s="1"/>
  <c r="C154" i="3"/>
  <c r="M154" i="3" s="1"/>
  <c r="C155" i="3"/>
  <c r="M155" i="3" s="1"/>
  <c r="C156" i="3"/>
  <c r="M156" i="3" s="1"/>
  <c r="C157" i="3"/>
  <c r="M157" i="3" s="1"/>
  <c r="C158" i="3"/>
  <c r="M158" i="3" s="1"/>
  <c r="C159" i="3"/>
  <c r="M159" i="3" s="1"/>
  <c r="C160" i="3"/>
  <c r="M160" i="3" s="1"/>
  <c r="C161" i="3"/>
  <c r="M161" i="3" s="1"/>
  <c r="C162" i="3"/>
  <c r="M162" i="3" s="1"/>
  <c r="C163" i="3"/>
  <c r="M163" i="3" s="1"/>
  <c r="C164" i="3"/>
  <c r="M164" i="3" s="1"/>
  <c r="C165" i="3"/>
  <c r="M165" i="3" s="1"/>
  <c r="C166" i="3"/>
  <c r="M166" i="3" s="1"/>
  <c r="C167" i="3"/>
  <c r="M167" i="3" s="1"/>
  <c r="C168" i="3"/>
  <c r="M168" i="3" s="1"/>
  <c r="C169" i="3"/>
  <c r="M169" i="3" s="1"/>
  <c r="C170" i="3"/>
  <c r="M170" i="3" s="1"/>
  <c r="C171" i="3"/>
  <c r="M171" i="3" s="1"/>
  <c r="C172" i="3"/>
  <c r="M172" i="3" s="1"/>
  <c r="C173" i="3"/>
  <c r="M173" i="3" s="1"/>
  <c r="C174" i="3"/>
  <c r="M174" i="3" s="1"/>
  <c r="C175" i="3"/>
  <c r="M175" i="3" s="1"/>
  <c r="C176" i="3"/>
  <c r="M176" i="3" s="1"/>
  <c r="C177" i="3"/>
  <c r="M177" i="3" s="1"/>
  <c r="C178" i="3"/>
  <c r="M178" i="3" s="1"/>
  <c r="C179" i="3"/>
  <c r="M179" i="3" s="1"/>
  <c r="C180" i="3"/>
  <c r="M180" i="3" s="1"/>
  <c r="C181" i="3"/>
  <c r="M181" i="3" s="1"/>
  <c r="C182" i="3"/>
  <c r="M182" i="3" s="1"/>
  <c r="C183" i="3"/>
  <c r="M183" i="3" s="1"/>
  <c r="C184" i="3"/>
  <c r="M184" i="3" s="1"/>
  <c r="C185" i="3"/>
  <c r="M185" i="3" s="1"/>
  <c r="C186" i="3"/>
  <c r="M186" i="3" s="1"/>
  <c r="C187" i="3"/>
  <c r="M187" i="3" s="1"/>
  <c r="C188" i="3"/>
  <c r="M188" i="3" s="1"/>
  <c r="C189" i="3"/>
  <c r="M189" i="3" s="1"/>
  <c r="C190" i="3"/>
  <c r="M190" i="3" s="1"/>
  <c r="C191" i="3"/>
  <c r="M191" i="3" s="1"/>
  <c r="C192" i="3"/>
  <c r="M192" i="3" s="1"/>
  <c r="C193" i="3"/>
  <c r="M193" i="3" s="1"/>
  <c r="C194" i="3"/>
  <c r="M194" i="3" s="1"/>
  <c r="C195" i="3"/>
  <c r="M195" i="3" s="1"/>
  <c r="C196" i="3"/>
  <c r="M196" i="3" s="1"/>
  <c r="C197" i="3"/>
  <c r="M197" i="3" s="1"/>
  <c r="C198" i="3"/>
  <c r="M198" i="3" s="1"/>
  <c r="C199" i="3"/>
  <c r="M199" i="3" s="1"/>
  <c r="C200" i="3"/>
  <c r="M200" i="3" s="1"/>
  <c r="C201" i="3"/>
  <c r="M201" i="3" s="1"/>
  <c r="C202" i="3"/>
  <c r="M202" i="3" s="1"/>
  <c r="C203" i="3"/>
  <c r="M203" i="3" s="1"/>
  <c r="C204" i="3"/>
  <c r="M204" i="3" s="1"/>
  <c r="C205" i="3"/>
  <c r="M205" i="3" s="1"/>
  <c r="C206" i="3"/>
  <c r="M206" i="3" s="1"/>
  <c r="C207" i="3"/>
  <c r="M207" i="3" s="1"/>
  <c r="C208" i="3"/>
  <c r="M208" i="3" s="1"/>
  <c r="C209" i="3"/>
  <c r="M209" i="3" s="1"/>
  <c r="C210" i="3"/>
  <c r="M210" i="3" s="1"/>
  <c r="C211" i="3"/>
  <c r="M211" i="3" s="1"/>
  <c r="C212" i="3"/>
  <c r="M212" i="3" s="1"/>
  <c r="C213" i="3"/>
  <c r="M213" i="3" s="1"/>
  <c r="C214" i="3"/>
  <c r="M214" i="3" s="1"/>
  <c r="C215" i="3"/>
  <c r="M215" i="3" s="1"/>
  <c r="C216" i="3"/>
  <c r="M216" i="3" s="1"/>
  <c r="C217" i="3"/>
  <c r="M217" i="3" s="1"/>
  <c r="C218" i="3"/>
  <c r="M218" i="3" s="1"/>
  <c r="C219" i="3"/>
  <c r="M219" i="3" s="1"/>
  <c r="C220" i="3"/>
  <c r="M220" i="3" s="1"/>
  <c r="C221" i="3"/>
  <c r="M221" i="3" s="1"/>
  <c r="C222" i="3"/>
  <c r="M222" i="3" s="1"/>
  <c r="C223" i="3"/>
  <c r="M223" i="3" s="1"/>
  <c r="C224" i="3"/>
  <c r="M224" i="3" s="1"/>
  <c r="C225" i="3"/>
  <c r="M225" i="3" s="1"/>
  <c r="C226" i="3"/>
  <c r="M226" i="3" s="1"/>
  <c r="C227" i="3"/>
  <c r="M227" i="3" s="1"/>
  <c r="C228" i="3"/>
  <c r="M228" i="3" s="1"/>
  <c r="C229" i="3"/>
  <c r="M229" i="3" s="1"/>
  <c r="C230" i="3"/>
  <c r="M230" i="3" s="1"/>
  <c r="C231" i="3"/>
  <c r="M231" i="3" s="1"/>
  <c r="C232" i="3"/>
  <c r="M232" i="3" s="1"/>
  <c r="C233" i="3"/>
  <c r="M233" i="3" s="1"/>
  <c r="C234" i="3"/>
  <c r="M234" i="3" s="1"/>
  <c r="C235" i="3"/>
  <c r="M235" i="3" s="1"/>
  <c r="C236" i="3"/>
  <c r="M236" i="3" s="1"/>
  <c r="C237" i="3"/>
  <c r="M237" i="3" s="1"/>
  <c r="C238" i="3"/>
  <c r="M238" i="3" s="1"/>
  <c r="C239" i="3"/>
  <c r="M239" i="3" s="1"/>
  <c r="C240" i="3"/>
  <c r="M240" i="3" s="1"/>
  <c r="C241" i="3"/>
  <c r="M241" i="3" s="1"/>
  <c r="C242" i="3"/>
  <c r="M242" i="3" s="1"/>
  <c r="C243" i="3"/>
  <c r="M243" i="3" s="1"/>
  <c r="C244" i="3"/>
  <c r="M244" i="3" s="1"/>
  <c r="C245" i="3"/>
  <c r="M245" i="3" s="1"/>
  <c r="C246" i="3"/>
  <c r="M246" i="3" s="1"/>
  <c r="C247" i="3"/>
  <c r="M247" i="3" s="1"/>
  <c r="C248" i="3"/>
  <c r="M248" i="3" s="1"/>
  <c r="C249" i="3"/>
  <c r="M249" i="3" s="1"/>
  <c r="C250" i="3"/>
  <c r="M250" i="3" s="1"/>
  <c r="C251" i="3"/>
  <c r="M251" i="3" s="1"/>
  <c r="C252" i="3"/>
  <c r="M252" i="3" s="1"/>
  <c r="C253" i="3"/>
  <c r="M253" i="3" s="1"/>
  <c r="C254" i="3"/>
  <c r="M254" i="3" s="1"/>
  <c r="C255" i="3"/>
  <c r="M255" i="3" s="1"/>
  <c r="C256" i="3"/>
  <c r="M256" i="3" s="1"/>
  <c r="C257" i="3"/>
  <c r="M257" i="3" s="1"/>
  <c r="C258" i="3"/>
  <c r="M258" i="3" s="1"/>
  <c r="C259" i="3"/>
  <c r="M259" i="3" s="1"/>
  <c r="C260" i="3"/>
  <c r="M260" i="3" s="1"/>
  <c r="C261" i="3"/>
  <c r="M261" i="3" s="1"/>
  <c r="C262" i="3"/>
  <c r="M262" i="3" s="1"/>
  <c r="C263" i="3"/>
  <c r="M263" i="3" s="1"/>
  <c r="C264" i="3"/>
  <c r="M264" i="3" s="1"/>
  <c r="C265" i="3"/>
  <c r="M265" i="3" s="1"/>
  <c r="C266" i="3"/>
  <c r="M266" i="3" s="1"/>
  <c r="C267" i="3"/>
  <c r="M267" i="3" s="1"/>
  <c r="C268" i="3"/>
  <c r="M268" i="3" s="1"/>
  <c r="C269" i="3"/>
  <c r="M269" i="3" s="1"/>
  <c r="C270" i="3"/>
  <c r="M270" i="3" s="1"/>
  <c r="C271" i="3"/>
  <c r="M271" i="3" s="1"/>
  <c r="C272" i="3"/>
  <c r="M272" i="3" s="1"/>
  <c r="C273" i="3"/>
  <c r="M273" i="3" s="1"/>
  <c r="C274" i="3"/>
  <c r="M274" i="3" s="1"/>
  <c r="C275" i="3"/>
  <c r="M275" i="3" s="1"/>
  <c r="C276" i="3"/>
  <c r="M276" i="3" s="1"/>
  <c r="C277" i="3"/>
  <c r="M277" i="3" s="1"/>
  <c r="C278" i="3"/>
  <c r="M278" i="3" s="1"/>
  <c r="C279" i="3"/>
  <c r="M279" i="3" s="1"/>
  <c r="C280" i="3"/>
  <c r="M280" i="3" s="1"/>
  <c r="C281" i="3"/>
  <c r="M281" i="3" s="1"/>
  <c r="C282" i="3"/>
  <c r="M282" i="3" s="1"/>
  <c r="C283" i="3"/>
  <c r="M283" i="3" s="1"/>
  <c r="C284" i="3"/>
  <c r="M284" i="3" s="1"/>
  <c r="C285" i="3"/>
  <c r="M285" i="3" s="1"/>
  <c r="C286" i="3"/>
  <c r="M286" i="3" s="1"/>
  <c r="C287" i="3"/>
  <c r="M287" i="3" s="1"/>
  <c r="C288" i="3"/>
  <c r="M288" i="3" s="1"/>
  <c r="C289" i="3"/>
  <c r="M289" i="3" s="1"/>
  <c r="C290" i="3"/>
  <c r="M290" i="3" s="1"/>
  <c r="C291" i="3"/>
  <c r="M291" i="3" s="1"/>
  <c r="C292" i="3"/>
  <c r="M292" i="3" s="1"/>
  <c r="C293" i="3"/>
  <c r="M293" i="3" s="1"/>
  <c r="C294" i="3"/>
  <c r="M294" i="3" s="1"/>
  <c r="C295" i="3"/>
  <c r="M295" i="3" s="1"/>
  <c r="C296" i="3"/>
  <c r="M296" i="3" s="1"/>
  <c r="C297" i="3"/>
  <c r="M297" i="3" s="1"/>
  <c r="C298" i="3"/>
  <c r="M298" i="3" s="1"/>
  <c r="C299" i="3"/>
  <c r="M299" i="3" s="1"/>
  <c r="C300" i="3"/>
  <c r="M300" i="3" s="1"/>
  <c r="C301" i="3"/>
  <c r="M301" i="3" s="1"/>
  <c r="C302" i="3"/>
  <c r="M302" i="3" s="1"/>
  <c r="C303" i="3"/>
  <c r="M303" i="3" s="1"/>
  <c r="C304" i="3"/>
  <c r="M304" i="3" s="1"/>
  <c r="C305" i="3"/>
  <c r="M305" i="3" s="1"/>
  <c r="C306" i="3"/>
  <c r="M306" i="3" s="1"/>
  <c r="C307" i="3"/>
  <c r="M307" i="3" s="1"/>
  <c r="C308" i="3"/>
  <c r="M308" i="3" s="1"/>
  <c r="C309" i="3"/>
  <c r="M309" i="3" s="1"/>
  <c r="C310" i="3"/>
  <c r="M310" i="3" s="1"/>
  <c r="C311" i="3"/>
  <c r="M311" i="3" s="1"/>
  <c r="C312" i="3"/>
  <c r="M312" i="3" s="1"/>
  <c r="C313" i="3"/>
  <c r="M313" i="3" s="1"/>
  <c r="C314" i="3"/>
  <c r="M314" i="3" s="1"/>
  <c r="C315" i="3"/>
  <c r="M315" i="3" s="1"/>
  <c r="C316" i="3"/>
  <c r="M316" i="3" s="1"/>
  <c r="C317" i="3"/>
  <c r="M317" i="3" s="1"/>
  <c r="C318" i="3"/>
  <c r="M318" i="3" s="1"/>
  <c r="C319" i="3"/>
  <c r="M319" i="3" s="1"/>
  <c r="C320" i="3"/>
  <c r="M320" i="3" s="1"/>
  <c r="C321" i="3"/>
  <c r="M321" i="3" s="1"/>
  <c r="C322" i="3"/>
  <c r="M322" i="3" s="1"/>
  <c r="C323" i="3"/>
  <c r="M323" i="3" s="1"/>
  <c r="C324" i="3"/>
  <c r="M324" i="3" s="1"/>
  <c r="C325" i="3"/>
  <c r="M325" i="3" s="1"/>
  <c r="C326" i="3"/>
  <c r="M326" i="3" s="1"/>
  <c r="C327" i="3"/>
  <c r="M327" i="3" s="1"/>
  <c r="C328" i="3"/>
  <c r="M328" i="3" s="1"/>
  <c r="C329" i="3"/>
  <c r="M329" i="3" s="1"/>
  <c r="C330" i="3"/>
  <c r="M330" i="3" s="1"/>
  <c r="C331" i="3"/>
  <c r="M331" i="3" s="1"/>
  <c r="C332" i="3"/>
  <c r="M332" i="3" s="1"/>
  <c r="C333" i="3"/>
  <c r="M333" i="3" s="1"/>
  <c r="C334" i="3"/>
  <c r="M334" i="3" s="1"/>
  <c r="C335" i="3"/>
  <c r="M335" i="3" s="1"/>
  <c r="C336" i="3"/>
  <c r="M336" i="3" s="1"/>
  <c r="C337" i="3"/>
  <c r="M337" i="3" s="1"/>
  <c r="C338" i="3"/>
  <c r="M338" i="3" s="1"/>
  <c r="C339" i="3"/>
  <c r="M339" i="3" s="1"/>
  <c r="C340" i="3"/>
  <c r="M340" i="3" s="1"/>
  <c r="C341" i="3"/>
  <c r="M341" i="3" s="1"/>
  <c r="C342" i="3"/>
  <c r="M342" i="3" s="1"/>
  <c r="C343" i="3"/>
  <c r="M343" i="3" s="1"/>
  <c r="C344" i="3"/>
  <c r="M344" i="3" s="1"/>
  <c r="C345" i="3"/>
  <c r="M345" i="3" s="1"/>
  <c r="C346" i="3"/>
  <c r="M346" i="3" s="1"/>
  <c r="C347" i="3"/>
  <c r="M347" i="3" s="1"/>
  <c r="C348" i="3"/>
  <c r="M348" i="3" s="1"/>
  <c r="C349" i="3"/>
  <c r="M349" i="3" s="1"/>
  <c r="C350" i="3"/>
  <c r="M350" i="3" s="1"/>
  <c r="C351" i="3"/>
  <c r="M351" i="3" s="1"/>
  <c r="C352" i="3"/>
  <c r="M352" i="3" s="1"/>
  <c r="C353" i="3"/>
  <c r="M353" i="3" s="1"/>
  <c r="C354" i="3"/>
  <c r="M354" i="3" s="1"/>
  <c r="C355" i="3"/>
  <c r="M355" i="3" s="1"/>
  <c r="C356" i="3"/>
  <c r="M356" i="3" s="1"/>
  <c r="C357" i="3"/>
  <c r="M357" i="3" s="1"/>
  <c r="C358" i="3"/>
  <c r="M358" i="3" s="1"/>
  <c r="C359" i="3"/>
  <c r="M359" i="3" s="1"/>
  <c r="C360" i="3"/>
  <c r="M360" i="3" s="1"/>
  <c r="C361" i="3"/>
  <c r="M361" i="3" s="1"/>
  <c r="C362" i="3"/>
  <c r="M362" i="3" s="1"/>
  <c r="C363" i="3"/>
  <c r="M363" i="3" s="1"/>
  <c r="C364" i="3"/>
  <c r="M364" i="3" s="1"/>
  <c r="C365" i="3"/>
  <c r="M365" i="3" s="1"/>
  <c r="C366" i="3"/>
  <c r="M366" i="3" s="1"/>
  <c r="C367" i="3"/>
  <c r="M367" i="3" s="1"/>
  <c r="C368" i="3"/>
  <c r="M368" i="3" s="1"/>
  <c r="C369" i="3"/>
  <c r="M369" i="3" s="1"/>
  <c r="C370" i="3"/>
  <c r="M370" i="3" s="1"/>
  <c r="C371" i="3"/>
  <c r="M371" i="3" s="1"/>
  <c r="C372" i="3"/>
  <c r="M372" i="3" s="1"/>
  <c r="C373" i="3"/>
  <c r="M373" i="3" s="1"/>
  <c r="C374" i="3"/>
  <c r="M374" i="3" s="1"/>
  <c r="C375" i="3"/>
  <c r="M375" i="3" s="1"/>
  <c r="C376" i="3"/>
  <c r="M376" i="3" s="1"/>
  <c r="C377" i="3"/>
  <c r="M377" i="3" s="1"/>
  <c r="C378" i="3"/>
  <c r="M378" i="3" s="1"/>
  <c r="C379" i="3"/>
  <c r="M379" i="3" s="1"/>
  <c r="C380" i="3"/>
  <c r="M380" i="3" s="1"/>
  <c r="C381" i="3"/>
  <c r="M381" i="3" s="1"/>
  <c r="C382" i="3"/>
  <c r="M382" i="3" s="1"/>
  <c r="C383" i="3"/>
  <c r="M383" i="3" s="1"/>
  <c r="C384" i="3"/>
  <c r="M384" i="3" s="1"/>
  <c r="C385" i="3"/>
  <c r="M385" i="3" s="1"/>
  <c r="C386" i="3"/>
  <c r="M386" i="3" s="1"/>
  <c r="C387" i="3"/>
  <c r="M387" i="3" s="1"/>
  <c r="C388" i="3"/>
  <c r="M388" i="3" s="1"/>
  <c r="C389" i="3"/>
  <c r="M389" i="3" s="1"/>
  <c r="C390" i="3"/>
  <c r="M390" i="3" s="1"/>
  <c r="C391" i="3"/>
  <c r="M391" i="3" s="1"/>
  <c r="C392" i="3"/>
  <c r="M392" i="3" s="1"/>
  <c r="C393" i="3"/>
  <c r="M393" i="3" s="1"/>
  <c r="C394" i="3"/>
  <c r="M394" i="3" s="1"/>
  <c r="C395" i="3"/>
  <c r="M395" i="3" s="1"/>
  <c r="C396" i="3"/>
  <c r="M396" i="3" s="1"/>
  <c r="C397" i="3"/>
  <c r="M397" i="3" s="1"/>
  <c r="C398" i="3"/>
  <c r="M398" i="3" s="1"/>
  <c r="C399" i="3"/>
  <c r="M399" i="3" s="1"/>
  <c r="C400" i="3"/>
  <c r="M400" i="3" s="1"/>
  <c r="C401" i="3"/>
  <c r="M401" i="3" s="1"/>
  <c r="C402" i="3"/>
  <c r="M402" i="3" s="1"/>
  <c r="C403" i="3"/>
  <c r="M403" i="3" s="1"/>
  <c r="C404" i="3"/>
  <c r="M404" i="3" s="1"/>
  <c r="C405" i="3"/>
  <c r="M405" i="3" s="1"/>
  <c r="C406" i="3"/>
  <c r="M406" i="3" s="1"/>
  <c r="C407" i="3"/>
  <c r="M407" i="3" s="1"/>
  <c r="C408" i="3"/>
  <c r="M408" i="3" s="1"/>
  <c r="C409" i="3"/>
  <c r="M409" i="3" s="1"/>
  <c r="C410" i="3"/>
  <c r="M410" i="3" s="1"/>
  <c r="C411" i="3"/>
  <c r="M411" i="3" s="1"/>
  <c r="C412" i="3"/>
  <c r="M412" i="3" s="1"/>
  <c r="C413" i="3"/>
  <c r="M413" i="3" s="1"/>
  <c r="C414" i="3"/>
  <c r="M414" i="3" s="1"/>
  <c r="C415" i="3"/>
  <c r="M415" i="3" s="1"/>
  <c r="C416" i="3"/>
  <c r="M416" i="3" s="1"/>
  <c r="C417" i="3"/>
  <c r="M417" i="3" s="1"/>
  <c r="C418" i="3"/>
  <c r="M418" i="3" s="1"/>
  <c r="C419" i="3"/>
  <c r="M419" i="3" s="1"/>
  <c r="C420" i="3"/>
  <c r="M420" i="3" s="1"/>
  <c r="C421" i="3"/>
  <c r="M421" i="3" s="1"/>
  <c r="C422" i="3"/>
  <c r="M422" i="3" s="1"/>
  <c r="C423" i="3"/>
  <c r="M423" i="3" s="1"/>
  <c r="C424" i="3"/>
  <c r="M424" i="3" s="1"/>
  <c r="C425" i="3"/>
  <c r="M425" i="3" s="1"/>
  <c r="C426" i="3"/>
  <c r="M426" i="3" s="1"/>
  <c r="C427" i="3"/>
  <c r="M427" i="3" s="1"/>
  <c r="C428" i="3"/>
  <c r="M428" i="3" s="1"/>
  <c r="C429" i="3"/>
  <c r="M429" i="3" s="1"/>
  <c r="C430" i="3"/>
  <c r="M430" i="3" s="1"/>
  <c r="C431" i="3"/>
  <c r="M431" i="3" s="1"/>
  <c r="C432" i="3"/>
  <c r="M432" i="3" s="1"/>
  <c r="C433" i="3"/>
  <c r="M433" i="3" s="1"/>
  <c r="C434" i="3"/>
  <c r="M434" i="3" s="1"/>
  <c r="C435" i="3"/>
  <c r="M435" i="3" s="1"/>
  <c r="C436" i="3"/>
  <c r="M436" i="3" s="1"/>
  <c r="C437" i="3"/>
  <c r="M437" i="3" s="1"/>
  <c r="C438" i="3"/>
  <c r="M438" i="3" s="1"/>
  <c r="C439" i="3"/>
  <c r="M439" i="3" s="1"/>
  <c r="C440" i="3"/>
  <c r="M440" i="3" s="1"/>
  <c r="C441" i="3"/>
  <c r="M441" i="3" s="1"/>
  <c r="C442" i="3"/>
  <c r="M442" i="3" s="1"/>
  <c r="C443" i="3"/>
  <c r="M443" i="3" s="1"/>
  <c r="C444" i="3"/>
  <c r="M444" i="3" s="1"/>
  <c r="C445" i="3"/>
  <c r="M445" i="3" s="1"/>
  <c r="C446" i="3"/>
  <c r="M446" i="3" s="1"/>
  <c r="C447" i="3"/>
  <c r="M447" i="3" s="1"/>
  <c r="C448" i="3"/>
  <c r="M448" i="3" s="1"/>
  <c r="C449" i="3"/>
  <c r="M449" i="3" s="1"/>
  <c r="C450" i="3"/>
  <c r="M450" i="3" s="1"/>
  <c r="C451" i="3"/>
  <c r="M451" i="3" s="1"/>
  <c r="C452" i="3"/>
  <c r="M452" i="3" s="1"/>
  <c r="C453" i="3"/>
  <c r="M453" i="3" s="1"/>
  <c r="C454" i="3"/>
  <c r="M454" i="3" s="1"/>
  <c r="C455" i="3"/>
  <c r="M455" i="3" s="1"/>
  <c r="C456" i="3"/>
  <c r="M456" i="3" s="1"/>
  <c r="C457" i="3"/>
  <c r="M457" i="3" s="1"/>
  <c r="C458" i="3"/>
  <c r="M458" i="3" s="1"/>
  <c r="C459" i="3"/>
  <c r="M459" i="3" s="1"/>
  <c r="C460" i="3"/>
  <c r="M460" i="3" s="1"/>
  <c r="C461" i="3"/>
  <c r="M461" i="3" s="1"/>
  <c r="C462" i="3"/>
  <c r="M462" i="3" s="1"/>
  <c r="C463" i="3"/>
  <c r="M463" i="3" s="1"/>
  <c r="C464" i="3"/>
  <c r="M464" i="3" s="1"/>
  <c r="C465" i="3"/>
  <c r="M465" i="3" s="1"/>
  <c r="C466" i="3"/>
  <c r="M466" i="3" s="1"/>
  <c r="C467" i="3"/>
  <c r="M467" i="3" s="1"/>
  <c r="C468" i="3"/>
  <c r="M468" i="3" s="1"/>
  <c r="C469" i="3"/>
  <c r="M469" i="3" s="1"/>
  <c r="C470" i="3"/>
  <c r="M470" i="3" s="1"/>
  <c r="C471" i="3"/>
  <c r="M471" i="3" s="1"/>
  <c r="C472" i="3"/>
  <c r="M472" i="3" s="1"/>
  <c r="C473" i="3"/>
  <c r="M473" i="3" s="1"/>
  <c r="C474" i="3"/>
  <c r="M474" i="3" s="1"/>
  <c r="C475" i="3"/>
  <c r="M475" i="3" s="1"/>
  <c r="C476" i="3"/>
  <c r="M476" i="3" s="1"/>
  <c r="C477" i="3"/>
  <c r="M477" i="3" s="1"/>
  <c r="C478" i="3"/>
  <c r="M478" i="3" s="1"/>
  <c r="C479" i="3"/>
  <c r="M479" i="3" s="1"/>
  <c r="C480" i="3"/>
  <c r="M480" i="3" s="1"/>
  <c r="C481" i="3"/>
  <c r="M481" i="3" s="1"/>
  <c r="C482" i="3"/>
  <c r="M482" i="3" s="1"/>
  <c r="C483" i="3"/>
  <c r="M483" i="3" s="1"/>
  <c r="C484" i="3"/>
  <c r="M484" i="3" s="1"/>
  <c r="C485" i="3"/>
  <c r="M485" i="3" s="1"/>
  <c r="C486" i="3"/>
  <c r="M486" i="3" s="1"/>
  <c r="C487" i="3"/>
  <c r="M487" i="3" s="1"/>
  <c r="C488" i="3"/>
  <c r="M488" i="3" s="1"/>
  <c r="C489" i="3"/>
  <c r="M489" i="3" s="1"/>
  <c r="C490" i="3"/>
  <c r="M490" i="3" s="1"/>
  <c r="C491" i="3"/>
  <c r="M491" i="3" s="1"/>
  <c r="C492" i="3"/>
  <c r="M492" i="3" s="1"/>
  <c r="C493" i="3"/>
  <c r="M493" i="3" s="1"/>
  <c r="C494" i="3"/>
  <c r="M494" i="3" s="1"/>
  <c r="C495" i="3"/>
  <c r="M495" i="3" s="1"/>
  <c r="C496" i="3"/>
  <c r="M496" i="3" s="1"/>
  <c r="C497" i="3"/>
  <c r="M497" i="3" s="1"/>
  <c r="C498" i="3"/>
  <c r="M498" i="3" s="1"/>
  <c r="C499" i="3"/>
  <c r="M499" i="3" s="1"/>
  <c r="C500" i="3"/>
  <c r="M500" i="3" s="1"/>
  <c r="C501" i="3"/>
  <c r="M501" i="3" s="1"/>
  <c r="C502" i="3"/>
  <c r="M502" i="3" s="1"/>
  <c r="C503" i="3"/>
  <c r="M503" i="3" s="1"/>
  <c r="C504" i="3"/>
  <c r="M504" i="3" s="1"/>
  <c r="C505" i="3"/>
  <c r="M505" i="3" s="1"/>
  <c r="C506" i="3"/>
  <c r="M506" i="3" s="1"/>
  <c r="C507" i="3"/>
  <c r="M507" i="3" s="1"/>
  <c r="C508" i="3"/>
  <c r="M508" i="3" s="1"/>
  <c r="C509" i="3"/>
  <c r="M509" i="3" s="1"/>
  <c r="C510" i="3"/>
  <c r="M510" i="3" s="1"/>
  <c r="C511" i="3"/>
  <c r="M511" i="3" s="1"/>
  <c r="C512" i="3"/>
  <c r="M512" i="3" s="1"/>
  <c r="C513" i="3"/>
  <c r="M513" i="3" s="1"/>
  <c r="C514" i="3"/>
  <c r="M514" i="3" s="1"/>
  <c r="C515" i="3"/>
  <c r="M515" i="3" s="1"/>
  <c r="C516" i="3"/>
  <c r="M516" i="3" s="1"/>
  <c r="C517" i="3"/>
  <c r="M517" i="3" s="1"/>
  <c r="C518" i="3"/>
  <c r="M518" i="3" s="1"/>
  <c r="C519" i="3"/>
  <c r="M519" i="3" s="1"/>
  <c r="C520" i="3"/>
  <c r="M520" i="3" s="1"/>
  <c r="C521" i="3"/>
  <c r="M521" i="3" s="1"/>
  <c r="C522" i="3"/>
  <c r="M522" i="3" s="1"/>
  <c r="C523" i="3"/>
  <c r="M523" i="3" s="1"/>
  <c r="C524" i="3"/>
  <c r="M524" i="3" s="1"/>
  <c r="C525" i="3"/>
  <c r="M525" i="3" s="1"/>
  <c r="C526" i="3"/>
  <c r="M526" i="3" s="1"/>
  <c r="C527" i="3"/>
  <c r="M527" i="3" s="1"/>
  <c r="C528" i="3"/>
  <c r="M528" i="3" s="1"/>
  <c r="C529" i="3"/>
  <c r="M529" i="3" s="1"/>
  <c r="C530" i="3"/>
  <c r="M530" i="3" s="1"/>
  <c r="C531" i="3"/>
  <c r="M531" i="3" s="1"/>
  <c r="C532" i="3"/>
  <c r="M532" i="3" s="1"/>
  <c r="C533" i="3"/>
  <c r="M533" i="3" s="1"/>
  <c r="C534" i="3"/>
  <c r="M534" i="3" s="1"/>
  <c r="B414" i="3"/>
  <c r="L414" i="3" s="1"/>
  <c r="B530" i="3"/>
  <c r="L530" i="3" s="1"/>
  <c r="B2" i="3"/>
  <c r="B3" i="3"/>
  <c r="L3" i="3" s="1"/>
  <c r="B4" i="3"/>
  <c r="L4" i="3" s="1"/>
  <c r="B5" i="3"/>
  <c r="L5" i="3" s="1"/>
  <c r="B6" i="3"/>
  <c r="L6" i="3" s="1"/>
  <c r="B7" i="3"/>
  <c r="L7" i="3" s="1"/>
  <c r="B8" i="3"/>
  <c r="L8" i="3" s="1"/>
  <c r="B9" i="3"/>
  <c r="L9" i="3" s="1"/>
  <c r="B10" i="3"/>
  <c r="L10" i="3" s="1"/>
  <c r="B11" i="3"/>
  <c r="L11" i="3" s="1"/>
  <c r="B12" i="3"/>
  <c r="L12" i="3" s="1"/>
  <c r="B13" i="3"/>
  <c r="L13" i="3" s="1"/>
  <c r="B14" i="3"/>
  <c r="L14" i="3" s="1"/>
  <c r="B15" i="3"/>
  <c r="L15" i="3" s="1"/>
  <c r="B16" i="3"/>
  <c r="L16" i="3" s="1"/>
  <c r="B17" i="3"/>
  <c r="L17" i="3" s="1"/>
  <c r="B18" i="3"/>
  <c r="L18" i="3" s="1"/>
  <c r="B19" i="3"/>
  <c r="L19" i="3" s="1"/>
  <c r="B20" i="3"/>
  <c r="L20" i="3" s="1"/>
  <c r="B21" i="3"/>
  <c r="L21" i="3" s="1"/>
  <c r="B22" i="3"/>
  <c r="L22" i="3" s="1"/>
  <c r="B23" i="3"/>
  <c r="L23" i="3" s="1"/>
  <c r="B24" i="3"/>
  <c r="L24" i="3" s="1"/>
  <c r="B25" i="3"/>
  <c r="L25" i="3" s="1"/>
  <c r="B26" i="3"/>
  <c r="L26" i="3" s="1"/>
  <c r="B27" i="3"/>
  <c r="L27" i="3" s="1"/>
  <c r="B28" i="3"/>
  <c r="L28" i="3" s="1"/>
  <c r="B29" i="3"/>
  <c r="L29" i="3" s="1"/>
  <c r="B30" i="3"/>
  <c r="L30" i="3" s="1"/>
  <c r="B31" i="3"/>
  <c r="L31" i="3" s="1"/>
  <c r="B32" i="3"/>
  <c r="L32" i="3" s="1"/>
  <c r="B33" i="3"/>
  <c r="L33" i="3" s="1"/>
  <c r="B34" i="3"/>
  <c r="L34" i="3" s="1"/>
  <c r="B35" i="3"/>
  <c r="L35" i="3" s="1"/>
  <c r="B36" i="3"/>
  <c r="L36" i="3" s="1"/>
  <c r="B37" i="3"/>
  <c r="L37" i="3" s="1"/>
  <c r="B38" i="3"/>
  <c r="L38" i="3" s="1"/>
  <c r="B39" i="3"/>
  <c r="L39" i="3" s="1"/>
  <c r="B40" i="3"/>
  <c r="L40" i="3" s="1"/>
  <c r="B41" i="3"/>
  <c r="L41" i="3" s="1"/>
  <c r="B42" i="3"/>
  <c r="L42" i="3" s="1"/>
  <c r="B43" i="3"/>
  <c r="L43" i="3" s="1"/>
  <c r="B44" i="3"/>
  <c r="L44" i="3" s="1"/>
  <c r="B45" i="3"/>
  <c r="L45" i="3" s="1"/>
  <c r="B46" i="3"/>
  <c r="L46" i="3" s="1"/>
  <c r="B47" i="3"/>
  <c r="L47" i="3" s="1"/>
  <c r="B48" i="3"/>
  <c r="L48" i="3" s="1"/>
  <c r="B49" i="3"/>
  <c r="L49" i="3" s="1"/>
  <c r="B50" i="3"/>
  <c r="L50" i="3" s="1"/>
  <c r="B51" i="3"/>
  <c r="L51" i="3" s="1"/>
  <c r="B52" i="3"/>
  <c r="L52" i="3" s="1"/>
  <c r="B53" i="3"/>
  <c r="L53" i="3" s="1"/>
  <c r="B54" i="3"/>
  <c r="L54" i="3" s="1"/>
  <c r="B55" i="3"/>
  <c r="L55" i="3" s="1"/>
  <c r="B56" i="3"/>
  <c r="L56" i="3" s="1"/>
  <c r="B57" i="3"/>
  <c r="L57" i="3" s="1"/>
  <c r="B58" i="3"/>
  <c r="L58" i="3" s="1"/>
  <c r="B59" i="3"/>
  <c r="L59" i="3" s="1"/>
  <c r="B60" i="3"/>
  <c r="L60" i="3" s="1"/>
  <c r="B61" i="3"/>
  <c r="L61" i="3" s="1"/>
  <c r="B62" i="3"/>
  <c r="L62" i="3" s="1"/>
  <c r="B63" i="3"/>
  <c r="L63" i="3" s="1"/>
  <c r="B64" i="3"/>
  <c r="L64" i="3" s="1"/>
  <c r="B65" i="3"/>
  <c r="L65" i="3" s="1"/>
  <c r="B66" i="3"/>
  <c r="L66" i="3" s="1"/>
  <c r="B67" i="3"/>
  <c r="L67" i="3" s="1"/>
  <c r="B68" i="3"/>
  <c r="L68" i="3" s="1"/>
  <c r="B69" i="3"/>
  <c r="L69" i="3" s="1"/>
  <c r="B70" i="3"/>
  <c r="L70" i="3" s="1"/>
  <c r="B71" i="3"/>
  <c r="L71" i="3" s="1"/>
  <c r="B72" i="3"/>
  <c r="L72" i="3" s="1"/>
  <c r="B73" i="3"/>
  <c r="L73" i="3" s="1"/>
  <c r="B74" i="3"/>
  <c r="L74" i="3" s="1"/>
  <c r="B75" i="3"/>
  <c r="L75" i="3" s="1"/>
  <c r="B76" i="3"/>
  <c r="L76" i="3" s="1"/>
  <c r="B77" i="3"/>
  <c r="L77" i="3" s="1"/>
  <c r="B78" i="3"/>
  <c r="L78" i="3" s="1"/>
  <c r="B79" i="3"/>
  <c r="L79" i="3" s="1"/>
  <c r="B80" i="3"/>
  <c r="L80" i="3" s="1"/>
  <c r="B81" i="3"/>
  <c r="L81" i="3" s="1"/>
  <c r="B82" i="3"/>
  <c r="L82" i="3" s="1"/>
  <c r="B83" i="3"/>
  <c r="L83" i="3" s="1"/>
  <c r="B84" i="3"/>
  <c r="L84" i="3" s="1"/>
  <c r="B85" i="3"/>
  <c r="L85" i="3" s="1"/>
  <c r="B86" i="3"/>
  <c r="L86" i="3" s="1"/>
  <c r="B87" i="3"/>
  <c r="L87" i="3" s="1"/>
  <c r="B88" i="3"/>
  <c r="L88" i="3" s="1"/>
  <c r="B89" i="3"/>
  <c r="L89" i="3" s="1"/>
  <c r="B90" i="3"/>
  <c r="L90" i="3" s="1"/>
  <c r="B91" i="3"/>
  <c r="L91" i="3" s="1"/>
  <c r="B92" i="3"/>
  <c r="L92" i="3" s="1"/>
  <c r="B93" i="3"/>
  <c r="L93" i="3" s="1"/>
  <c r="B94" i="3"/>
  <c r="L94" i="3" s="1"/>
  <c r="B95" i="3"/>
  <c r="L95" i="3" s="1"/>
  <c r="B96" i="3"/>
  <c r="L96" i="3" s="1"/>
  <c r="B97" i="3"/>
  <c r="L97" i="3" s="1"/>
  <c r="B98" i="3"/>
  <c r="L98" i="3" s="1"/>
  <c r="B99" i="3"/>
  <c r="L99" i="3" s="1"/>
  <c r="B100" i="3"/>
  <c r="L100" i="3" s="1"/>
  <c r="B101" i="3"/>
  <c r="L101" i="3" s="1"/>
  <c r="B102" i="3"/>
  <c r="L102" i="3" s="1"/>
  <c r="B103" i="3"/>
  <c r="L103" i="3" s="1"/>
  <c r="B104" i="3"/>
  <c r="L104" i="3" s="1"/>
  <c r="B105" i="3"/>
  <c r="L105" i="3" s="1"/>
  <c r="B106" i="3"/>
  <c r="L106" i="3" s="1"/>
  <c r="B107" i="3"/>
  <c r="L107" i="3" s="1"/>
  <c r="B108" i="3"/>
  <c r="L108" i="3" s="1"/>
  <c r="B109" i="3"/>
  <c r="L109" i="3" s="1"/>
  <c r="B110" i="3"/>
  <c r="L110" i="3" s="1"/>
  <c r="B111" i="3"/>
  <c r="L111" i="3" s="1"/>
  <c r="B112" i="3"/>
  <c r="L112" i="3" s="1"/>
  <c r="B113" i="3"/>
  <c r="L113" i="3" s="1"/>
  <c r="B114" i="3"/>
  <c r="L114" i="3" s="1"/>
  <c r="B115" i="3"/>
  <c r="L115" i="3" s="1"/>
  <c r="B116" i="3"/>
  <c r="L116" i="3" s="1"/>
  <c r="B117" i="3"/>
  <c r="L117" i="3" s="1"/>
  <c r="B118" i="3"/>
  <c r="L118" i="3" s="1"/>
  <c r="B119" i="3"/>
  <c r="L119" i="3" s="1"/>
  <c r="B120" i="3"/>
  <c r="L120" i="3" s="1"/>
  <c r="B121" i="3"/>
  <c r="L121" i="3" s="1"/>
  <c r="B122" i="3"/>
  <c r="L122" i="3" s="1"/>
  <c r="B123" i="3"/>
  <c r="L123" i="3" s="1"/>
  <c r="B124" i="3"/>
  <c r="L124" i="3" s="1"/>
  <c r="B125" i="3"/>
  <c r="L125" i="3" s="1"/>
  <c r="B126" i="3"/>
  <c r="L126" i="3" s="1"/>
  <c r="B127" i="3"/>
  <c r="L127" i="3" s="1"/>
  <c r="B128" i="3"/>
  <c r="L128" i="3" s="1"/>
  <c r="B129" i="3"/>
  <c r="L129" i="3" s="1"/>
  <c r="B130" i="3"/>
  <c r="L130" i="3" s="1"/>
  <c r="B131" i="3"/>
  <c r="L131" i="3" s="1"/>
  <c r="B132" i="3"/>
  <c r="L132" i="3" s="1"/>
  <c r="B133" i="3"/>
  <c r="L133" i="3" s="1"/>
  <c r="B134" i="3"/>
  <c r="L134" i="3" s="1"/>
  <c r="B135" i="3"/>
  <c r="L135" i="3" s="1"/>
  <c r="B136" i="3"/>
  <c r="L136" i="3" s="1"/>
  <c r="B137" i="3"/>
  <c r="L137" i="3" s="1"/>
  <c r="B138" i="3"/>
  <c r="L138" i="3" s="1"/>
  <c r="B139" i="3"/>
  <c r="L139" i="3" s="1"/>
  <c r="B140" i="3"/>
  <c r="L140" i="3" s="1"/>
  <c r="B141" i="3"/>
  <c r="L141" i="3" s="1"/>
  <c r="B142" i="3"/>
  <c r="L142" i="3" s="1"/>
  <c r="B143" i="3"/>
  <c r="L143" i="3" s="1"/>
  <c r="B144" i="3"/>
  <c r="L144" i="3" s="1"/>
  <c r="B145" i="3"/>
  <c r="L145" i="3" s="1"/>
  <c r="B146" i="3"/>
  <c r="L146" i="3" s="1"/>
  <c r="B147" i="3"/>
  <c r="L147" i="3" s="1"/>
  <c r="B148" i="3"/>
  <c r="L148" i="3" s="1"/>
  <c r="B149" i="3"/>
  <c r="L149" i="3" s="1"/>
  <c r="B150" i="3"/>
  <c r="L150" i="3" s="1"/>
  <c r="B151" i="3"/>
  <c r="L151" i="3" s="1"/>
  <c r="B152" i="3"/>
  <c r="L152" i="3" s="1"/>
  <c r="B153" i="3"/>
  <c r="L153" i="3" s="1"/>
  <c r="B154" i="3"/>
  <c r="L154" i="3" s="1"/>
  <c r="B155" i="3"/>
  <c r="L155" i="3" s="1"/>
  <c r="B156" i="3"/>
  <c r="L156" i="3" s="1"/>
  <c r="B157" i="3"/>
  <c r="L157" i="3" s="1"/>
  <c r="B158" i="3"/>
  <c r="L158" i="3" s="1"/>
  <c r="B159" i="3"/>
  <c r="L159" i="3" s="1"/>
  <c r="B160" i="3"/>
  <c r="L160" i="3" s="1"/>
  <c r="B161" i="3"/>
  <c r="L161" i="3" s="1"/>
  <c r="B162" i="3"/>
  <c r="L162" i="3" s="1"/>
  <c r="B163" i="3"/>
  <c r="L163" i="3" s="1"/>
  <c r="B164" i="3"/>
  <c r="L164" i="3" s="1"/>
  <c r="B165" i="3"/>
  <c r="L165" i="3" s="1"/>
  <c r="B166" i="3"/>
  <c r="L166" i="3" s="1"/>
  <c r="B167" i="3"/>
  <c r="L167" i="3" s="1"/>
  <c r="B168" i="3"/>
  <c r="L168" i="3" s="1"/>
  <c r="B169" i="3"/>
  <c r="L169" i="3" s="1"/>
  <c r="B170" i="3"/>
  <c r="L170" i="3" s="1"/>
  <c r="B171" i="3"/>
  <c r="L171" i="3" s="1"/>
  <c r="B172" i="3"/>
  <c r="L172" i="3" s="1"/>
  <c r="B173" i="3"/>
  <c r="L173" i="3" s="1"/>
  <c r="B174" i="3"/>
  <c r="L174" i="3" s="1"/>
  <c r="B175" i="3"/>
  <c r="L175" i="3" s="1"/>
  <c r="B176" i="3"/>
  <c r="L176" i="3" s="1"/>
  <c r="B177" i="3"/>
  <c r="L177" i="3" s="1"/>
  <c r="B178" i="3"/>
  <c r="L178" i="3" s="1"/>
  <c r="B179" i="3"/>
  <c r="L179" i="3" s="1"/>
  <c r="B180" i="3"/>
  <c r="L180" i="3" s="1"/>
  <c r="B181" i="3"/>
  <c r="L181" i="3" s="1"/>
  <c r="B182" i="3"/>
  <c r="L182" i="3" s="1"/>
  <c r="B183" i="3"/>
  <c r="L183" i="3" s="1"/>
  <c r="B184" i="3"/>
  <c r="L184" i="3" s="1"/>
  <c r="B185" i="3"/>
  <c r="L185" i="3" s="1"/>
  <c r="B186" i="3"/>
  <c r="L186" i="3" s="1"/>
  <c r="B187" i="3"/>
  <c r="L187" i="3" s="1"/>
  <c r="B188" i="3"/>
  <c r="L188" i="3" s="1"/>
  <c r="B189" i="3"/>
  <c r="L189" i="3" s="1"/>
  <c r="B190" i="3"/>
  <c r="L190" i="3" s="1"/>
  <c r="B191" i="3"/>
  <c r="L191" i="3" s="1"/>
  <c r="B192" i="3"/>
  <c r="L192" i="3" s="1"/>
  <c r="B193" i="3"/>
  <c r="L193" i="3" s="1"/>
  <c r="B194" i="3"/>
  <c r="L194" i="3" s="1"/>
  <c r="B195" i="3"/>
  <c r="L195" i="3" s="1"/>
  <c r="B196" i="3"/>
  <c r="L196" i="3" s="1"/>
  <c r="B197" i="3"/>
  <c r="L197" i="3" s="1"/>
  <c r="B198" i="3"/>
  <c r="L198" i="3" s="1"/>
  <c r="B199" i="3"/>
  <c r="L199" i="3" s="1"/>
  <c r="B200" i="3"/>
  <c r="L200" i="3" s="1"/>
  <c r="B201" i="3"/>
  <c r="L201" i="3" s="1"/>
  <c r="B202" i="3"/>
  <c r="L202" i="3" s="1"/>
  <c r="B203" i="3"/>
  <c r="L203" i="3" s="1"/>
  <c r="B204" i="3"/>
  <c r="L204" i="3" s="1"/>
  <c r="B205" i="3"/>
  <c r="L205" i="3" s="1"/>
  <c r="B206" i="3"/>
  <c r="L206" i="3" s="1"/>
  <c r="B207" i="3"/>
  <c r="L207" i="3" s="1"/>
  <c r="B208" i="3"/>
  <c r="L208" i="3" s="1"/>
  <c r="B209" i="3"/>
  <c r="L209" i="3" s="1"/>
  <c r="B210" i="3"/>
  <c r="L210" i="3" s="1"/>
  <c r="B211" i="3"/>
  <c r="L211" i="3" s="1"/>
  <c r="B212" i="3"/>
  <c r="L212" i="3" s="1"/>
  <c r="B213" i="3"/>
  <c r="L213" i="3" s="1"/>
  <c r="B214" i="3"/>
  <c r="L214" i="3" s="1"/>
  <c r="B215" i="3"/>
  <c r="L215" i="3" s="1"/>
  <c r="B216" i="3"/>
  <c r="L216" i="3" s="1"/>
  <c r="B217" i="3"/>
  <c r="L217" i="3" s="1"/>
  <c r="B218" i="3"/>
  <c r="L218" i="3" s="1"/>
  <c r="B219" i="3"/>
  <c r="L219" i="3" s="1"/>
  <c r="B220" i="3"/>
  <c r="L220" i="3" s="1"/>
  <c r="B221" i="3"/>
  <c r="L221" i="3" s="1"/>
  <c r="B222" i="3"/>
  <c r="L222" i="3" s="1"/>
  <c r="B223" i="3"/>
  <c r="L223" i="3" s="1"/>
  <c r="B224" i="3"/>
  <c r="L224" i="3" s="1"/>
  <c r="B225" i="3"/>
  <c r="L225" i="3" s="1"/>
  <c r="B226" i="3"/>
  <c r="L226" i="3" s="1"/>
  <c r="B227" i="3"/>
  <c r="L227" i="3" s="1"/>
  <c r="B228" i="3"/>
  <c r="L228" i="3" s="1"/>
  <c r="B229" i="3"/>
  <c r="L229" i="3" s="1"/>
  <c r="B230" i="3"/>
  <c r="L230" i="3" s="1"/>
  <c r="B231" i="3"/>
  <c r="L231" i="3" s="1"/>
  <c r="B232" i="3"/>
  <c r="L232" i="3" s="1"/>
  <c r="B233" i="3"/>
  <c r="L233" i="3" s="1"/>
  <c r="B234" i="3"/>
  <c r="L234" i="3" s="1"/>
  <c r="B235" i="3"/>
  <c r="L235" i="3" s="1"/>
  <c r="B236" i="3"/>
  <c r="L236" i="3" s="1"/>
  <c r="B237" i="3"/>
  <c r="L237" i="3" s="1"/>
  <c r="B238" i="3"/>
  <c r="L238" i="3" s="1"/>
  <c r="B239" i="3"/>
  <c r="L239" i="3" s="1"/>
  <c r="B240" i="3"/>
  <c r="L240" i="3" s="1"/>
  <c r="B241" i="3"/>
  <c r="L241" i="3" s="1"/>
  <c r="B242" i="3"/>
  <c r="L242" i="3" s="1"/>
  <c r="B243" i="3"/>
  <c r="L243" i="3" s="1"/>
  <c r="B244" i="3"/>
  <c r="L244" i="3" s="1"/>
  <c r="B245" i="3"/>
  <c r="L245" i="3" s="1"/>
  <c r="B246" i="3"/>
  <c r="L246" i="3" s="1"/>
  <c r="B247" i="3"/>
  <c r="L247" i="3" s="1"/>
  <c r="B248" i="3"/>
  <c r="L248" i="3" s="1"/>
  <c r="B249" i="3"/>
  <c r="L249" i="3" s="1"/>
  <c r="B250" i="3"/>
  <c r="L250" i="3" s="1"/>
  <c r="B251" i="3"/>
  <c r="L251" i="3" s="1"/>
  <c r="B252" i="3"/>
  <c r="L252" i="3" s="1"/>
  <c r="B253" i="3"/>
  <c r="L253" i="3" s="1"/>
  <c r="B254" i="3"/>
  <c r="L254" i="3" s="1"/>
  <c r="B255" i="3"/>
  <c r="L255" i="3" s="1"/>
  <c r="B256" i="3"/>
  <c r="L256" i="3" s="1"/>
  <c r="B257" i="3"/>
  <c r="L257" i="3" s="1"/>
  <c r="B258" i="3"/>
  <c r="L258" i="3" s="1"/>
  <c r="B259" i="3"/>
  <c r="L259" i="3" s="1"/>
  <c r="B260" i="3"/>
  <c r="L260" i="3" s="1"/>
  <c r="B261" i="3"/>
  <c r="L261" i="3" s="1"/>
  <c r="B262" i="3"/>
  <c r="L262" i="3" s="1"/>
  <c r="B263" i="3"/>
  <c r="L263" i="3" s="1"/>
  <c r="B264" i="3"/>
  <c r="L264" i="3" s="1"/>
  <c r="B265" i="3"/>
  <c r="L265" i="3" s="1"/>
  <c r="B266" i="3"/>
  <c r="L266" i="3" s="1"/>
  <c r="B267" i="3"/>
  <c r="L267" i="3" s="1"/>
  <c r="B268" i="3"/>
  <c r="L268" i="3" s="1"/>
  <c r="B269" i="3"/>
  <c r="L269" i="3" s="1"/>
  <c r="B270" i="3"/>
  <c r="L270" i="3" s="1"/>
  <c r="B271" i="3"/>
  <c r="L271" i="3" s="1"/>
  <c r="B272" i="3"/>
  <c r="L272" i="3" s="1"/>
  <c r="B273" i="3"/>
  <c r="L273" i="3" s="1"/>
  <c r="B274" i="3"/>
  <c r="L274" i="3" s="1"/>
  <c r="B275" i="3"/>
  <c r="L275" i="3" s="1"/>
  <c r="B276" i="3"/>
  <c r="L276" i="3" s="1"/>
  <c r="B277" i="3"/>
  <c r="L277" i="3" s="1"/>
  <c r="B278" i="3"/>
  <c r="L278" i="3" s="1"/>
  <c r="B279" i="3"/>
  <c r="L279" i="3" s="1"/>
  <c r="B280" i="3"/>
  <c r="L280" i="3" s="1"/>
  <c r="B281" i="3"/>
  <c r="L281" i="3" s="1"/>
  <c r="B282" i="3"/>
  <c r="L282" i="3" s="1"/>
  <c r="B283" i="3"/>
  <c r="L283" i="3" s="1"/>
  <c r="B284" i="3"/>
  <c r="L284" i="3" s="1"/>
  <c r="B285" i="3"/>
  <c r="L285" i="3" s="1"/>
  <c r="B286" i="3"/>
  <c r="L286" i="3" s="1"/>
  <c r="B287" i="3"/>
  <c r="L287" i="3" s="1"/>
  <c r="B288" i="3"/>
  <c r="L288" i="3" s="1"/>
  <c r="B289" i="3"/>
  <c r="L289" i="3" s="1"/>
  <c r="B290" i="3"/>
  <c r="L290" i="3" s="1"/>
  <c r="B291" i="3"/>
  <c r="L291" i="3" s="1"/>
  <c r="B292" i="3"/>
  <c r="L292" i="3" s="1"/>
  <c r="B293" i="3"/>
  <c r="L293" i="3" s="1"/>
  <c r="B294" i="3"/>
  <c r="L294" i="3" s="1"/>
  <c r="B295" i="3"/>
  <c r="L295" i="3" s="1"/>
  <c r="B296" i="3"/>
  <c r="L296" i="3" s="1"/>
  <c r="B297" i="3"/>
  <c r="L297" i="3" s="1"/>
  <c r="B298" i="3"/>
  <c r="L298" i="3" s="1"/>
  <c r="B299" i="3"/>
  <c r="L299" i="3" s="1"/>
  <c r="B300" i="3"/>
  <c r="L300" i="3" s="1"/>
  <c r="B301" i="3"/>
  <c r="L301" i="3" s="1"/>
  <c r="B302" i="3"/>
  <c r="L302" i="3" s="1"/>
  <c r="B303" i="3"/>
  <c r="L303" i="3" s="1"/>
  <c r="B304" i="3"/>
  <c r="L304" i="3" s="1"/>
  <c r="B305" i="3"/>
  <c r="L305" i="3" s="1"/>
  <c r="B306" i="3"/>
  <c r="L306" i="3" s="1"/>
  <c r="B307" i="3"/>
  <c r="L307" i="3" s="1"/>
  <c r="B308" i="3"/>
  <c r="L308" i="3" s="1"/>
  <c r="B309" i="3"/>
  <c r="L309" i="3" s="1"/>
  <c r="B310" i="3"/>
  <c r="L310" i="3" s="1"/>
  <c r="B311" i="3"/>
  <c r="L311" i="3" s="1"/>
  <c r="B312" i="3"/>
  <c r="L312" i="3" s="1"/>
  <c r="B313" i="3"/>
  <c r="L313" i="3" s="1"/>
  <c r="B314" i="3"/>
  <c r="L314" i="3" s="1"/>
  <c r="B315" i="3"/>
  <c r="L315" i="3" s="1"/>
  <c r="B316" i="3"/>
  <c r="L316" i="3" s="1"/>
  <c r="B317" i="3"/>
  <c r="L317" i="3" s="1"/>
  <c r="B318" i="3"/>
  <c r="L318" i="3" s="1"/>
  <c r="B319" i="3"/>
  <c r="L319" i="3" s="1"/>
  <c r="B320" i="3"/>
  <c r="L320" i="3" s="1"/>
  <c r="B321" i="3"/>
  <c r="L321" i="3" s="1"/>
  <c r="B322" i="3"/>
  <c r="L322" i="3" s="1"/>
  <c r="B323" i="3"/>
  <c r="L323" i="3" s="1"/>
  <c r="B324" i="3"/>
  <c r="L324" i="3" s="1"/>
  <c r="B325" i="3"/>
  <c r="L325" i="3" s="1"/>
  <c r="B326" i="3"/>
  <c r="L326" i="3" s="1"/>
  <c r="B327" i="3"/>
  <c r="L327" i="3" s="1"/>
  <c r="B328" i="3"/>
  <c r="L328" i="3" s="1"/>
  <c r="B329" i="3"/>
  <c r="L329" i="3" s="1"/>
  <c r="B330" i="3"/>
  <c r="L330" i="3" s="1"/>
  <c r="B331" i="3"/>
  <c r="L331" i="3" s="1"/>
  <c r="B332" i="3"/>
  <c r="L332" i="3" s="1"/>
  <c r="B333" i="3"/>
  <c r="L333" i="3" s="1"/>
  <c r="B334" i="3"/>
  <c r="L334" i="3" s="1"/>
  <c r="B335" i="3"/>
  <c r="L335" i="3" s="1"/>
  <c r="B336" i="3"/>
  <c r="L336" i="3" s="1"/>
  <c r="B337" i="3"/>
  <c r="L337" i="3" s="1"/>
  <c r="B338" i="3"/>
  <c r="L338" i="3" s="1"/>
  <c r="B339" i="3"/>
  <c r="L339" i="3" s="1"/>
  <c r="B340" i="3"/>
  <c r="L340" i="3" s="1"/>
  <c r="B341" i="3"/>
  <c r="L341" i="3" s="1"/>
  <c r="B342" i="3"/>
  <c r="L342" i="3" s="1"/>
  <c r="B343" i="3"/>
  <c r="L343" i="3" s="1"/>
  <c r="B344" i="3"/>
  <c r="L344" i="3" s="1"/>
  <c r="B345" i="3"/>
  <c r="L345" i="3" s="1"/>
  <c r="B346" i="3"/>
  <c r="L346" i="3" s="1"/>
  <c r="B347" i="3"/>
  <c r="L347" i="3" s="1"/>
  <c r="B348" i="3"/>
  <c r="L348" i="3" s="1"/>
  <c r="B349" i="3"/>
  <c r="L349" i="3" s="1"/>
  <c r="B350" i="3"/>
  <c r="L350" i="3" s="1"/>
  <c r="B351" i="3"/>
  <c r="L351" i="3" s="1"/>
  <c r="B352" i="3"/>
  <c r="L352" i="3" s="1"/>
  <c r="B353" i="3"/>
  <c r="L353" i="3" s="1"/>
  <c r="B354" i="3"/>
  <c r="L354" i="3" s="1"/>
  <c r="B355" i="3"/>
  <c r="L355" i="3" s="1"/>
  <c r="B356" i="3"/>
  <c r="L356" i="3" s="1"/>
  <c r="B357" i="3"/>
  <c r="L357" i="3" s="1"/>
  <c r="B358" i="3"/>
  <c r="L358" i="3" s="1"/>
  <c r="B359" i="3"/>
  <c r="L359" i="3" s="1"/>
  <c r="B360" i="3"/>
  <c r="L360" i="3" s="1"/>
  <c r="B361" i="3"/>
  <c r="L361" i="3" s="1"/>
  <c r="B362" i="3"/>
  <c r="L362" i="3" s="1"/>
  <c r="B363" i="3"/>
  <c r="L363" i="3" s="1"/>
  <c r="B364" i="3"/>
  <c r="L364" i="3" s="1"/>
  <c r="B365" i="3"/>
  <c r="L365" i="3" s="1"/>
  <c r="B366" i="3"/>
  <c r="L366" i="3" s="1"/>
  <c r="B367" i="3"/>
  <c r="L367" i="3" s="1"/>
  <c r="B368" i="3"/>
  <c r="L368" i="3" s="1"/>
  <c r="B369" i="3"/>
  <c r="L369" i="3" s="1"/>
  <c r="B370" i="3"/>
  <c r="L370" i="3" s="1"/>
  <c r="B371" i="3"/>
  <c r="L371" i="3" s="1"/>
  <c r="B372" i="3"/>
  <c r="L372" i="3" s="1"/>
  <c r="B373" i="3"/>
  <c r="L373" i="3" s="1"/>
  <c r="B374" i="3"/>
  <c r="L374" i="3" s="1"/>
  <c r="B375" i="3"/>
  <c r="L375" i="3" s="1"/>
  <c r="B376" i="3"/>
  <c r="L376" i="3" s="1"/>
  <c r="B377" i="3"/>
  <c r="L377" i="3" s="1"/>
  <c r="B378" i="3"/>
  <c r="L378" i="3" s="1"/>
  <c r="B379" i="3"/>
  <c r="L379" i="3" s="1"/>
  <c r="B380" i="3"/>
  <c r="L380" i="3" s="1"/>
  <c r="B381" i="3"/>
  <c r="L381" i="3" s="1"/>
  <c r="B382" i="3"/>
  <c r="L382" i="3" s="1"/>
  <c r="B383" i="3"/>
  <c r="L383" i="3" s="1"/>
  <c r="B384" i="3"/>
  <c r="L384" i="3" s="1"/>
  <c r="B385" i="3"/>
  <c r="L385" i="3" s="1"/>
  <c r="B386" i="3"/>
  <c r="L386" i="3" s="1"/>
  <c r="B387" i="3"/>
  <c r="L387" i="3" s="1"/>
  <c r="B388" i="3"/>
  <c r="L388" i="3" s="1"/>
  <c r="B389" i="3"/>
  <c r="L389" i="3" s="1"/>
  <c r="B390" i="3"/>
  <c r="L390" i="3" s="1"/>
  <c r="B391" i="3"/>
  <c r="L391" i="3" s="1"/>
  <c r="B392" i="3"/>
  <c r="L392" i="3" s="1"/>
  <c r="B393" i="3"/>
  <c r="L393" i="3" s="1"/>
  <c r="B394" i="3"/>
  <c r="L394" i="3" s="1"/>
  <c r="B395" i="3"/>
  <c r="L395" i="3" s="1"/>
  <c r="B396" i="3"/>
  <c r="L396" i="3" s="1"/>
  <c r="B397" i="3"/>
  <c r="L397" i="3" s="1"/>
  <c r="B398" i="3"/>
  <c r="L398" i="3" s="1"/>
  <c r="B399" i="3"/>
  <c r="L399" i="3" s="1"/>
  <c r="B400" i="3"/>
  <c r="L400" i="3" s="1"/>
  <c r="B401" i="3"/>
  <c r="L401" i="3" s="1"/>
  <c r="B402" i="3"/>
  <c r="L402" i="3" s="1"/>
  <c r="B403" i="3"/>
  <c r="L403" i="3" s="1"/>
  <c r="B404" i="3"/>
  <c r="L404" i="3" s="1"/>
  <c r="B405" i="3"/>
  <c r="L405" i="3" s="1"/>
  <c r="B406" i="3"/>
  <c r="L406" i="3" s="1"/>
  <c r="B407" i="3"/>
  <c r="L407" i="3" s="1"/>
  <c r="B408" i="3"/>
  <c r="L408" i="3" s="1"/>
  <c r="B409" i="3"/>
  <c r="L409" i="3" s="1"/>
  <c r="B410" i="3"/>
  <c r="L410" i="3" s="1"/>
  <c r="B411" i="3"/>
  <c r="L411" i="3" s="1"/>
  <c r="B412" i="3"/>
  <c r="L412" i="3" s="1"/>
  <c r="B413" i="3"/>
  <c r="L413" i="3" s="1"/>
  <c r="B415" i="3"/>
  <c r="L415" i="3" s="1"/>
  <c r="B416" i="3"/>
  <c r="L416" i="3" s="1"/>
  <c r="B417" i="3"/>
  <c r="L417" i="3" s="1"/>
  <c r="B418" i="3"/>
  <c r="L418" i="3" s="1"/>
  <c r="B419" i="3"/>
  <c r="L419" i="3" s="1"/>
  <c r="B420" i="3"/>
  <c r="L420" i="3" s="1"/>
  <c r="B421" i="3"/>
  <c r="L421" i="3" s="1"/>
  <c r="B422" i="3"/>
  <c r="L422" i="3" s="1"/>
  <c r="B423" i="3"/>
  <c r="L423" i="3" s="1"/>
  <c r="B424" i="3"/>
  <c r="L424" i="3" s="1"/>
  <c r="B425" i="3"/>
  <c r="L425" i="3" s="1"/>
  <c r="B426" i="3"/>
  <c r="L426" i="3" s="1"/>
  <c r="B427" i="3"/>
  <c r="L427" i="3" s="1"/>
  <c r="B428" i="3"/>
  <c r="L428" i="3" s="1"/>
  <c r="B429" i="3"/>
  <c r="L429" i="3" s="1"/>
  <c r="B430" i="3"/>
  <c r="L430" i="3" s="1"/>
  <c r="B431" i="3"/>
  <c r="L431" i="3" s="1"/>
  <c r="B432" i="3"/>
  <c r="L432" i="3" s="1"/>
  <c r="B433" i="3"/>
  <c r="L433" i="3" s="1"/>
  <c r="B434" i="3"/>
  <c r="L434" i="3" s="1"/>
  <c r="B435" i="3"/>
  <c r="L435" i="3" s="1"/>
  <c r="B436" i="3"/>
  <c r="L436" i="3" s="1"/>
  <c r="B437" i="3"/>
  <c r="L437" i="3" s="1"/>
  <c r="B438" i="3"/>
  <c r="L438" i="3" s="1"/>
  <c r="B439" i="3"/>
  <c r="L439" i="3" s="1"/>
  <c r="B440" i="3"/>
  <c r="L440" i="3" s="1"/>
  <c r="B441" i="3"/>
  <c r="L441" i="3" s="1"/>
  <c r="B442" i="3"/>
  <c r="L442" i="3" s="1"/>
  <c r="B443" i="3"/>
  <c r="L443" i="3" s="1"/>
  <c r="B444" i="3"/>
  <c r="L444" i="3" s="1"/>
  <c r="B445" i="3"/>
  <c r="L445" i="3" s="1"/>
  <c r="B446" i="3"/>
  <c r="L446" i="3" s="1"/>
  <c r="B447" i="3"/>
  <c r="L447" i="3" s="1"/>
  <c r="B448" i="3"/>
  <c r="L448" i="3" s="1"/>
  <c r="B449" i="3"/>
  <c r="L449" i="3" s="1"/>
  <c r="B450" i="3"/>
  <c r="L450" i="3" s="1"/>
  <c r="B451" i="3"/>
  <c r="L451" i="3" s="1"/>
  <c r="B452" i="3"/>
  <c r="L452" i="3" s="1"/>
  <c r="B453" i="3"/>
  <c r="L453" i="3" s="1"/>
  <c r="B454" i="3"/>
  <c r="L454" i="3" s="1"/>
  <c r="B455" i="3"/>
  <c r="L455" i="3" s="1"/>
  <c r="B456" i="3"/>
  <c r="L456" i="3" s="1"/>
  <c r="B457" i="3"/>
  <c r="L457" i="3" s="1"/>
  <c r="B458" i="3"/>
  <c r="L458" i="3" s="1"/>
  <c r="B459" i="3"/>
  <c r="L459" i="3" s="1"/>
  <c r="B460" i="3"/>
  <c r="L460" i="3" s="1"/>
  <c r="B461" i="3"/>
  <c r="L461" i="3" s="1"/>
  <c r="B462" i="3"/>
  <c r="L462" i="3" s="1"/>
  <c r="B463" i="3"/>
  <c r="L463" i="3" s="1"/>
  <c r="B464" i="3"/>
  <c r="L464" i="3" s="1"/>
  <c r="B465" i="3"/>
  <c r="L465" i="3" s="1"/>
  <c r="B466" i="3"/>
  <c r="L466" i="3" s="1"/>
  <c r="B467" i="3"/>
  <c r="L467" i="3" s="1"/>
  <c r="B468" i="3"/>
  <c r="L468" i="3" s="1"/>
  <c r="B469" i="3"/>
  <c r="L469" i="3" s="1"/>
  <c r="B470" i="3"/>
  <c r="L470" i="3" s="1"/>
  <c r="B471" i="3"/>
  <c r="L471" i="3" s="1"/>
  <c r="B472" i="3"/>
  <c r="L472" i="3" s="1"/>
  <c r="B473" i="3"/>
  <c r="L473" i="3" s="1"/>
  <c r="B474" i="3"/>
  <c r="L474" i="3" s="1"/>
  <c r="B475" i="3"/>
  <c r="L475" i="3" s="1"/>
  <c r="B476" i="3"/>
  <c r="L476" i="3" s="1"/>
  <c r="B477" i="3"/>
  <c r="L477" i="3" s="1"/>
  <c r="B478" i="3"/>
  <c r="L478" i="3" s="1"/>
  <c r="B479" i="3"/>
  <c r="L479" i="3" s="1"/>
  <c r="B480" i="3"/>
  <c r="L480" i="3" s="1"/>
  <c r="B481" i="3"/>
  <c r="L481" i="3" s="1"/>
  <c r="B482" i="3"/>
  <c r="L482" i="3" s="1"/>
  <c r="B483" i="3"/>
  <c r="L483" i="3" s="1"/>
  <c r="B484" i="3"/>
  <c r="L484" i="3" s="1"/>
  <c r="B485" i="3"/>
  <c r="L485" i="3" s="1"/>
  <c r="B486" i="3"/>
  <c r="L486" i="3" s="1"/>
  <c r="B487" i="3"/>
  <c r="L487" i="3" s="1"/>
  <c r="B488" i="3"/>
  <c r="L488" i="3" s="1"/>
  <c r="B489" i="3"/>
  <c r="L489" i="3" s="1"/>
  <c r="B490" i="3"/>
  <c r="L490" i="3" s="1"/>
  <c r="B491" i="3"/>
  <c r="L491" i="3" s="1"/>
  <c r="B492" i="3"/>
  <c r="L492" i="3" s="1"/>
  <c r="B493" i="3"/>
  <c r="L493" i="3" s="1"/>
  <c r="B494" i="3"/>
  <c r="L494" i="3" s="1"/>
  <c r="B495" i="3"/>
  <c r="L495" i="3" s="1"/>
  <c r="B496" i="3"/>
  <c r="L496" i="3" s="1"/>
  <c r="B497" i="3"/>
  <c r="L497" i="3" s="1"/>
  <c r="B498" i="3"/>
  <c r="L498" i="3" s="1"/>
  <c r="B499" i="3"/>
  <c r="L499" i="3" s="1"/>
  <c r="B500" i="3"/>
  <c r="L500" i="3" s="1"/>
  <c r="B501" i="3"/>
  <c r="L501" i="3" s="1"/>
  <c r="B502" i="3"/>
  <c r="L502" i="3" s="1"/>
  <c r="B503" i="3"/>
  <c r="L503" i="3" s="1"/>
  <c r="B504" i="3"/>
  <c r="L504" i="3" s="1"/>
  <c r="B505" i="3"/>
  <c r="L505" i="3" s="1"/>
  <c r="B506" i="3"/>
  <c r="L506" i="3" s="1"/>
  <c r="B507" i="3"/>
  <c r="L507" i="3" s="1"/>
  <c r="B508" i="3"/>
  <c r="L508" i="3" s="1"/>
  <c r="B509" i="3"/>
  <c r="L509" i="3" s="1"/>
  <c r="B510" i="3"/>
  <c r="L510" i="3" s="1"/>
  <c r="B511" i="3"/>
  <c r="L511" i="3" s="1"/>
  <c r="B512" i="3"/>
  <c r="L512" i="3" s="1"/>
  <c r="B513" i="3"/>
  <c r="L513" i="3" s="1"/>
  <c r="B514" i="3"/>
  <c r="L514" i="3" s="1"/>
  <c r="B515" i="3"/>
  <c r="L515" i="3" s="1"/>
  <c r="B516" i="3"/>
  <c r="L516" i="3" s="1"/>
  <c r="B517" i="3"/>
  <c r="L517" i="3" s="1"/>
  <c r="B518" i="3"/>
  <c r="L518" i="3" s="1"/>
  <c r="B519" i="3"/>
  <c r="L519" i="3" s="1"/>
  <c r="B520" i="3"/>
  <c r="L520" i="3" s="1"/>
  <c r="B521" i="3"/>
  <c r="L521" i="3" s="1"/>
  <c r="B522" i="3"/>
  <c r="L522" i="3" s="1"/>
  <c r="B523" i="3"/>
  <c r="L523" i="3" s="1"/>
  <c r="B524" i="3"/>
  <c r="L524" i="3" s="1"/>
  <c r="B525" i="3"/>
  <c r="L525" i="3" s="1"/>
  <c r="B526" i="3"/>
  <c r="L526" i="3" s="1"/>
  <c r="B527" i="3"/>
  <c r="L527" i="3" s="1"/>
  <c r="B528" i="3"/>
  <c r="L528" i="3" s="1"/>
  <c r="B529" i="3"/>
  <c r="L529" i="3" s="1"/>
  <c r="B531" i="3"/>
  <c r="L531" i="3" s="1"/>
  <c r="B532" i="3"/>
  <c r="L532" i="3" s="1"/>
  <c r="B533" i="3"/>
  <c r="L533" i="3" s="1"/>
  <c r="B534" i="3"/>
  <c r="L534" i="3" s="1"/>
  <c r="L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tc={8CBFA795-C547-4FDE-9147-ACF8DD97A413}</author>
    <author>tc={627CD0B8-B685-4D13-9F93-08462CB5BDB3}</author>
    <author>tc={66FDB365-8DCD-4FAC-92D1-B55FBFAAB7B3}</author>
    <author>tc={DBC7B4A2-AB4C-4D19-AAF4-F266696F4C64}</author>
    <author>tc={21B318FA-C588-49D6-A6A4-A50DB10D9B8F}</author>
    <author>tc={8DD65BD4-87A7-46FB-8A5A-2E4CC6A5C871}</author>
    <author>tc={093F5BE4-678A-45FD-A9B3-5E91231CB40E}</author>
    <author>tc={CEF13D27-4760-4577-A116-2333FBC5A106}</author>
    <author>tc={01ABCAC9-86E9-4A4F-91DF-6AA1FF5E7284}</author>
    <author>tc={A48D8612-FED3-46A0-83BC-0FE1A15250F9}</author>
    <author>tc={F352E79A-F8C2-4F5A-8DB8-102DBE8F740D}</author>
    <author>tc={CADCE646-9962-4C46-B10F-2DA521DDE7D1}</author>
    <author>tc={1BE14E5F-A286-4D5F-90E5-2FAAC152AC77}</author>
    <author>tc={171EDEB1-FF5A-411A-B6A8-BF0B6FBA861F}</author>
    <author>tc={CB7B5377-0586-4A03-B351-DF9F7D2E7BB3}</author>
    <author>tc={2183A18E-98F5-4798-B4B8-C58120877025}</author>
    <author>tc={D4CC40A1-0364-437D-A2CA-DA97E6192C95}</author>
    <author>tc={C5B3D7B8-2EA5-4B30-9861-32233D8C1019}</author>
    <author>tc={0275329B-551D-4BE4-A8D0-C69EE09EF563}</author>
    <author>tc={DF902209-C051-4067-AE70-CA0218FB2A49}</author>
    <author>tc={10BE6C5D-AA0C-4D41-9F89-78C68E00304E}</author>
    <author>tc={59C831E6-AF7A-4D42-87FB-9BCCCCC57738}</author>
    <author>tc={9DE3BFB6-566B-4767-BD00-73B7B1A533DE}</author>
    <author>tc={671A43D8-CDAB-4D21-8061-F6FDC4187E87}</author>
    <author>tc={A2D48471-513E-40E3-997D-253E1E7FA3B2}</author>
    <author>tc={88378B64-F37D-4DDF-AD0A-82251EF3F7AA}</author>
    <author>tc={DD8F6468-84FB-42D8-BACE-B589B9F620AB}</author>
    <author>tc={A98DFA2D-C91C-44EC-B891-FF4AE530199E}</author>
    <author>tc={BC86A5E0-528C-4A69-B214-F654DC4D069D}</author>
    <author>tc={FFD9EEDE-88F7-46E2-8BD5-586255F60E46}</author>
    <author>tc={F73C53FB-D35C-4119-B476-DB83347EE216}</author>
    <author>tc={46BBE0BB-106F-4034-B971-797271442C49}</author>
    <author>tc={B427312D-5F5B-46E5-A0B1-749CC4D2AF16}</author>
    <author>tc={EBCE5F1F-847A-42EE-AA48-152B54BB2ACD}</author>
    <author>tc={490BED03-434C-4693-A8F0-6663835C832F}</author>
    <author>tc={88F271C8-D8E2-4ED9-9098-98ECBBBC2C0D}</author>
    <author>tc={314E1A60-5E60-4366-A267-EEC9A4A167CE}</author>
    <author>tc={6506C1C6-DF4A-49C2-AC46-9119F14233F1}</author>
    <author>tc={0CAFBC29-93F3-4E77-BEAA-F3A58B126A8E}</author>
    <author>tc={3A8EC1FA-92C5-4F81-AC12-BFF49A791480}</author>
    <author>tc={FAF26BFC-337A-437D-8EB9-ECFC488BAC91}</author>
    <author>tc={90673F80-D7CB-4070-9F58-341CF316AD9C}</author>
    <author>tc={A5DA71DA-6439-4EAE-84C8-6F9B306451D3}</author>
    <author>tc={A773A02C-6652-4D4C-8818-A1C900B86B77}</author>
    <author>tc={74B0C125-611F-4B15-A7A3-56AA1C9474E9}</author>
    <author>tc={8EFABD88-0951-4931-9F3F-94481FAC734D}</author>
    <author>tc={41B71CCA-CB8F-4F01-ABDD-B4839068C66F}</author>
    <author>tc={A46D9B17-67B7-420E-8579-A9E24CC14B15}</author>
    <author>tc={C53DD587-6235-4A1D-945E-84FEC554BC8D}</author>
    <author>tc={B275ED46-899F-4889-B536-92718C40F35F}</author>
    <author>tc={CF8C0A86-0979-482D-95C8-92C062EAFFB0}</author>
    <author>tc={B22B4B44-C99D-463E-BB2C-3B6054BF4B53}</author>
    <author>tc={908A21A5-0F6F-4D19-8C64-7D0ABB007FDF}</author>
    <author>tc={62973BFF-A9B8-42B0-AD99-CF4C50B74C7D}</author>
    <author>tc={D28AF855-DB2C-4E94-BFE6-49A766BBEF2A}</author>
    <author>tc={B7AA81BF-7B61-4EBB-B256-FFAE2E996C96}</author>
    <author>tc={279501BF-646D-41DB-A002-0909C8E50427}</author>
    <author>tc={F1A78CDB-3DC5-4EDA-BE80-5463955465F4}</author>
    <author>tc={EA7F5211-F5F4-4BCF-B412-BB7DB11344EA}</author>
    <author>tc={1FFAD08A-80DC-4EBC-A102-1E8023256F35}</author>
    <author>tc={8B0C1DCA-0291-4584-A809-3F1850D1D7F3}</author>
    <author>tc={1B18E89C-CFCA-42E9-BDDB-6A6DBF3A29C3}</author>
    <author>tc={94013731-FBAE-479F-8AC7-365C2C82934B}</author>
    <author>tc={3E29CBA7-52B7-4983-8BD8-678645D15189}</author>
    <author>tc={4F1F7A89-79A6-4732-A254-6C5A73AC4CC3}</author>
    <author>tc={22911E86-A6F1-48A7-A78E-716D99653274}</author>
    <author>tc={0C3AC102-76DC-4529-91C6-6671F44672D7}</author>
    <author>tc={260BD0B1-E9B7-4EB3-A502-68926EBB9205}</author>
    <author>tc={94037C20-42F6-46DE-BEED-0BE8F925E3AD}</author>
    <author>tc={E645A24C-BDDA-4F9F-AF9C-C680C9DD5EA8}</author>
    <author>tc={A14525D5-9D2C-48CA-8EDE-0735BC7D3816}</author>
    <author>tc={317AEFB0-D396-4BF2-BDD9-9B6EB8FB219E}</author>
    <author>tc={423893F2-9D2E-46C5-A483-FF31B66D5C02}</author>
    <author>tc={2DFDAB12-DF67-436B-AED0-76CD23BC4983}</author>
    <author>tc={1E4B20CA-AC91-425F-99B1-800763056FC0}</author>
    <author>tc={36EA5A1D-5EF4-48EC-AAA2-1D3BA3673B89}</author>
    <author>tc={3C93F98E-7B1D-4230-A493-F27AAF12A6A6}</author>
    <author>tc={C5BD7B1F-5196-4EA0-B324-38DE89C3A99F}</author>
    <author>tc={AB66EA2D-F84A-42C0-A1B7-7B40429FCE50}</author>
    <author>tc={F7540353-814B-41CF-8C81-7D30855703A1}</author>
    <author>tc={4757FB79-BE33-4094-819D-DF933331AA3A}</author>
    <author>tc={F4964608-5179-4FBF-8103-D788DB55AC79}</author>
    <author>tc={4ADF9DF2-5DB4-4B1B-9837-1CDCF057104F}</author>
    <author>tc={64158405-6DCA-479E-A63D-409232DC9FB3}</author>
    <author>tc={F96826CA-951B-499C-864F-670DEA4CB096}</author>
    <author>tc={006376DE-439F-4EBC-865A-F5708452BF79}</author>
    <author>tc={5C96A221-7441-4799-8F50-15E87FD287C1}</author>
    <author>tc={B435477E-AC14-42CC-9C42-28C4D58AC267}</author>
    <author>tc={7D2CB1C6-782B-4C7A-A498-8C7E3AAD28BB}</author>
    <author>tc={F64CFA8C-41D4-442D-B70C-FE986583F51B}</author>
    <author>tc={8402CEEE-F990-4200-A175-018962F3DAEE}</author>
    <author>tc={7925D943-C891-4D89-9598-AD6A2865F13E}</author>
    <author>tc={4B0AE505-9B94-41B8-AC45-11842CDF26D6}</author>
    <author>tc={0A8F8D7C-31A9-45C1-829D-3CA1394B77C8}</author>
    <author>tc={967DB5B4-8190-46BB-8A5E-C722B0F22CEF}</author>
    <author>tc={7D47B5E0-2EE5-45F6-8506-28926844F1B8}</author>
    <author>tc={F05A3EA1-078D-43AA-AD86-98839E4DCB65}</author>
    <author>tc={04794868-8795-4552-BD78-26B6694E5990}</author>
    <author>tc={9348C9CA-96E2-4152-9830-4E5D81DCBFAF}</author>
    <author>tc={6222ACEC-955F-410A-9306-7BEB4302ECE5}</author>
    <author>tc={50F97BC3-0B32-4910-B691-71323795F7AD}</author>
    <author>tc={1CF9D46E-58BB-4384-BADE-9C5687E04B46}</author>
    <author>tc={7801979B-31B8-47FD-81BA-486F5797D6B0}</author>
    <author>tc={9DFA333A-ACE8-426E-A58A-53EB924EA927}</author>
    <author>tc={0650DBEA-351B-479A-9993-1E4D3A4DCB8F}</author>
    <author>tc={AEA6F3AA-8536-4724-82CA-02758FAA81B6}</author>
    <author>tc={1B8EB6DE-B913-4915-8ED7-E7C4AF8F1750}</author>
    <author>tc={513E8D7F-6996-4F99-9E64-C45DCBB56B0A}</author>
    <author>tc={D09DF444-9DCE-45E9-B9FE-FFA91971125E}</author>
    <author>tc={456B88EF-F08F-4821-9D57-F55A9BB5F610}</author>
    <author>tc={9B70EC8C-7EA0-4568-98FC-CA2AC2BB7EC3}</author>
    <author>tc={89090851-8227-4353-AEF3-EF71B9BD995A}</author>
    <author>tc={33ABB151-B615-4753-8EEA-40F21D80ED1A}</author>
    <author>tc={4B6C5C5E-DEDE-4BAE-85CB-0977D0E25E97}</author>
    <author>tc={3BD677C6-E2CB-4523-8FFB-6E1CB1B20C23}</author>
    <author>tc={49F8A3FE-ED46-4B9C-9BFD-50667BCCBDFC}</author>
    <author>tc={F9561B62-6249-40A0-93F3-78CD9C314E51}</author>
    <author>tc={FD849A1A-F3C0-48AA-8543-74A8C67BD393}</author>
    <author>tc={F02F8413-07CA-4391-9264-2A039AC2307B}</author>
    <author>tc={3C6CA5CA-AB27-4E54-A327-58E91881E193}</author>
    <author>tc={1241260D-4CA6-47F7-8421-F810FE27BE09}</author>
    <author>tc={22210AD7-6F76-4A61-9B79-8B513F4A3D0B}</author>
    <author>tc={5D83DE9D-E627-4CE9-9FA4-D9F42AF1958C}</author>
    <author>tc={25A6A555-7A65-47D7-97C0-6BE456904DA6}</author>
    <author>tc={748BDA84-EB96-41EC-B73C-FB1EDB82120C}</author>
    <author>tc={7D620059-0D36-4CCD-BC3B-AC922E4BB974}</author>
    <author>tc={5FBEE44B-C065-4228-9095-C80C7701DB22}</author>
    <author>tc={6C1D36DB-FBDF-4507-8279-4E7F611CEA21}</author>
    <author>tc={A4A20D32-5604-488E-B6C1-D4DC02965A92}</author>
    <author>tc={3622B840-A29C-4B76-A514-8F19FD08059E}</author>
    <author>tc={93D2A480-DF41-414D-82EA-7ABE57194D0E}</author>
    <author>tc={747FC599-EA27-4203-BA4B-D8C40E788F41}</author>
    <author>tc={DD04188A-96F9-45A2-B379-274A398AE2E7}</author>
    <author>tc={D7678F09-70CE-4F12-AE19-7D4619AC2258}</author>
    <author>tc={1C7CB897-0446-44CB-8E3B-3BA1A9BC1599}</author>
    <author>tc={91319C09-7DDD-4B7B-A0D7-43D08A2B1F46}</author>
    <author>tc={1B7238DD-FFBF-4405-8D7C-4099F8542D24}</author>
    <author>tc={A740B786-CE4B-47EE-BD51-1C820E191E68}</author>
    <author>tc={07E39027-0131-4D8D-AF11-F15479130A8C}</author>
    <author>tc={BCDC446F-FD58-4AD5-822F-D2ADC970FA46}</author>
    <author>tc={699A661C-8ED7-4854-B55A-144B3EDD03BE}</author>
    <author>tc={55923006-84CD-40E3-81ED-172B69913451}</author>
    <author>tc={D7D97B67-A236-4197-825E-214F9A67CABD}</author>
    <author>tc={BCAAF6E7-2D13-40F7-872C-6446F8E3B766}</author>
    <author>tc={0B0CAEF4-613C-4986-9803-3531E80EDD06}</author>
    <author>tc={C4DCE117-46B6-41E7-A58F-C2275D31F4CA}</author>
    <author>tc={338DD655-0D9A-4255-ACC4-3694FA0F5917}</author>
    <author>tc={58AD4E25-7410-4E86-8381-17B63278098D}</author>
    <author>tc={8F52A50A-123B-4E33-88D9-18299A0BF93A}</author>
    <author>tc={553B46C5-F5F0-4780-A945-9D0169FCA57F}</author>
    <author>tc={42667FBA-A556-4E6A-8886-D2735AA3C829}</author>
    <author>tc={E71C9063-ED73-4742-A8DC-E37F25398259}</author>
    <author>tc={B4F95886-8B33-4732-AAE9-3BD857A0F62F}</author>
    <author>tc={ED80F714-8412-465E-BFEF-CE3C88A9D964}</author>
    <author>tc={B2FBE628-6FB0-419D-861C-F6B0D19DF17D}</author>
    <author>tc={5B882A97-4C99-4C73-9DC0-768A8DF9BB4B}</author>
    <author>tc={A064D676-4AF9-45C7-8303-BA829651A53E}</author>
    <author>tc={EEFB6F60-4893-403E-B75A-F5ACB5EEB96A}</author>
    <author>tc={4FB696A8-081A-44B6-B348-79773C77B202}</author>
    <author>tc={2688B2E0-0BE5-4131-8F21-7A5B4788B80F}</author>
    <author>tc={47EB6F07-80F8-4408-945A-7B1FA620843C}</author>
    <author>tc={73813F2F-4BEA-47D7-B3C8-30A82A1389D6}</author>
    <author>tc={1F72B7BB-C7C1-4E0C-A6A4-32601A2AA7C9}</author>
    <author>tc={D5FC6F0A-28C1-43AC-8EB9-D7AEDB36DE1C}</author>
    <author>tc={91E42EFF-6283-4945-AA1D-E8EC24CD7EE4}</author>
    <author>tc={950F50F6-3B7B-4F03-A4EC-77887FEF16B0}</author>
    <author>tc={461F27B9-8511-4564-B442-A236EDE782E8}</author>
    <author>tc={F5EE7D29-3614-4EBD-973A-F38B83BD71F9}</author>
    <author>tc={16B0957E-92C0-413C-BF82-6D703BEBFB32}</author>
    <author>tc={A18E0A00-541A-484C-B391-F461D54CE686}</author>
    <author>tc={6834C4E0-47D7-43EF-BC74-A0004517A69A}</author>
    <author>tc={16CF89DE-C7D1-4432-A433-6E73E17D6DC4}</author>
    <author>tc={23D705AB-E43A-4CED-A1F6-0332F8FDA894}</author>
    <author>tc={1629D82C-694C-4D32-9F25-9852D5C80EDA}</author>
    <author>tc={41B279F2-4195-4ADB-9899-0ED1B2FD8BFE}</author>
    <author>tc={75B581CE-81F7-4FAF-A73F-52C6E429A184}</author>
    <author>tc={2B1BC326-266F-44B9-AEAD-6B09718F9530}</author>
    <author>tc={39D45C5B-EBCB-44B5-B65A-26001E9A9B0D}</author>
    <author>tc={31094C5A-2861-4974-938A-6D91CBC24E68}</author>
    <author>tc={29C1A9FF-D543-4E87-AA1E-9AA2F359374B}</author>
    <author>tc={B1951BEF-19E4-4E31-8F4C-824334C50F5A}</author>
    <author>tc={B6290636-E156-4608-8799-4A864AA989EE}</author>
    <author>tc={1C04A752-A7F2-44A0-86A0-0CA79EFD4615}</author>
    <author>tc={969D0546-4FE3-40B9-A06C-793D7FF9B904}</author>
    <author>tc={AE52FFB0-EADE-4F95-88E4-C9EC8C0E9EF0}</author>
    <author>tc={B1848D20-4293-4E51-85B6-0F9DE8E941FC}</author>
    <author>tc={886BA61D-27D5-46BE-992C-9E79B4263DE6}</author>
    <author>tc={BC4F59E2-70EA-46A6-991D-EC44E541EFFB}</author>
    <author>tc={2F36B897-2611-4BFD-9CCC-F81B9895DDAD}</author>
    <author>tc={361C2B52-96E3-4ABE-8688-0229C70BEC13}</author>
    <author>tc={4AD1E060-6CCC-438D-8241-A516DD2B4DC9}</author>
  </authors>
  <commentList>
    <comment ref="K4" authorId="0" shapeId="0" xr:uid="{8CBFA795-C547-4FDE-9147-ACF8DD97A413}">
      <text>
        <t>[Threaded comment]
Your version of Excel allows you to read this threaded comment; however, any edits to it will get removed if the file is opened in a newer version of Excel. Learn more: https://go.microsoft.com/fwlink/?linkid=870924
Comment:
    Change the title - remove "Entry-level" and "training". Ana to talk with Sue.</t>
      </text>
    </comment>
    <comment ref="K5" authorId="1" shapeId="0" xr:uid="{627CD0B8-B685-4D13-9F93-08462CB5BDB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@DILLON Karen please remove one template from the catalogue. Location can be set up on course level.
Reply:
    @DILLON Karen please let me know if you need help</t>
      </text>
    </comment>
    <comment ref="K6" authorId="2" shapeId="0" xr:uid="{66FDB365-8DCD-4FAC-92D1-B55FBFAAB7B3}">
      <text>
        <t>[Threaded comment]
Your version of Excel allows you to read this threaded comment; however, any edits to it will get removed if the file is opened in a newer version of Excel. Learn more: https://go.microsoft.com/fwlink/?linkid=870924
Comment:
    @KRAJCOVA Mariana @DILLON Karen I remove the two EPSO courses from the catalogue as they are not organised anymore.</t>
      </text>
    </comment>
    <comment ref="K8" authorId="3" shapeId="0" xr:uid="{DBC7B4A2-AB4C-4D19-AAF4-F266696F4C6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please update subtitle and use learn.ep as CM on template
Reply:
    I updated it</t>
      </text>
    </comment>
    <comment ref="K10" authorId="4" shapeId="0" xr:uid="{21B318FA-C588-49D6-A6A4-A50DB10D9B8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@DILLON Karen @KRAJCOVA Mariana   Please confirm if this is still in use now that there is new facilitator path course. If still in use please update picture.
Reply:
    @DILLON Karen please let me know
Reply:
    Karen responded that: I can remove it from the catalogue.</t>
      </text>
    </comment>
    <comment ref="K13" authorId="5" shapeId="0" xr:uid="{8DD65BD4-87A7-46FB-8A5A-2E4CC6A5C8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Please change subtitle and put learn.EP as CM on template.
Reply:
    @KRASTEVA Viktoriya please let me know if you need help
Reply:
    @KRASTEVA Viktoriya please let me know if I should do it for the modules 1 to 4
Reply:
    @KRASTEVA Viktoriya I will change it tomorrow.</t>
      </text>
    </comment>
    <comment ref="K14" authorId="6" shapeId="0" xr:uid="{093F5BE4-678A-45FD-A9B3-5E91231CB4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Please change subtitle and put learn.EP as CM on template.
Reply:
    @KRASTEVA Viktoriya please let me know if you need help</t>
      </text>
    </comment>
    <comment ref="K15" authorId="7" shapeId="0" xr:uid="{CEF13D27-4760-4577-A116-2333FBC5A10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Please change subtitle and put learn.EP as CM on template.
Reply:
    @KRASTEVA Viktoriya please let me know if you need help</t>
      </text>
    </comment>
    <comment ref="K16" authorId="8" shapeId="0" xr:uid="{01ABCAC9-86E9-4A4F-91DF-6AA1FF5E72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Please change subtitle and put learn.EP as CM on template.
Reply:
    @KRASTEVA Viktoriya please let me know if you need help</t>
      </text>
    </comment>
    <comment ref="K17" authorId="9" shapeId="0" xr:uid="{A48D8612-FED3-46A0-83BC-0FE1A15250F9}">
      <text>
        <t>[Threaded comment]
Your version of Excel allows you to read this threaded comment; however, any edits to it will get removed if the file is opened in a newer version of Excel. Learn more: https://go.microsoft.com/fwlink/?linkid=870924
Comment:
    @DILLON Karen @KRAJCOVA Mariana I removed this from the cataloge. Was only organised in May 2024.
Reply:
    Karen agreed</t>
      </text>
    </comment>
    <comment ref="K18" authorId="10" shapeId="0" xr:uid="{F352E79A-F8C2-4F5A-8DB8-102DBE8F74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@GABELEIN-PAEHLER Katrin can this item (Peer learning: prepare for your next job in the EP) be removed from the catalogue?</t>
      </text>
    </comment>
    <comment ref="K21" authorId="11" shapeId="0" xr:uid="{CADCE646-9962-4C46-B10F-2DA521DDE7D1}">
      <text>
        <t>[Threaded comment]
Your version of Excel allows you to read this threaded comment; however, any edits to it will get removed if the file is opened in a newer version of Excel. Learn more: https://go.microsoft.com/fwlink/?linkid=870924
Comment:
    @ZANOLI Carlos is this one still relevant? if yes: ok, if we assign the course to the catalogue instead of the template.
Reply:
    yes still relevant!
Reply:
    I removed the template and attached the course to the catalogue.</t>
      </text>
    </comment>
    <comment ref="K22" authorId="12" shapeId="0" xr:uid="{1BE14E5F-A286-4D5F-90E5-2FAAC152AC7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please use same name in Description and Course description. Please update subtitle
Reply:
    @ZANOLI Carlos please let me know if you need help</t>
      </text>
    </comment>
    <comment ref="K27" authorId="13" shapeId="0" xr:uid="{171EDEB1-FF5A-411A-B6A8-BF0B6FBA861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please use same name in Description and Course description. Please update subtitle. please use fmb as CM on template.
Reply:
    @ZANOLI Carlos please let me know if you need help</t>
      </text>
    </comment>
    <comment ref="J28" authorId="14" shapeId="0" xr:uid="{CB7B5377-0586-4A03-B351-DF9F7D2E7BB3}">
      <text>
        <t>[Threaded comment]
Your version of Excel allows you to read this threaded comment; however, any edits to it will get removed if the file is opened in a newer version of Excel. Learn more: https://go.microsoft.com/fwlink/?linkid=870924
Comment:
    @HENNINGSEN Philipp Alexander I wouldn't include this course as we do not organize it, ITEC is in charge of it and runs it internally
Reply:
    Ok. I changed it to "no".</t>
      </text>
    </comment>
    <comment ref="K28" authorId="15" shapeId="0" xr:uid="{2183A18E-98F5-4798-B4B8-C581208770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@BRAVO Francisco this course has never been organised so far. Could we even remove it from the catalogue completely?
Reply:
    If we want to keep, please update subtitle "Brussels/Luxembourg"
Reply:
    If Carlos is not against I would remove it
Reply:
    ITEC has originally requested me to add this internal training to the catalgoue, but they never organized it. I'll ask them if it is still relevant. 
Reply:
    @ZANOLI Carlos thank you for checking. Can we remove it for now until you have a date?
Reply:
    Just spoken to ITEC, they want it there. Can we keep it? I also changed the title and subtitle</t>
      </text>
    </comment>
    <comment ref="K33" authorId="16" shapeId="0" xr:uid="{D4CC40A1-0364-437D-A2CA-DA97E6192C9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@CONTE Viviana @LATTEUR Christine can you confirm if internal and/or external coaching should be included in the brochure?</t>
      </text>
    </comment>
    <comment ref="K36" authorId="17" shapeId="0" xr:uid="{C5B3D7B8-2EA5-4B30-9861-32233D8C1019}">
      <text>
        <t>[Threaded comment]
Your version of Excel allows you to read this threaded comment; however, any edits to it will get removed if the file is opened in a newer version of Excel. Learn more: https://go.microsoft.com/fwlink/?linkid=870924
Comment:
    Duplicate. Was assigned here when subfolder wasn't created yet.</t>
      </text>
    </comment>
    <comment ref="K95" authorId="18" shapeId="0" xr:uid="{0275329B-551D-4BE4-A8D0-C69EE09EF5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@ZAVADILOVA Pavlina Please update the subtitle of the template to "Brussels/Luxembourg". For the courses the subtitle then should be only "Brussels" or "Luxembourg".
Reply:
    @ZAVADILOVA Pavlina 
Reply:
    @ZAVADILOVA Pavlina please let me know if you need help.</t>
      </text>
    </comment>
    <comment ref="J99" authorId="19" shapeId="0" xr:uid="{DF902209-C051-4067-AE70-CA0218FB2A49}">
      <text>
        <t>[Threaded comment]
Your version of Excel allows you to read this threaded comment; however, any edits to it will get removed if the file is opened in a newer version of Excel. Learn more: https://go.microsoft.com/fwlink/?linkid=870924
Comment:
    Change title by including "drafting". For example "Clear language - master your drafting skills"</t>
      </text>
    </comment>
    <comment ref="K99" authorId="20" shapeId="0" xr:uid="{10BE6C5D-AA0C-4D41-9F89-78C68E00304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@LÓPEZ RIVAS Ángela please check the names of the template. Currently Online :"Clear language essentials: Introduction to clear language principles and guidelines" and offline "Clear language essentials". 
Also update subtitle of offline template to "Brussels/Luxembourg".
Reply:
    Sorry just seeing this now! I saw you already did it no?
Reply:
    No, the names of the templates are still different, but the subtitles are corrected.
Reply:
    done! thanks sm</t>
      </text>
    </comment>
    <comment ref="K102" authorId="21" shapeId="0" xr:uid="{59C831E6-AF7A-4D42-87FB-9BCCCCC5773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can this umbrella be removed from the catalogue? Or will there be courses organised in the future?
Reply:
    Can we please keep just the template, to be able to see if there is any interest. No need of the umbrella at the moment. 
Reply:
    The umbrella is only linking to the templates. If we leave the umbrella in, offline and online version are open for expression of interest.
Reply:
    I see that the umbrella is still there. Can we just have the template with the course description and no choice for format, no umbrella?
Reply:
    I'm sorry. A template is always already format (online, onsite, eLearning) specific. That's why we have umbrellas.
Reply:
    I see. But when you see the course it says dates available, while there are none in fact. There is one from 2025 hanging there.
Reply:
    Yes. That's why I proposed to remove it from the catalogue. If you would like to have the expression of interest, maybe we only attach the "online" version of the course but hide the umbrella?
Reply:
    That would be a solution. Thank you very much.
Reply:
    done. Changed the ID in this table too.</t>
      </text>
    </comment>
    <comment ref="K104" authorId="22" shapeId="0" xr:uid="{9DE3BFB6-566B-4767-BD00-73B7B1A533DE}">
      <text>
        <t>[Threaded comment]
Your version of Excel allows you to read this threaded comment; however, any edits to it will get removed if the file is opened in a newer version of Excel. Learn more: https://go.microsoft.com/fwlink/?linkid=870924
Comment:
    @BAVIERI Benedetta Will this be offered again? Can it be removed from the catalogue?
I corrected: subtitle = Bazoches, No location on course template level.
Reply:
    Learn.ep as CM
Reply:
    It can be removed, there are no plans to offer it again in the foreseeable future.</t>
      </text>
    </comment>
    <comment ref="K106" authorId="23" shapeId="0" xr:uid="{671A43D8-CDAB-4D21-8061-F6FDC4187E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removed from the catalogue. Because only course (not template) assigned to the catalogue.
Reply:
    I need the template. Published in EP competence- operational (ref. 072491)
Reply:
    I don't understand the comment, sorry!@KRASTEVA Viktoriya the template still exists: 072491-EP. Do you want to have it assigned to the catalogue folder "communication competencies"?
Reply:
    I mark this as complete now. If you want to discuss this, please let me know :)</t>
      </text>
    </comment>
    <comment ref="K111" authorId="24" shapeId="0" xr:uid="{A2D48471-513E-40E3-997D-253E1E7FA3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@KRAJCOVA Mariana Should this stay in the catalogue? It's not a training course and could be done via EP events etc.
If it should be removed contact person is MARIA CAROLA CRISCUOLO
Reply:
    Hi Philipp, it is a similar product as EP tours only given by COMM colleague. It is not an event. So it shall stay in catalogue, but it shall not go to brochure.</t>
      </text>
    </comment>
    <comment ref="K112" authorId="25" shapeId="0" xr:uid="{88378B64-F37D-4DDF-AD0A-82251EF3F7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@KRAJCOVA Mariana  please correct the title and subtitle of the course published. Subtitle should be the city. Title everything = same as template name.
Reply:
    This course can be hidden for now. 
Reply:
    Course not successful, please do not include in the brochure. We are removing it from the catalogue.
Reply:
    Template is removed from catalogue.</t>
      </text>
    </comment>
    <comment ref="K113" authorId="26" shapeId="0" xr:uid="{DD8F6468-84FB-42D8-BACE-B589B9F620AB}">
      <text>
        <t>[Threaded comment]
Your version of Excel allows you to read this threaded comment; however, any edits to it will get removed if the file is opened in a newer version of Excel. Learn more: https://go.microsoft.com/fwlink/?linkid=870924
Comment:
    @MALTONI Simona I removed this from the catalogue. Only one ever published. If you ever want to organise it again, it can be assigned to the catalogue again.</t>
      </text>
    </comment>
    <comment ref="K114" authorId="27" shapeId="0" xr:uid="{A98DFA2D-C91C-44EC-B891-FF4AE530199E}">
      <text>
        <t>[Threaded comment]
Your version of Excel allows you to read this threaded comment; however, any edits to it will get removed if the file is opened in a newer version of Excel. Learn more: https://go.microsoft.com/fwlink/?linkid=870924
Comment:
    Removed - course in the past</t>
      </text>
    </comment>
    <comment ref="K117" authorId="28" shapeId="0" xr:uid="{BC86A5E0-528C-4A69-B214-F654DC4D069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Can this learning path be removed from the catalogue? None of the courses is available.
Reply:
    Hi, yes, it can be removed </t>
      </text>
    </comment>
    <comment ref="B120" authorId="29" shapeId="0" xr:uid="{FFD9EEDE-88F7-46E2-8BD5-586255F60E46}">
      <text>
        <t>[Threaded comment]
Your version of Excel allows you to read this threaded comment; however, any edits to it will get removed if the file is opened in a newer version of Excel. Learn more: https://go.microsoft.com/fwlink/?linkid=870924
Comment:
    "How to facilitate online" change title</t>
      </text>
    </comment>
    <comment ref="K121" authorId="30" shapeId="0" xr:uid="{F73C53FB-D35C-4119-B476-DB83347EE216}">
      <text>
        <t>[Threaded comment]
Your version of Excel allows you to read this threaded comment; however, any edits to it will get removed if the file is opened in a newer version of Excel. Learn more: https://go.microsoft.com/fwlink/?linkid=870924
Comment:
    @DILLON Karen I corrected: learn.ep as cm on template level
Reply:
    courses will come</t>
      </text>
    </comment>
    <comment ref="K122" authorId="31" shapeId="0" xr:uid="{46BBE0BB-106F-4034-B971-797271442C4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will there still be courses offered? Currently nothing available. Please correct subtitle of the offline template.
Reply:
    @KRASTEVA Viktoriya </t>
      </text>
    </comment>
    <comment ref="B123" authorId="32" shapeId="0" xr:uid="{B427312D-5F5B-46E5-A0B1-749CC4D2AF16}">
      <text>
        <t>[Threaded comment]
Your version of Excel allows you to read this threaded comment; however, any edits to it will get removed if the file is opened in a newer version of Excel. Learn more: https://go.microsoft.com/fwlink/?linkid=870924
Comment:
    Change title to "Public speaking"</t>
      </text>
    </comment>
    <comment ref="K123" authorId="33" shapeId="0" xr:uid="{EBCE5F1F-847A-42EE-AA48-152B54BB2ACD}">
      <text>
        <t>[Threaded comment]
Your version of Excel allows you to read this threaded comment; however, any edits to it will get removed if the file is opened in a newer version of Excel. Learn more: https://go.microsoft.com/fwlink/?linkid=870924
Comment:
    @MACLER Elodie I corrected: subtitle of template: Brussels/Luxembourg</t>
      </text>
    </comment>
    <comment ref="B124" authorId="34" shapeId="0" xr:uid="{490BED03-434C-4693-A8F0-6663835C832F}">
      <text>
        <t>[Threaded comment]
Your version of Excel allows you to read this threaded comment; however, any edits to it will get removed if the file is opened in a newer version of Excel. Learn more: https://go.microsoft.com/fwlink/?linkid=870924
Comment:
    Change title "Difficult conversations"</t>
      </text>
    </comment>
    <comment ref="K124" authorId="35" shapeId="0" xr:uid="{88F271C8-D8E2-4ED9-9098-98ECBBBC2C0D}">
      <text>
        <t>[Threaded comment]
Your version of Excel allows you to read this threaded comment; however, any edits to it will get removed if the file is opened in a newer version of Excel. Learn more: https://go.microsoft.com/fwlink/?linkid=870924
Comment:
    @COEUDEVEZ Alix I corrected: subtitle for template = Brussles/Luxembourg
And learn.EP as CM on template level</t>
      </text>
    </comment>
    <comment ref="B125" authorId="36" shapeId="0" xr:uid="{314E1A60-5E60-4366-A267-EEC9A4A167CE}">
      <text>
        <t>[Threaded comment]
Your version of Excel allows you to read this threaded comment; however, any edits to it will get removed if the file is opened in a newer version of Excel. Learn more: https://go.microsoft.com/fwlink/?linkid=870924
Comment:
    create umbrella</t>
      </text>
    </comment>
    <comment ref="K125" authorId="37" shapeId="0" xr:uid="{6506C1C6-DF4A-49C2-AC46-9119F14233F1}">
      <text>
        <t>[Threaded comment]
Your version of Excel allows you to read this threaded comment; however, any edits to it will get removed if the file is opened in a newer version of Excel. Learn more: https://go.microsoft.com/fwlink/?linkid=870924
Comment:
    @TORNERYD Annica I put learn.ep as CM on template.</t>
      </text>
    </comment>
    <comment ref="K126" authorId="38" shapeId="0" xr:uid="{0CAFBC29-93F3-4E77-BEAA-F3A58B126A8E}">
      <text>
        <t>[Threaded comment]
Your version of Excel allows you to read this threaded comment; however, any edits to it will get removed if the file is opened in a newer version of Excel. Learn more: https://go.microsoft.com/fwlink/?linkid=870924
Comment:
    @TORNERYD Annica I corrected: CM on template should be learn.EP</t>
      </text>
    </comment>
    <comment ref="K127" authorId="39" shapeId="0" xr:uid="{3A8EC1FA-92C5-4F81-AC12-BFF49A79148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@KRAJCOVA Mariana Please confirm if courses will be available in the future. Currently no course available!
Reply:
    I also corrected: CM on template = learn.ep
Reply:
    and subtitle of course template = Brussels/Luxembourg and "Online" for online template
Reply:
    Yes, the course is in making.</t>
      </text>
    </comment>
    <comment ref="B128" authorId="40" shapeId="0" xr:uid="{FAF26BFC-337A-437D-8EB9-ECFC488BAC91}">
      <text>
        <t>[Threaded comment]
Your version of Excel allows you to read this threaded comment; however, any edits to it will get removed if the file is opened in a newer version of Excel. Learn more: https://go.microsoft.com/fwlink/?linkid=870924
Comment:
    Voice techniques - change title</t>
      </text>
    </comment>
    <comment ref="K128" authorId="41" shapeId="0" xr:uid="{90673F80-D7CB-4070-9F58-341CF316AD9C}">
      <text>
        <t>[Threaded comment]
Your version of Excel allows you to read this threaded comment; however, any edits to it will get removed if the file is opened in a newer version of Excel. Learn more: https://go.microsoft.com/fwlink/?linkid=870924
Comment:
    @MACLER Elodie I corrected: subtitle = Brussels/Luxembourg</t>
      </text>
    </comment>
    <comment ref="K129" authorId="42" shapeId="0" xr:uid="{A5DA71DA-6439-4EAE-84C8-6F9B306451D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@KRAJCOVA Mariana this is a learning challenge (mix of LiL videos) from the EC. Do we want to keep this published in our catalogue, while we have our own catalogue courses on this topic?
Reply:
    Remove from the catalogue. Tx.</t>
      </text>
    </comment>
    <comment ref="J132" authorId="43" shapeId="0" xr:uid="{A773A02C-6652-4D4C-8818-A1C900B86B7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@BRAVO Francisco @ZANOLI Carlos we are not sure of the status of the accessibility courses. Will they come back or all moved to eLearning?
Reply:
    TBC by @ZANOLI Carlos , I think the new eLearning being developed by SIMAVI+Funka are complementary, but better to check with Carlos
Reply:
    All the DA courses will be replaced by the elearning. As soon as it is ready, I will move all the prebookings from online courses to elearning. I wouldn't include them in the brochure</t>
      </text>
    </comment>
    <comment ref="K133" authorId="44" shapeId="0" xr:uid="{74B0C125-611F-4B15-A7A3-56AA1C9474E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can you please change the subtitle to delivery mode for both template and courses assigned to template?</t>
      </text>
    </comment>
    <comment ref="K135" authorId="45" shapeId="0" xr:uid="{8EFABD88-0951-4931-9F3F-94481FAC734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courses assigned to this template need their subtitles changed to delivery mode. template is good.
Reply:
    you mean past courses?</t>
      </text>
    </comment>
    <comment ref="K136" authorId="46" shapeId="0" xr:uid="{41B71CCA-CB8F-4F01-ABDD-B4839068C6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subtitles need to be fixed</t>
      </text>
    </comment>
    <comment ref="K137" authorId="47" shapeId="0" xr:uid="{A46D9B17-67B7-420E-8579-A9E24CC14B1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subtitles need to be fixed</t>
      </text>
    </comment>
    <comment ref="K145" authorId="48" shapeId="0" xr:uid="{C53DD587-6235-4A1D-945E-84FEC554BC8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subtitles need to be fixed</t>
      </text>
    </comment>
    <comment ref="K147" authorId="49" shapeId="0" xr:uid="{B275ED46-899F-4889-B536-92718C40F35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 in template needs to be fixed</t>
      </text>
    </comment>
    <comment ref="K148" authorId="50" shapeId="0" xr:uid="{CF8C0A86-0979-482D-95C8-92C062EAFFB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can you please correct the subtitle for this template? should be online instead of online course</t>
      </text>
    </comment>
    <comment ref="B149" authorId="51" shapeId="0" xr:uid="{B22B4B44-C99D-463E-BB2C-3B6054BF4B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Why "step 1" in title @ZANOLI Carlos ?
Reply:
    because there should be a "step 2" version, which is the advanced version, but we don't offer it in the catalogue, tailor made only</t>
      </text>
    </comment>
    <comment ref="J149" authorId="52" shapeId="0" xr:uid="{908A21A5-0F6F-4D19-8C64-7D0ABB007FDF}">
      <text>
        <t>[Threaded comment]
Your version of Excel allows you to read this threaded comment; however, any edits to it will get removed if the file is opened in a newer version of Excel. Learn more: https://go.microsoft.com/fwlink/?linkid=870924
Comment:
    @ZANOLI Carlos please check
Reply:
    I would say not needed in the catalogue</t>
      </text>
    </comment>
    <comment ref="K154" authorId="53" shapeId="0" xr:uid="{62973BFF-A9B8-42B0-AD99-CF4C50B74C7D}">
      <text>
        <t>[Threaded comment]
Your version of Excel allows you to read this threaded comment; however, any edits to it will get removed if the file is opened in a newer version of Excel. Learn more: https://go.microsoft.com/fwlink/?linkid=870924
Comment:
    @ZANOLI Carlos subtitle needs to be fixed
Reply:
    hum, idk what course is this or who organizes it :(
Reply:
    Course is forward to a video from a university. We can change it ourselves.</t>
      </text>
    </comment>
    <comment ref="K155" authorId="54" shapeId="0" xr:uid="{D28AF855-DB2C-4E94-BFE6-49A766BBEF2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
Reply:
    @ZANOLI Carlos do you mind if I change it to just eLearning in the subtitle?</t>
      </text>
    </comment>
    <comment ref="K159" authorId="55" shapeId="0" xr:uid="{B7AA81BF-7B61-4EBB-B256-FFAE2E996C96}">
      <text>
        <t>[Threaded comment]
Your version of Excel allows you to read this threaded comment; however, any edits to it will get removed if the file is opened in a newer version of Excel. Learn more: https://go.microsoft.com/fwlink/?linkid=870924
Comment:
    @ZANOLI Carlos need to add subtitle to template
Reply:
    The course is encoded as classroom on the template level but is then encoded as online on the course level. @ZANOLI Carlos 
Reply:
    @CHARTOL Adeline whatttt??? I see they all are classroom, can you show me please?
Reply:
    @ZANOLI Carlos ooops im sorryy you are right!!</t>
      </text>
    </comment>
    <comment ref="K160" authorId="56" shapeId="0" xr:uid="{279501BF-646D-41DB-A002-0909C8E5042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can we remove this? not organised since 2024
Reply:
    yes remove it</t>
      </text>
    </comment>
    <comment ref="J161" authorId="57" shapeId="0" xr:uid="{F1A78CDB-3DC5-4EDA-BE80-5463955465F4}">
      <text>
        <t>[Threaded comment]
Your version of Excel allows you to read this threaded comment; however, any edits to it will get removed if the file is opened in a newer version of Excel. Learn more: https://go.microsoft.com/fwlink/?linkid=870924
Comment:
    @ZANOLI Carlos please say if AWS will stay in the offer
Reply:
    It's an EC course - maybe it's better to hide it in the meantime?
Reply:
    removed from the catalogue -&gt; course was in the past</t>
      </text>
    </comment>
    <comment ref="K162" authorId="58" shapeId="0" xr:uid="{EA7F5211-F5F4-4BCF-B412-BB7DB11344EA}">
      <text>
        <t>[Threaded comment]
Your version of Excel allows you to read this threaded comment; however, any edits to it will get removed if the file is opened in a newer version of Excel. Learn more: https://go.microsoft.com/fwlink/?linkid=870924
Comment:
    @ZANOLI Carlos should this still be in the catalogue?
Reply:
    @VIANNIS Ioannis what do you think?
Reply:
    @ZANOLI Carlos I think it makes sense because it leads to certification.</t>
      </text>
    </comment>
    <comment ref="K163" authorId="59" shapeId="0" xr:uid="{1FFAD08A-80DC-4EBC-A102-1E8023256F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@VIANNIS Ioannis Should this course still be in the catalogue? If so, can you add a subtitle?
Reply:
    @CHARTOL Adeline Marguerite Rose This needs to be removed. Too old.</t>
      </text>
    </comment>
    <comment ref="K164" authorId="60" shapeId="0" xr:uid="{8B0C1DCA-0291-4584-A809-3F1850D1D7F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@VIANNIS Ioannis same question as above
Reply:
    @CHARTOL Adeline Marguerite Rose Needs to be removed. Too old</t>
      </text>
    </comment>
    <comment ref="K166" authorId="61" shapeId="0" xr:uid="{1B18E89C-CFCA-42E9-BDDB-6A6DBF3A29C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@HENNINGSEN Philipp Alexander @ŠTIH Kaja these courses haven't been organized since 2021, can i remove them from catalogue? this course and course blow
Reply:
    this are files. They files are avalier for an unlimited time. So we can keep them. However, I'm not sure if they should go into the brochure. @ZANOLI Carlos please confirm if they are "highlights" or not</t>
      </text>
    </comment>
    <comment ref="K168" authorId="62" shapeId="0" xr:uid="{94013731-FBAE-479F-8AC7-365C2C82934B}">
      <text>
        <t>[Threaded comment]
Your version of Excel allows you to read this threaded comment; however, any edits to it will get removed if the file is opened in a newer version of Excel. Learn more: https://go.microsoft.com/fwlink/?linkid=870924
Comment:
    @ŠTIH Kaja subtitle is wrong
Reply:
    thank you, done!</t>
      </text>
    </comment>
    <comment ref="K175" authorId="63" shapeId="0" xr:uid="{3E29CBA7-52B7-4983-8BD8-678645D1518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The course template needs a subtitle</t>
      </text>
    </comment>
    <comment ref="K176" authorId="64" shapeId="0" xr:uid="{4F1F7A89-79A6-4732-A254-6C5A73AC4CC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can we remove this? not organised since 2024
Reply:
    I will organize 2 sessions soon!</t>
      </text>
    </comment>
    <comment ref="J180" authorId="65" shapeId="0" xr:uid="{22911E86-A6F1-48A7-A78E-716D996532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@HENNINGSEN Philipp Alexander I wouldn't put this, it's an EC course
Reply:
    I changed to "No". @BRAVO Francisco please confirm.
Reply:
    Confirmed!</t>
      </text>
    </comment>
    <comment ref="K193" authorId="66" shapeId="0" xr:uid="{0C3AC102-76DC-4529-91C6-6671F44672D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Should we remove this from the catalogue?
Reply:
    not yet, SAFE wanted to offer more dates in the future
Reply:
    Can you correct the subtitle for the template @ZANOLI Carlos </t>
      </text>
    </comment>
    <comment ref="K196" authorId="67" shapeId="0" xr:uid="{260BD0B1-E9B7-4EB3-A502-68926EBB92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some of the upcoming courses under this template have inccorect subtitles. should just be brussels or luxembourg with no additional words</t>
      </text>
    </comment>
    <comment ref="K197" authorId="68" shapeId="0" xr:uid="{94037C20-42F6-46DE-BEED-0BE8F925E3A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should we remove this from the catalogue?
Reply:
    ITEC wanted to keep it for future sessions
Reply:
    @ZANOLI Carlos the titles in the template need to match. also the subtitle should be fixed.</t>
      </text>
    </comment>
    <comment ref="K198" authorId="69" shapeId="0" xr:uid="{E645A24C-BDDA-4F9F-AF9C-C680C9DD5EA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 is wrong
Reply:
    @ZANOLI Carlos could i change the subtitle to eLearning?</t>
      </text>
    </comment>
    <comment ref="K201" authorId="70" shapeId="0" xr:uid="{A14525D5-9D2C-48CA-8EDE-0735BC7D38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 is wrong
Reply:
    @ZANOLI Carlos titles in the template do not match
Reply:
    Course instead of template attached to catalogue now.</t>
      </text>
    </comment>
    <comment ref="K205" authorId="71" shapeId="0" xr:uid="{317AEFB0-D396-4BF2-BDD9-9B6EB8FB219E}">
      <text>
        <t>[Threaded comment]
Your version of Excel allows you to read this threaded comment; however, any edits to it will get removed if the file is opened in a newer version of Excel. Learn more: https://go.microsoft.com/fwlink/?linkid=870924
Comment:
    @ZANOLI Carlos subtitles for these courses are wrong</t>
      </text>
    </comment>
    <comment ref="K206" authorId="72" shapeId="0" xr:uid="{423893F2-9D2E-46C5-A483-FF31B66D5C0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can we remove this? not organised since 2024
Reply:
    i dont even know what that is - remove!</t>
      </text>
    </comment>
    <comment ref="K211" authorId="73" shapeId="0" xr:uid="{2DFDAB12-DF67-436B-AED0-76CD23BC498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the titles in the template do not match</t>
      </text>
    </comment>
    <comment ref="K212" authorId="74" shapeId="0" xr:uid="{1E4B20CA-AC91-425F-99B1-800763056FC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titles in the template do not match</t>
      </text>
    </comment>
    <comment ref="K215" authorId="75" shapeId="0" xr:uid="{36EA5A1D-5EF4-48EC-AAA2-1D3BA3673B8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 should just be classroom. the subtitles for the courses should just have the name of the city.</t>
      </text>
    </comment>
    <comment ref="K216" authorId="76" shapeId="0" xr:uid="{3C93F98E-7B1D-4230-A493-F27AAF12A6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titles in template are not the same in description and course description. subtitles should also be corrected.
Reply:
    @ZANOLI Carlos would you mind if i fixed this?</t>
      </text>
    </comment>
    <comment ref="J221" authorId="77" shapeId="0" xr:uid="{C5BD7B1F-5196-4EA0-B324-38DE89C3A99F}">
      <text>
        <t>[Threaded comment]
Your version of Excel allows you to read this threaded comment; however, any edits to it will get removed if the file is opened in a newer version of Excel. Learn more: https://go.microsoft.com/fwlink/?linkid=870924
Comment:
    @HENNINGSEN Philipp Alexander I propose to remove it from the catalogue even</t>
      </text>
    </comment>
    <comment ref="K221" authorId="78" shapeId="0" xr:uid="{AB66EA2D-F84A-42C0-A1B7-7B40429FCE5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the template needs a subtitle
Reply:
    Can we remove this template? not organised since 2024
Reply:
    yes removee</t>
      </text>
    </comment>
    <comment ref="K223" authorId="79" shapeId="0" xr:uid="{F7540353-814B-41CF-8C81-7D30855703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 needs to be fixed</t>
      </text>
    </comment>
    <comment ref="K224" authorId="80" shapeId="0" xr:uid="{4757FB79-BE33-4094-819D-DF933331AA3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titles in template do not match @ZANOLI Carlos </t>
      </text>
    </comment>
    <comment ref="K225" authorId="81" shapeId="0" xr:uid="{F4964608-5179-4FBF-8103-D788DB55AC7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subtitles are not correct in some of the courses and in the template. also titles are not correct in template.</t>
      </text>
    </comment>
    <comment ref="K226" authorId="82" shapeId="0" xr:uid="{4ADF9DF2-5DB4-4B1B-9837-1CDCF057104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subtitles are not correct and titles do not match.</t>
      </text>
    </comment>
    <comment ref="K228" authorId="83" shapeId="0" xr:uid="{64158405-6DCA-479E-A63D-409232DC9FB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 needs to be fixed</t>
      </text>
    </comment>
    <comment ref="K230" authorId="84" shapeId="0" xr:uid="{F96826CA-951B-499C-864F-670DEA4CB096}">
      <text>
        <t>[Threaded comment]
Your version of Excel allows you to read this threaded comment; however, any edits to it will get removed if the file is opened in a newer version of Excel. Learn more: https://go.microsoft.com/fwlink/?linkid=870924
Comment:
    @ZANOLI Carlos subtitle needs to be fixed</t>
      </text>
    </comment>
    <comment ref="K231" authorId="85" shapeId="0" xr:uid="{006376DE-439F-4EBC-865A-F5708452BF7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subtitle needs to be fixed</t>
      </text>
    </comment>
    <comment ref="K232" authorId="86" shapeId="0" xr:uid="{5C96A221-7441-4799-8F50-15E87FD287C1}">
      <text>
        <t>[Threaded comment]
Your version of Excel allows you to read this threaded comment; however, any edits to it will get removed if the file is opened in a newer version of Excel. Learn more: https://go.microsoft.com/fwlink/?linkid=870924
Comment:
    @ZANOLI Carlos subtitle needs to be fixed</t>
      </text>
    </comment>
    <comment ref="J256" authorId="87" shapeId="0" xr:uid="{B435477E-AC14-42CC-9C42-28C4D58AC26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Hello @KRAJCOVA Mariana , should we include this one to brochure? 
Reply:
    proposal: no. To be checked by @KRAJCOVA Mariana.
Reply:
    Closing this ticket as review is ongoing anyways. Course was organised only once. So proposal = "no".</t>
      </text>
    </comment>
    <comment ref="K259" authorId="88" shapeId="0" xr:uid="{7D2CB1C6-782B-4C7A-A498-8C7E3AAD28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@KRAJCOVA Mariana is this elearning still in use? Shall we keep it in the catalogue? 
Reply:
    Closing this ticket as review is ongoing. We still have enrolments from this week, so proposal is to keep it. I assigned the course instead of the template to the catalogue. No need to download SCORM.</t>
      </text>
    </comment>
    <comment ref="K260" authorId="89" shapeId="0" xr:uid="{F64CFA8C-41D4-442D-B70C-FE986583F51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@ZANOLI Carlos can we remove this? Not organised since 2025
Reply:
    yes remove</t>
      </text>
    </comment>
    <comment ref="K261" authorId="90" shapeId="0" xr:uid="{8402CEEE-F990-4200-A175-018962F3DA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do you foresee online sessions of this course? If not, I would remove umbrella. 
Reply:
    They want to one online session per year
Reply:
    Okay, then let's leave it as it is :)</t>
      </text>
    </comment>
    <comment ref="K263" authorId="91" shapeId="0" xr:uid="{7925D943-C891-4D89-9598-AD6A2865F13E}">
      <text>
        <t>[Threaded comment]
Your version of Excel allows you to read this threaded comment; however, any edits to it will get removed if the file is opened in a newer version of Excel. Learn more: https://go.microsoft.com/fwlink/?linkid=870924
Comment:
    @MARUCCIA Alessandra can you change course manager on template level to learn.ep and the subtitle to only "elearning"? Also, do you have a suitable thumbnail for this course? 
Reply:
    assigned course instead of template now</t>
      </text>
    </comment>
    <comment ref="K267" authorId="92" shapeId="0" xr:uid="{4B0AE505-9B94-41B8-AC45-11842CDF26D6}">
      <text>
        <t>[Threaded comment]
Your version of Excel allows you to read this threaded comment; however, any edits to it will get removed if the file is opened in a newer version of Excel. Learn more: https://go.microsoft.com/fwlink/?linkid=870924
Comment:
    @DILLON Karen I changed: removed location "Brussels" from the template</t>
      </text>
    </comment>
    <comment ref="K283" authorId="93" shapeId="0" xr:uid="{0A8F8D7C-31A9-45C1-829D-3CA1394B77C8}">
      <text>
        <t>[Threaded comment]
Your version of Excel allows you to read this threaded comment; however, any edits to it will get removed if the file is opened in a newer version of Excel. Learn more: https://go.microsoft.com/fwlink/?linkid=870924
Comment:
    @KRAJCOVA Mariana can we unassign this course? I remember we opened EC EMAS basics course to our learners last year, but as we are now organize it internally, perhaps we can remove it? 
Reply:
    yes</t>
      </text>
    </comment>
    <comment ref="K286" authorId="94" shapeId="0" xr:uid="{967DB5B4-8190-46BB-8A5E-C722B0F22CEF}">
      <text>
        <t>[Threaded comment]
Your version of Excel allows you to read this threaded comment; however, any edits to it will get removed if the file is opened in a newer version of Excel. Learn more: https://go.microsoft.com/fwlink/?linkid=870924
Comment:
    @MACLER Elodie I changed subtitles of courses to match the location. To have only "Brussels" or "Luxembourg" on the course level.
Reply:
    Sure, thanks!</t>
      </text>
    </comment>
    <comment ref="K287" authorId="95" shapeId="0" xr:uid="{7D47B5E0-2EE5-45F6-8506-28926844F1B8}">
      <text>
        <t>[Threaded comment]
Your version of Excel allows you to read this threaded comment; however, any edits to it will get removed if the file is opened in a newer version of Excel. Learn more: https://go.microsoft.com/fwlink/?linkid=870924
Comment:
    @KRAJCOVA Mariana this is not the same as line 70. In line 70 is a learning challenge from the EC. This is a template with courses from us. maybe we should include this? There are dates published for 2026.
Reply:
    70 not to publish as the EC course. This one to publish.
Reply:
    has been replaced by blended template</t>
      </text>
    </comment>
    <comment ref="K289" authorId="96" shapeId="0" xr:uid="{F05A3EA1-078D-43AA-AD86-98839E4DCB65}">
      <text>
        <t xml:space="preserve">[Threaded comment]
Your version of Excel allows you to read this threaded comment; however, any edits to it will get removed if the file is opened in a newer version of Excel. Learn more: https://go.microsoft.com/fwlink/?linkid=870924
Comment:
    Hey @COEUDEVEZ Alix do you plan any session of this course online in 2026? If everything will be in person, I would remove umbrella template. 
Reply:
    there will be online sessions :) at least one 16/04 :)
Reply:
    Okay cool, then we leave it as it is. </t>
      </text>
    </comment>
    <comment ref="K290" authorId="97" shapeId="0" xr:uid="{04794868-8795-4552-BD78-26B6694E5990}">
      <text>
        <t>[Threaded comment]
Your version of Excel allows you to read this threaded comment; however, any edits to it will get removed if the file is opened in a newer version of Excel. Learn more: https://go.microsoft.com/fwlink/?linkid=870924
Comment:
    Replaced by blended template</t>
      </text>
    </comment>
    <comment ref="K292" authorId="98" shapeId="0" xr:uid="{9348C9CA-96E2-4152-9830-4E5D81DCBFAF}">
      <text>
        <t>[Threaded comment]
Your version of Excel allows you to read this threaded comment; however, any edits to it will get removed if the file is opened in a newer version of Excel. Learn more: https://go.microsoft.com/fwlink/?linkid=870924
Comment:
    @KRAJCOVA Mariana @COEUDEVEZ Alix Why not include. Dates for 2026 are published.
Reply:
    It is only 1 yearly session per site. Not typical catalogue course. So for me still  NO
Reply:
    @KRAJCOVA Mariana for the same reason, I would assume that we are not including "Socially responsible public procurement" either? 
Reply:
    ok</t>
      </text>
    </comment>
    <comment ref="K297" authorId="99" shapeId="0" xr:uid="{6222ACEC-955F-410A-9306-7BEB4302ECE5}">
      <text>
        <t xml:space="preserve">[Threaded comment]
Your version of Excel allows you to read this threaded comment; however, any edits to it will get removed if the file is opened in a newer version of Excel. Learn more: https://go.microsoft.com/fwlink/?linkid=870924
Comment:
    Create two subfolders in EU learn - Ethics and Data protection </t>
      </text>
    </comment>
    <comment ref="K298" authorId="100" shapeId="0" xr:uid="{50F97BC3-0B32-4910-B691-71323795F7A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@TORNERYD Annica We are doing a catalogue cleanup for all courses in the Learn.EP catalogue. In this course, the subtitle should be "Brussels/Luxembourg" instead of "City (Brussels/Luxembourg)". Thanks!
Reply:
    I updated the subtitle now.</t>
      </text>
    </comment>
    <comment ref="K299" authorId="101" shapeId="0" xr:uid="{1CF9D46E-58BB-4384-BADE-9C5687E04B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@TORNERYD Annica This course has location online but is classified as a classroom course. There is also no subtitle. 
Reply:
    no location on template anymore.</t>
      </text>
    </comment>
    <comment ref="K300" authorId="102" shapeId="0" xr:uid="{7801979B-31B8-47FD-81BA-486F5797D6B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@TORNERYD Annica please change the course manager on template level to learn.ep</t>
      </text>
    </comment>
    <comment ref="K302" authorId="103" shapeId="0" xr:uid="{9DFA333A-ACE8-426E-A58A-53EB924EA92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@KRASTEVA Viktoriya there should be a subtitle for this template Brussels/Luxembourg
Reply:
    I updated it now</t>
      </text>
    </comment>
    <comment ref="K308" authorId="104" shapeId="0" xr:uid="{0650DBEA-351B-479A-9993-1E4D3A4DCB8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@TORNERYD Annica @KRAJCOVA Mariana This are online and onsite versions of the course. Three options:
1. create umbrellas to combine them
2. assign both to brochure
3. combine both versions within the brochure (if this is possible)
Reply:
    Option 3 is available. Please still create umbrella. @TORNERYD Annica please let us know if you need help</t>
      </text>
    </comment>
    <comment ref="K310" authorId="105" shapeId="0" xr:uid="{AEA6F3AA-8536-4724-82CA-02758FAA81B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@TORNERYD Annica @KRAJCOVA Mariana This are online and onsite versions of the course. Three options:
1. create umbrellas to combine them
2. assign both to brochure
3. combine both versions within the brochure (if this is possible)
Reply:
    To discuss with Laurent the best option.
Reply:
    Option 3 is available. Please still create umbrella. @TORNERYD Annica please let us know if you need help
Reply:
    The other version of this template didn't have course since 2024. if we can remove it, no umbrella will be needed.</t>
      </text>
    </comment>
    <comment ref="K311" authorId="106" shapeId="0" xr:uid="{1B8EB6DE-B913-4915-8ED7-E7C4AF8F175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@TORNERYD Annica Can we remove this template from the catalogue? Not organised since 2024
Reply:
    If we remove this, no umbrella needed.
</t>
      </text>
    </comment>
    <comment ref="K312" authorId="107" shapeId="0" xr:uid="{513E8D7F-6996-4F99-9E64-C45DCBB56B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@TORNERYD Annica The subtitle for this template should be fixed to Brussels/Luxembourg.
Reply:
    i updated it now</t>
      </text>
    </comment>
    <comment ref="K313" authorId="108" shapeId="0" xr:uid="{D09DF444-9DCE-45E9-B9FE-FFA9197112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@TORNERYD Annica The subtitle in this template should be fixed to Brussels/Luxembourg
Reply:
    i updated it now</t>
      </text>
    </comment>
    <comment ref="K317" authorId="109" shapeId="0" xr:uid="{456B88EF-F08F-4821-9D57-F55A9BB5F610}">
      <text>
        <t>[Threaded comment]
Your version of Excel allows you to read this threaded comment; however, any edits to it will get removed if the file is opened in a newer version of Excel. Learn more: https://go.microsoft.com/fwlink/?linkid=870924
Comment:
    @LÓPEZ RIVAS Ángela I added subtitles here where missing.
Reply:
    Only classroom version published right now.</t>
      </text>
    </comment>
    <comment ref="K319" authorId="110" shapeId="0" xr:uid="{9B70EC8C-7EA0-4568-98FC-CA2AC2BB7EC3}">
      <text>
        <t>[Threaded comment]
Your version of Excel allows you to read this threaded comment; however, any edits to it will get removed if the file is opened in a newer version of Excel. Learn more: https://go.microsoft.com/fwlink/?linkid=870924
Comment:
    @LÓPEZ RIVAS Ángela I changed subtitle to Brussels and location to Campoamor.</t>
      </text>
    </comment>
    <comment ref="K320" authorId="111" shapeId="0" xr:uid="{89090851-8227-4353-AEF3-EF71B9BD995A}">
      <text>
        <t>[Threaded comment]
Your version of Excel allows you to read this threaded comment; however, any edits to it will get removed if the file is opened in a newer version of Excel. Learn more: https://go.microsoft.com/fwlink/?linkid=870924
Comment:
    I changed course manager - leanr.ep</t>
      </text>
    </comment>
    <comment ref="K321" authorId="112" shapeId="0" xr:uid="{33ABB151-B615-4753-8EEA-40F21D80ED1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@GALLEGO GONZALEZ Ana subtitles are missing. Can you add "Brussels/Luxembourg" to the template and "Brussels" or "Luxembourg" to courses? I have disabled automatic updates already. 
Reply:
    Only classroom template published right now.</t>
      </text>
    </comment>
    <comment ref="J322" authorId="113" shapeId="0" xr:uid="{4B6C5C5E-DEDE-4BAE-85CB-0977D0E25E97}">
      <text>
        <t>[Threaded comment]
Your version of Excel allows you to read this threaded comment; however, any edits to it will get removed if the file is opened in a newer version of Excel. Learn more: https://go.microsoft.com/fwlink/?linkid=870924
Comment:
    @KRAJCOVA Mariana I can see there is many dates scheduled for 2026. Should we include it in the brochure? 
Reply:
    These courses are done by ITEC, but ok to include them I guess.</t>
      </text>
    </comment>
    <comment ref="K322" authorId="114" shapeId="0" xr:uid="{3BD677C6-E2CB-4523-8FFB-6E1CB1B20C2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@LÓPEZ RIVAS Ángela I changed location on all the courses to building. (Andenauer instead of Luxembourg and Campoamor instead of Brussels). Do you have a thumbnail picture for this course?</t>
      </text>
    </comment>
    <comment ref="J324" authorId="115" shapeId="0" xr:uid="{49F8A3FE-ED46-4B9C-9BFD-50667BCCBDFC}">
      <text>
        <t>[Threaded comment]
Your version of Excel allows you to read this threaded comment; however, any edits to it will get removed if the file is opened in a newer version of Excel. Learn more: https://go.microsoft.com/fwlink/?linkid=870924
Comment:
    @MARUCCIA Alessandra I would include this course to the brochure, do you agree? 
Reply:
    yes</t>
      </text>
    </comment>
    <comment ref="K326" authorId="116" shapeId="0" xr:uid="{F9561B62-6249-40A0-93F3-78CD9C314E51}">
      <text>
        <t>[Threaded comment]
Your version of Excel allows you to read this threaded comment; however, any edits to it will get removed if the file is opened in a newer version of Excel. Learn more: https://go.microsoft.com/fwlink/?linkid=870924
Comment:
    @KRAJCOVA Mariana course should be ordered</t>
      </text>
    </comment>
    <comment ref="B327" authorId="117" shapeId="0" xr:uid="{FD849A1A-F3C0-48AA-8543-74A8C67BD39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Change title to make sure it's about regulation and not tools @KRAJCOVA Mariana @GALLEGO GONZALEZ Ana </t>
      </text>
    </comment>
    <comment ref="J327" authorId="118" shapeId="0" xr:uid="{F02F8413-07CA-4391-9264-2A039AC2307B}">
      <text>
        <t>[Threaded comment]
Your version of Excel allows you to read this threaded comment; however, any edits to it will get removed if the file is opened in a newer version of Excel. Learn more: https://go.microsoft.com/fwlink/?linkid=870924
Comment:
    @KRAJCOVA Mariana I would assume we are including both Cybersecurity and Security, Defense and the EU to brochure? 
Reply:
    I close this ticket as review for brochure is ongoing anyways now.</t>
      </text>
    </comment>
    <comment ref="K328" authorId="119" shapeId="0" xr:uid="{3C6CA5CA-AB27-4E54-A327-58E91881E1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@LÓPEZ RIVAS Ángela I made you a course manager of this course. 
Reply:
    @LÓPEZ RIVAS Ángela subtitles are incorrect or missing. Can you please add "Brussels/Luxembourg" to template and one of the two to courses? 
Reply:
    Done! thx
Reply:
    Only classroom template published right now</t>
      </text>
    </comment>
    <comment ref="K330" authorId="120" shapeId="0" xr:uid="{1241260D-4CA6-47F7-8421-F810FE27BE09}">
      <text>
        <t>[Threaded comment]
Your version of Excel allows you to read this threaded comment; however, any edits to it will get removed if the file is opened in a newer version of Excel. Learn more: https://go.microsoft.com/fwlink/?linkid=870924
Comment:
    @GALLEGO GONZALEZ Ana I changed CM on template from Edel to learn.EP. 
Reply:
    Great, many thanks!
Reply:
    Only online template published right now</t>
      </text>
    </comment>
    <comment ref="K332" authorId="121" shapeId="0" xr:uid="{22210AD7-6F76-4A61-9B79-8B513F4A3D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@GALLEGO GONZALEZ Ana CM on template level is missing. Please add learn.EP.
Reply:
    Only online template published right now</t>
      </text>
    </comment>
    <comment ref="K334" authorId="122" shapeId="0" xr:uid="{5D83DE9D-E627-4CE9-9FA4-D9F42AF1958C}">
      <text>
        <t xml:space="preserve">[Threaded comment]
Your version of Excel allows you to read this threaded comment; however, any edits to it will get removed if the file is opened in a newer version of Excel. Learn more: https://go.microsoft.com/fwlink/?linkid=870924
Comment:
    @GALLEGO GONZALEZ Ana subtitle on template should be "Brussels/Luxembourg" + Please add yourself as CM on courses. </t>
      </text>
    </comment>
    <comment ref="K338" authorId="123" shapeId="0" xr:uid="{25A6A555-7A65-47D7-97C0-6BE456904DA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@GALLEGO GONZALEZ Ana @LÓPEZ RIVAS Ángela I removed Brussels from the location on template.
Reply:
    @LÓPEZ RIVAS Ángela can you remove this course from the catalogue? The one that took place today and was assigned to the catalogue as a separate course.
Reply:
    Yes! @ŠTIH Kaja </t>
      </text>
    </comment>
    <comment ref="K340" authorId="124" shapeId="0" xr:uid="{748BDA84-EB96-41EC-B73C-FB1EDB82120C}">
      <text>
        <t>[Threaded comment]
Your version of Excel allows you to read this threaded comment; however, any edits to it will get removed if the file is opened in a newer version of Excel. Learn more: https://go.microsoft.com/fwlink/?linkid=870924
Comment:
    @LÓPEZ RIVAS Ángela I changed location of the classroom version to Campoamor.</t>
      </text>
    </comment>
    <comment ref="K341" authorId="125" shapeId="0" xr:uid="{7D620059-0D36-4CCD-BC3B-AC922E4BB974}">
      <text>
        <t>[Threaded comment]
Your version of Excel allows you to read this threaded comment; however, any edits to it will get removed if the file is opened in a newer version of Excel. Learn more: https://go.microsoft.com/fwlink/?linkid=870924
Comment:
    Only classroom template published right now</t>
      </text>
    </comment>
    <comment ref="K344" authorId="126" shapeId="0" xr:uid="{5FBEE44B-C065-4228-9095-C80C7701DB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@LÓPEZ RIVAS Ángela there is no expression of interest bottom. Can you set it up on template level? 
Reply:
    done!
Reply:
    thank youuu!</t>
      </text>
    </comment>
    <comment ref="K345" authorId="127" shapeId="0" xr:uid="{6C1D36DB-FBDF-4507-8279-4E7F611CEA21}">
      <text>
        <t>[Threaded comment]
Your version of Excel allows you to read this threaded comment; however, any edits to it will get removed if the file is opened in a newer version of Excel. Learn more: https://go.microsoft.com/fwlink/?linkid=870924
Comment:
    Only classroom template published right now</t>
      </text>
    </comment>
    <comment ref="K347" authorId="128" shapeId="0" xr:uid="{A4A20D32-5604-488E-B6C1-D4DC02965A92}">
      <text>
        <t>[Threaded comment]
Your version of Excel allows you to read this threaded comment; however, any edits to it will get removed if the file is opened in a newer version of Excel. Learn more: https://go.microsoft.com/fwlink/?linkid=870924
Comment:
    Only classroom template published right now</t>
      </text>
    </comment>
    <comment ref="K353" authorId="129" shapeId="0" xr:uid="{3622B840-A29C-4B76-A514-8F19FD08059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@KRAJCOVA Mariana can we remove this from the catalogue? No course organised since 2024. The recordings are availabe via a different  template?
Reply:
    Removed from the catalogue -&gt; new subfolder for all EU policymaking hub templates created.</t>
      </text>
    </comment>
    <comment ref="K360" authorId="130" shapeId="0" xr:uid="{93D2A480-DF41-414D-82EA-7ABE57194D0E}">
      <text>
        <t xml:space="preserve">[Threaded comment]
Your version of Excel allows you to read this threaded comment; however, any edits to it will get removed if the file is opened in a newer version of Excel. Learn more: https://go.microsoft.com/fwlink/?linkid=870924
Comment:
    @ŠTIH Kaja @HENNINGSEN Philipp Alexander Not sure what to do about this one. There don't seem to be courses organized for almost a year.
Reply:
    @KRAJCOVA Mariana I removed this from the catalogue. No course organised since March 25 and no future course available. Expression of interest is not open. Looks like the course was discontinued. If you disagree please let me know. </t>
      </text>
    </comment>
    <comment ref="K361" authorId="131" shapeId="0" xr:uid="{747FC599-EA27-4203-BA4B-D8C40E788F4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@KRAJCOVA Mariana @MACLER Elodie Is this recording still relevant? Please let us know if we should keep it published.
Reply:
    I removed it from the catalogue as we have FINS academy eLearnings now</t>
      </text>
    </comment>
    <comment ref="K382" authorId="132" shapeId="0" xr:uid="{DD04188A-96F9-45A2-B379-274A398AE2E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This has never been organised so far. Will it come? Should it be included in brochure and catalogue?
Reply:
    I will investigate but for now, I think we can remove it from the catalogue
Reply:
    Ok. I removed it for now. If you ever have to organise it, you can ofc. simply publish again :)</t>
      </text>
    </comment>
    <comment ref="K383" authorId="133" shapeId="0" xr:uid="{D7678F09-70CE-4F12-AE19-7D4619AC225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@KRAJCOVA Mariana Is this recording still relevant? Should it stay published in our catalogue?
Reply:
    I would say it can be removed</t>
      </text>
    </comment>
    <comment ref="K384" authorId="134" shapeId="0" xr:uid="{1C7CB897-0446-44CB-8E3B-3BA1A9BC1599}">
      <text>
        <t>[Threaded comment]
Your version of Excel allows you to read this threaded comment; however, any edits to it will get removed if the file is opened in a newer version of Excel. Learn more: https://go.microsoft.com/fwlink/?linkid=870924
Comment:
    @KRAJCOVA Mariana @MACLER Elodie I removed this from our catalogue, no course since 2023 organised.</t>
      </text>
    </comment>
    <comment ref="K387" authorId="135" shapeId="0" xr:uid="{91319C09-7DDD-4B7B-A0D7-43D08A2B1F46}">
      <text>
        <t>[Threaded comment]
Your version of Excel allows you to read this threaded comment; however, any edits to it will get removed if the file is opened in a newer version of Excel. Learn more: https://go.microsoft.com/fwlink/?linkid=870924
Comment:
    @MACLER Elodie corrected subtitle of the template</t>
      </text>
    </comment>
    <comment ref="K388" authorId="136" shapeId="0" xr:uid="{1B7238DD-FFBF-4405-8D7C-4099F8542D24}">
      <text>
        <t>[Threaded comment]
Your version of Excel allows you to read this threaded comment; however, any edits to it will get removed if the file is opened in a newer version of Excel. Learn more: https://go.microsoft.com/fwlink/?linkid=870924
Comment:
    @MACLER Elodie @KRAJCOVA Mariana I removed this from the catalogue. No course since 2024.</t>
      </text>
    </comment>
    <comment ref="K389" authorId="137" shapeId="0" xr:uid="{A740B786-CE4B-47EE-BD51-1C820E191E68}">
      <text>
        <t>[Threaded comment]
Your version of Excel allows you to read this threaded comment; however, any edits to it will get removed if the file is opened in a newer version of Excel. Learn more: https://go.microsoft.com/fwlink/?linkid=870924
Comment:
    @MACLER Elodie Corrected subtitle to "Online".</t>
      </text>
    </comment>
    <comment ref="K390" authorId="138" shapeId="0" xr:uid="{07E39027-0131-4D8D-AF11-F15479130A8C}">
      <text>
        <t>[Threaded comment]
Your version of Excel allows you to read this threaded comment; however, any edits to it will get removed if the file is opened in a newer version of Excel. Learn more: https://go.microsoft.com/fwlink/?linkid=870924
Comment:
    @MACLER Elodie I corrected the subtitle to "Online"</t>
      </text>
    </comment>
    <comment ref="K391" authorId="139" shapeId="0" xr:uid="{BCDC446F-FD58-4AD5-822F-D2ADC970FA46}">
      <text>
        <t>[Threaded comment]
Your version of Excel allows you to read this threaded comment; however, any edits to it will get removed if the file is opened in a newer version of Excel. Learn more: https://go.microsoft.com/fwlink/?linkid=870924
Comment:
    @MACLER Elodie I corrected the subtitle to "Brussels/Luxembourg"</t>
      </text>
    </comment>
    <comment ref="K392" authorId="140" shapeId="0" xr:uid="{699A661C-8ED7-4854-B55A-144B3EDD03B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I removed "Multiple locations" as location -&gt; should be empty. Corrected subtitle to "Brussels/Luxembourg"
Reply:
    @MACLER Elodie In the future please use virtual classroom template to encode online courses. Do not use the offline verison.
Reply:
    Noted, sorry!</t>
      </text>
    </comment>
    <comment ref="K393" authorId="141" shapeId="0" xr:uid="{55923006-84CD-40E3-81ED-172B6991345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I removed this because the course is in the past. If you want to have the template in the brochure, please let me know.
Reply:
    I have no visibility on Flash sessions, they are rather new, they are short "info sessions" on a specific topic. I don't know whether they will decide to do the same topic again or not and I don't know if they should include a certificate. Perhaps we could just put "Flash sessions" in the brochure and not specific topics? @KRAJCOVA Mariana 
Reply:
    -&gt; no Flash sessions in the brochure</t>
      </text>
    </comment>
    <comment ref="K399" authorId="142" shapeId="0" xr:uid="{D7D97B67-A236-4197-825E-214F9A67CAB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Why is one learning path included but not the others. Could you please confirm this is intended?
Reply:
    Hi, I was also wondering why it was the only one, it does not come from me</t>
      </text>
    </comment>
    <comment ref="K404" authorId="143" shapeId="0" xr:uid="{BCAAF6E7-2D13-40F7-872C-6446F8E3B76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Why is this not included for the brochure? There is a steady offer. Please confirm if this is correct to leave it out.
Reply:
    I corrected name in Description tab -&gt; was different between tabs.
And corrected subtitle.
Reply:
    I agree that it shuld be in the brochure</t>
      </text>
    </comment>
    <comment ref="J405" authorId="144" shapeId="0" xr:uid="{0B0CAEF4-613C-4986-9803-3531E80EDD06}">
      <text>
        <t>[Threaded comment]
Your version of Excel allows you to read this threaded comment; however, any edits to it will get removed if the file is opened in a newer version of Excel. Learn more: https://go.microsoft.com/fwlink/?linkid=870924
Comment:
    Should it go to procurement or to financial flow? Check with Mariana</t>
      </text>
    </comment>
    <comment ref="K405" authorId="145" shapeId="0" xr:uid="{C4DCE117-46B6-41E7-A58F-C2275D31F4CA}">
      <text>
        <t>[Threaded comment]
Your version of Excel allows you to read this threaded comment; however, any edits to it will get removed if the file is opened in a newer version of Excel. Learn more: https://go.microsoft.com/fwlink/?linkid=870924
Comment:
    updates subtitle</t>
      </text>
    </comment>
    <comment ref="K414" authorId="146" shapeId="0" xr:uid="{338DD655-0D9A-4255-ACC4-3694FA0F59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@MACLER Elodie Why not share this in the brochure?
Reply:
    Yes, it could be in the brochure, it's organised once or twice a year
Reply:
    -&gt; Based on Marianas reply also removed</t>
      </text>
    </comment>
    <comment ref="K415" authorId="147" shapeId="0" xr:uid="{58AD4E25-7410-4E86-8381-17B63278098D}">
      <text>
        <t>[Threaded comment]
Your version of Excel allows you to read this threaded comment; however, any edits to it will get removed if the file is opened in a newer version of Excel. Learn more: https://go.microsoft.com/fwlink/?linkid=870924
Comment:
    @MACLER Elodie I corrected the name in the template. Was different between tabs. And corrected the subtitle.</t>
      </text>
    </comment>
    <comment ref="K419" authorId="148" shapeId="0" xr:uid="{8F52A50A-123B-4E33-88D9-18299A0BF93A}">
      <text>
        <t>[Threaded comment]
Your version of Excel allows you to read this threaded comment; however, any edits to it will get removed if the file is opened in a newer version of Excel. Learn more: https://go.microsoft.com/fwlink/?linkid=870924
Comment:
    @MACLER Elodie I corrected French subtitle</t>
      </text>
    </comment>
    <comment ref="K420" authorId="149" shapeId="0" xr:uid="{553B46C5-F5F0-4780-A945-9D0169FCA57F}">
      <text>
        <t>[Threaded comment]
Your version of Excel allows you to read this threaded comment; however, any edits to it will get removed if the file is opened in a newer version of Excel. Learn more: https://go.microsoft.com/fwlink/?linkid=870924
Comment:
    @MACLER Elodie I corrected the subtitle</t>
      </text>
    </comment>
    <comment ref="K422" authorId="150" shapeId="0" xr:uid="{42667FBA-A556-4E6A-8886-D2735AA3C829}">
      <text>
        <t>[Threaded comment]
Your version of Excel allows you to read this threaded comment; however, any edits to it will get removed if the file is opened in a newer version of Excel. Learn more: https://go.microsoft.com/fwlink/?linkid=870924
Comment:
    @MACLER Elodie I corrected the subtitle</t>
      </text>
    </comment>
    <comment ref="K423" authorId="151" shapeId="0" xr:uid="{E71C9063-ED73-4742-A8DC-E37F25398259}">
      <text>
        <t>[Threaded comment]
Your version of Excel allows you to read this threaded comment; however, any edits to it will get removed if the file is opened in a newer version of Excel. Learn more: https://go.microsoft.com/fwlink/?linkid=870924
Comment:
    @MACLER Elodie I corrected the subtitle</t>
      </text>
    </comment>
    <comment ref="K424" authorId="152" shapeId="0" xr:uid="{B4F95886-8B33-4732-AAE9-3BD857A0F62F}">
      <text>
        <t>[Threaded comment]
Your version of Excel allows you to read this threaded comment; however, any edits to it will get removed if the file is opened in a newer version of Excel. Learn more: https://go.microsoft.com/fwlink/?linkid=870924
Comment:
    @MACLER Elodie I corrected the subtitle</t>
      </text>
    </comment>
    <comment ref="K425" authorId="153" shapeId="0" xr:uid="{ED80F714-8412-465E-BFEF-CE3C88A9D964}">
      <text>
        <t>[Threaded comment]
Your version of Excel allows you to read this threaded comment; however, any edits to it will get removed if the file is opened in a newer version of Excel. Learn more: https://go.microsoft.com/fwlink/?linkid=870924
Comment:
    @MACLER Elodie I updated the titles to the course titles recently used. Corrected subtitles.</t>
      </text>
    </comment>
    <comment ref="K426" authorId="154" shapeId="0" xr:uid="{B2FBE628-6FB0-419D-861C-F6B0D19DF17D}">
      <text>
        <t>[Threaded comment]
Your version of Excel allows you to read this threaded comment; however, any edits to it will get removed if the file is opened in a newer version of Excel. Learn more: https://go.microsoft.com/fwlink/?linkid=870924
Comment:
    @MACLER Elodie I updated the name of the template to "Low and middle value contracts - how to manage negotiated procedures" based on the name of the last courses.</t>
      </text>
    </comment>
    <comment ref="J437" authorId="155" shapeId="0" xr:uid="{5B882A97-4C99-4C73-9DC0-768A8DF9BB4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dates planned, the risk management unit is planning redesign and reinternalize the training
Reply:
    So should it be removed from the catalogue and from the brochure?
Reply:
    @MACLER Elodie 
Reply:
    They released an eLearning for this now. Can we remove this from the catalogue? @MACLER Elodie 
Reply:
    Yes, thank you!
Reply:
    done</t>
      </text>
    </comment>
    <comment ref="K462" authorId="156" shapeId="0" xr:uid="{A064D676-4AF9-45C7-8303-BA829651A53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@SEKULSKA Anna @MOLINA MESTRE Lidia As far as I understand learners have access to go fluent via the interinstitutional catalogue. Should this catalogue folder be included to the brochure or the specific eLearning course? Please confirm what you think is best for the learners.
Reply:
    @SEKULSKA Anna @MOLINA MESTRE Lidia We need to speak about how to include GoFluent into the brochure.</t>
      </text>
    </comment>
    <comment ref="K463" authorId="157" shapeId="0" xr:uid="{EEFB6F60-4893-403E-B75A-F5ACB5EEB96A}">
      <text>
        <t>[Threaded comment]
Your version of Excel allows you to read this threaded comment; however, any edits to it will get removed if the file is opened in a newer version of Excel. Learn more: https://go.microsoft.com/fwlink/?linkid=870924
Comment:
    To check: compulsory courses &amp; optional courses (keep compulsories single, combine optionals)</t>
      </text>
    </comment>
    <comment ref="K472" authorId="158" shapeId="0" xr:uid="{4FB696A8-081A-44B6-B348-79773C77B202}">
      <text>
        <t xml:space="preserve">[Threaded comment]
Your version of Excel allows you to read this threaded comment; however, any edits to it will get removed if the file is opened in a newer version of Excel. Learn more: https://go.microsoft.com/fwlink/?linkid=870924
Comment:
    Need to clarify how to present this in the brochure @SEKULSKA Anna @ANCIAUX Laurent </t>
      </text>
    </comment>
    <comment ref="J505" authorId="159" shapeId="0" xr:uid="{2688B2E0-0BE5-4131-8F21-7A5B4788B80F}">
      <text>
        <t xml:space="preserve">[Threaded comment]
Your version of Excel allows you to read this threaded comment; however, any edits to it will get removed if the file is opened in a newer version of Excel. Learn more: https://go.microsoft.com/fwlink/?linkid=870924
Comment:
    @SEKULSKA Anna @CHARTOL Adeline Marguerite Rose I marked all placement test as "Yes". GoFluent is currently not published in our catalogue. </t>
      </text>
    </comment>
    <comment ref="K532" authorId="160" shapeId="0" xr:uid="{47EB6F07-80F8-4408-945A-7B1FA620843C}">
      <text>
        <t xml:space="preserve">[Threaded comment]
Your version of Excel allows you to read this threaded comment; however, any edits to it will get removed if the file is opened in a newer version of Excel. Learn more: https://go.microsoft.com/fwlink/?linkid=870924
Comment:
    Check with Christine </t>
      </text>
    </comment>
    <comment ref="K535" authorId="161" shapeId="0" xr:uid="{73813F2F-4BEA-47D7-B3C8-30A82A1389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@GOLEMINOVA Veselina please update subtitle of the template to "Brussels/Luxembourg" and use learn.lead as cm.</t>
      </text>
    </comment>
    <comment ref="K536" authorId="162" shapeId="0" xr:uid="{1F72B7BB-C7C1-4E0C-A6A4-32601A2AA7C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@GABELEIN-PAEHLER Katrin please update subtitle (Brussels/Luxembourg) and CM
Reply:
    replaced by 071074-EP</t>
      </text>
    </comment>
    <comment ref="K538" authorId="163" shapeId="0" xr:uid="{D5FC6F0A-28C1-43AC-8EB9-D7AEDB36DE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@GABELEIN-PAEHLER Katrin Not organised since 2024. Remove from the catalogue?
Reply:
    Is this training replaced by the training on core competencies?
Reply:
    if you want to keep the template please update subtile and CM</t>
      </text>
    </comment>
    <comment ref="K539" authorId="164" shapeId="0" xr:uid="{91E42EFF-6283-4945-AA1D-E8EC24CD7E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@GABELEIN-PAEHLER Katrin please update subtitle to the location "Brussels" and use learn.lead as CM on the template</t>
      </text>
    </comment>
    <comment ref="K540" authorId="165" shapeId="0" xr:uid="{950F50F6-3B7B-4F03-A4EC-77887FEF16B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@GABELEIN-PAEHLER Katrin  please update title (should not have the delivery mode), subtitle = Online, and CM to learn.lead</t>
      </text>
    </comment>
    <comment ref="K541" authorId="166" shapeId="0" xr:uid="{461F27B9-8511-4564-B442-A236EDE782E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@CONTE Viviana This course is only organised online but encoded as blended learning. Please consider creating an online template instead.
In any case: add subtitle = Online, location = online.
Reply:
    I updated the subtitle now. To not make things more complicated we can also keep the template as is.</t>
      </text>
    </comment>
    <comment ref="K542" authorId="167" shapeId="0" xr:uid="{F5EE7D29-3614-4EBD-973A-F38B83BD71F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@GABELEIN-PAEHLER Katrin please update the title (the language shouldn't be included there), the subtitle "Online", and the CM to learn.lead</t>
      </text>
    </comment>
    <comment ref="K543" authorId="168" shapeId="0" xr:uid="{16B0957E-92C0-413C-BF82-6D703BEBFB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@GOLEMINOVA Veselina the template is created for (offline) classroom courses. Howerver there was also an online session organised with it. Please either do the "Celina" solution if you want to organise all courses in one or create one template for online version of the course. Please update CM to learn.lead.</t>
      </text>
    </comment>
    <comment ref="K544" authorId="169" shapeId="0" xr:uid="{A18E0A00-541A-484C-B391-F461D54CE6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@GOLEMINOVA Veselina the french translation is missing. If you never organise it in French, please remove the language on the template. You could also consider updating the subtitle so it's in line with the other items published in the catalogue (Brussles/Lucembourg or Online or Hybrid)</t>
      </text>
    </comment>
    <comment ref="K547" authorId="170" shapeId="0" xr:uid="{6834C4E0-47D7-43EF-BC74-A0004517A69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@GOLEMINOVA Veselina  the french translation is missing. If you never organise it in French, please remove the language on the template.</t>
      </text>
    </comment>
    <comment ref="K549" authorId="171" shapeId="0" xr:uid="{16CF89DE-C7D1-4432-A433-6E73E17D6D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@GABELEIN-PAEHLER Katrin please update subtitle and CM</t>
      </text>
    </comment>
    <comment ref="K550" authorId="172" shapeId="0" xr:uid="{23D705AB-E43A-4CED-A1F6-0332F8FDA89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@LATTEUR Christine Can this template be removed? There was no course sind 2024.
Reply:
    I checked and the courses are not published via this template anymore.
@GABELEIN-PAEHLER Katrin can we remove this outdated template from the catalogue?
Reply:
    ok - please remove
Reply:
    done</t>
      </text>
    </comment>
    <comment ref="K551" authorId="173" shapeId="0" xr:uid="{1629D82C-694C-4D32-9F25-9852D5C80ED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@GOLEMINOVA Veselina please update subtitle of the template to "Brussels/Luxembourg" and use learn.lead as cm.</t>
      </text>
    </comment>
    <comment ref="K552" authorId="174" shapeId="0" xr:uid="{41B279F2-4195-4ADB-9899-0ED1B2FD8BFE}">
      <text>
        <t>[Threaded comment]
Your version of Excel allows you to read this threaded comment; however, any edits to it will get removed if the file is opened in a newer version of Excel. Learn more: https://go.microsoft.com/fwlink/?linkid=870924
Comment:
    @LATTEUR Christine Can this template be removed? There was no course sind 2024.
Reply:
    @GABELEIN-PAEHLER Katrin  I removed this one too.</t>
      </text>
    </comment>
    <comment ref="K553" authorId="175" shapeId="0" xr:uid="{75B581CE-81F7-4FAF-A73F-52C6E429A1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@CONTE Viviana please update the subtitle to "Brussels/Luxembourg or Online"</t>
      </text>
    </comment>
    <comment ref="K554" authorId="176" shapeId="0" xr:uid="{2B1BC326-266F-44B9-AEAD-6B09718F953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@GOLEMINOVA Veselina Please add subtitle and use learn.lead as CM</t>
      </text>
    </comment>
    <comment ref="K559" authorId="177" shapeId="0" xr:uid="{39D45C5B-EBCB-44B5-B65A-26001E9A9B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@GOLEMINOVA Veselina please update the subtitle and use learn.leard as CM. Will this course be organised again? if not, we could remove it from the catalogue.
Reply:
    Response: The course will soon have a new date.
What is the Celina solution you mentioned?
Reply:
    @GOLEMINOVA Veselina 
Celina used to encode courses that are organised onsite and online in one blended learning template.
We looked into this solution and it is feasible if you are very comfortable with the encoding in EU Learn. The issues is that there are many things that need to be considered when encoding. Classic encoding in one template for on-site and one other template for online courses is easier and has less potential for errors.</t>
      </text>
    </comment>
    <comment ref="K562" authorId="178" shapeId="0" xr:uid="{31094C5A-2861-4974-938A-6D91CBC24E68}">
      <text>
        <t>[Threaded comment]
Your version of Excel allows you to read this threaded comment; however, any edits to it will get removed if the file is opened in a newer version of Excel. Learn more: https://go.microsoft.com/fwlink/?linkid=870924
Comment:
    @ANCIAUX Laurent do you have a Thumbnail for this learning path? Could you add it? I am assuming it was removed when the template was updated. 
Reply:
    @ŠTIH Kaja Karen confirmed that we can remove the LP from the catalogue for now. I requested because the courses are not organised anymore. They consider a revamp but haven started yet. I asked because it's also in "Newcomer and mandatory courses" catalogue.</t>
      </text>
    </comment>
    <comment ref="K565" authorId="179" shapeId="0" xr:uid="{29C1A9FF-D543-4E87-AA1E-9AA2F359374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@DILLON Karen @KRAJCOVA Mariana Can we remove this from the catalogue? Has only been organised once.
Reply:
    No, please keep as it is an important training for APA to showcase.</t>
      </text>
    </comment>
    <comment ref="K568" authorId="180" shapeId="0" xr:uid="{B1951BEF-19E4-4E31-8F4C-824334C50F5A}">
      <text>
        <t>[Threaded comment]
Your version of Excel allows you to read this threaded comment; however, any edits to it will get removed if the file is opened in a newer version of Excel. Learn more: https://go.microsoft.com/fwlink/?linkid=870924
Comment:
    @KRAJCOVA Mariana I removed this from the catalogue. The self-paced version is still published but this classroom course was only organised once. If you plan to organise more, please let me know and I will re-attach it.</t>
      </text>
    </comment>
    <comment ref="K569" authorId="181" shapeId="0" xr:uid="{B6290636-E156-4608-8799-4A864AA989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@KRAJCOVA Mariana @PHILLIPS Susan None of the classroom courses is still organised. Remove from the catalogue and only publish the self-paced ones?
Reply:
    @DILLON Karen Do you have any insight on this? 
Reply:
     Karen confirmed that we can remove the LP from the catalogue for now. I requested because the courses are not organised anymore. They consider a revamp but haven started yet.</t>
      </text>
    </comment>
    <comment ref="K576" authorId="182" shapeId="0" xr:uid="{1C04A752-A7F2-44A0-86A0-0CA79EFD4615}">
      <text>
        <t>[Threaded comment]
Your version of Excel allows you to read this threaded comment; however, any edits to it will get removed if the file is opened in a newer version of Excel. Learn more: https://go.microsoft.com/fwlink/?linkid=870924
Comment:
    include in title "including digital tools"</t>
      </text>
    </comment>
    <comment ref="K579" authorId="183" shapeId="0" xr:uid="{969D0546-4FE3-40B9-A06C-793D7FF9B904}">
      <text>
        <t>[Threaded comment]
Your version of Excel allows you to read this threaded comment; however, any edits to it will get removed if the file is opened in a newer version of Excel. Learn more: https://go.microsoft.com/fwlink/?linkid=870924
Comment:
    @ZAVADILOVA Pavlina changed subtitle to Strasbourg.</t>
      </text>
    </comment>
    <comment ref="K595" authorId="184" shapeId="0" xr:uid="{AE52FFB0-EADE-4F95-88E4-C9EC8C0E9EF0}">
      <text>
        <t xml:space="preserve">[Threaded comment]
Your version of Excel allows you to read this threaded comment; however, any edits to it will get removed if the file is opened in a newer version of Excel. Learn more: https://go.microsoft.com/fwlink/?linkid=870924
Comment:
    @DILLON Karen I see there is no online sessions planed. Do you plan to have some in 2026? Otherwise, can we unassign online template? </t>
      </text>
    </comment>
    <comment ref="K597" authorId="185" shapeId="0" xr:uid="{B1848D20-4293-4E51-85B6-0F9DE8E941FC}">
      <text>
        <t xml:space="preserve">[Threaded comment]
Your version of Excel allows you to read this threaded comment; however, any edits to it will get removed if the file is opened in a newer version of Excel. Learn more: https://go.microsoft.com/fwlink/?linkid=870924
Comment:
    @KRASTEVA Viktoriya could you update the course subtitle? We have a rule that subtitles should include only the location, no additional info.
• On the template level:
 – virtual version → “Online”
 – classroom version → “Brussels/Luxembourg”
• On the course level (classroom):
 – use either “Brussels” or “Luxembourg” (not both)
Additionally, location on course level should be encoded as building and not as city, so:
- For a course in Brussels --&gt; Campoamor
- For a course in Luxembourg --&gt; Adenauer. 
Reply:
    Thank you for helping updating them, Kaja. </t>
      </text>
    </comment>
    <comment ref="K598" authorId="186" shapeId="0" xr:uid="{886BA61D-27D5-46BE-992C-9E79B4263DE6}">
      <text>
        <t>[Threaded comment]
Your version of Excel allows you to read this threaded comment; however, any edits to it will get removed if the file is opened in a newer version of Excel. Learn more: https://go.microsoft.com/fwlink/?linkid=870924
Comment:
    @DILLON Karen could you change subtitles of these courses so that you have only "Brussels" or "Luxembourg" on course level?</t>
      </text>
    </comment>
    <comment ref="K599" authorId="187" shapeId="0" xr:uid="{BC4F59E2-70EA-46A6-991D-EC44E541EFFB}">
      <text>
        <t xml:space="preserve">[Threaded comment]
Your version of Excel allows you to read this threaded comment; however, any edits to it will get removed if the file is opened in a newer version of Excel. Learn more: https://go.microsoft.com/fwlink/?linkid=870924
Comment:
    @KRASTEVA Viktoriya I can see there is no dates encoded for this course. Do you have some sessions planed? Otherwise, I would propose to unassign umbrella template and assign just one template with expression of interest bottom. 
Reply:
    Courses will be ordered and published. Please we keep the umbrella. </t>
      </text>
    </comment>
    <comment ref="K600" authorId="188" shapeId="0" xr:uid="{2F36B897-2611-4BFD-9CCC-F81B9895DDAD}">
      <text>
        <t>[Threaded comment]
Your version of Excel allows you to read this threaded comment; however, any edits to it will get removed if the file is opened in a newer version of Excel. Learn more: https://go.microsoft.com/fwlink/?linkid=870924
Comment:
    @DILLON Karen I changed the subtitle of the course in March to "Brussels".</t>
      </text>
    </comment>
    <comment ref="K601" authorId="189" shapeId="0" xr:uid="{361C2B52-96E3-4ABE-8688-0229C70BEC13}">
      <text>
        <t>[Threaded comment]
Your version of Excel allows you to read this threaded comment; however, any edits to it will get removed if the file is opened in a newer version of Excel. Learn more: https://go.microsoft.com/fwlink/?linkid=870924
Comment:
    @DILLON Karen can I take this template out of the catalogue? I can see there is no sessions planed.</t>
      </text>
    </comment>
    <comment ref="K602" authorId="190" shapeId="0" xr:uid="{4AD1E060-6CCC-438D-8241-A516DD2B4DC9}">
      <text>
        <t>[Threaded comment]
Your version of Excel allows you to read this threaded comment; however, any edits to it will get removed if the file is opened in a newer version of Excel. Learn more: https://go.microsoft.com/fwlink/?linkid=870924
Comment:
    @MACLER Elodie Ended in November. Removed from the catalogue.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tc={2A1601D6-D720-4368-98F9-2ADD78DF84E5}</author>
    <author>tc={227D096D-6A1D-411F-9DE9-7BA85207404A}</author>
    <author>tc={5011A9A9-E08F-421E-9455-49DCF4FF18E3}</author>
    <author>tc={27C5954F-E176-4C46-922F-6B9A4C2384AA}</author>
  </authors>
  <commentList>
    <comment ref="B28" authorId="0" shapeId="0" xr:uid="{2A1601D6-D720-4368-98F9-2ADD78DF84E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Why "step 1" in title @ZANOLI Carlos ?
Reply:
    because there should be a "step 2" version, which is the advanced version, but we don't offer it in the catalogue, tailor made only</t>
      </text>
    </comment>
    <comment ref="B73" authorId="1" shapeId="0" xr:uid="{227D096D-6A1D-411F-9DE9-7BA85207404A}">
      <text>
        <t>[Threaded comment]
Your version of Excel allows you to read this threaded comment; however, any edits to it will get removed if the file is opened in a newer version of Excel. Learn more: https://go.microsoft.com/fwlink/?linkid=870924
Comment:
    To add "Green Public Procurement" + Socially Responsible Public Procurement"</t>
      </text>
    </comment>
    <comment ref="B97" authorId="2" shapeId="0" xr:uid="{5011A9A9-E08F-421E-9455-49DCF4FF18E3}">
      <text>
        <t xml:space="preserve">[Threaded comment]
Your version of Excel allows you to read this threaded comment; however, any edits to it will get removed if the file is opened in a newer version of Excel. Learn more: https://go.microsoft.com/fwlink/?linkid=870924
Comment:
    @DILLON Karen will talk with the well-being unit. As this title is too long. </t>
      </text>
    </comment>
    <comment ref="E103" authorId="3" shapeId="0" xr:uid="{27C5954F-E176-4C46-922F-6B9A4C2384AA}">
      <text>
        <t>[Threaded comment]
Your version of Excel allows you to read this threaded comment; however, any edits to it will get removed if the file is opened in a newer version of Excel. Learn more: https://go.microsoft.com/fwlink/?linkid=870924
Comment:
    @FERREIRA Inês to be added, please
Reply:
    done ;)</t>
      </text>
    </comment>
  </commentList>
</comments>
</file>

<file path=xl/sharedStrings.xml><?xml version="1.0" encoding="utf-8"?>
<sst xmlns="http://schemas.openxmlformats.org/spreadsheetml/2006/main" count="23047" uniqueCount="2988">
  <si>
    <t>Object identification code</t>
  </si>
  <si>
    <t>Helper colum</t>
  </si>
  <si>
    <t>Column1</t>
  </si>
  <si>
    <t>Full catalogue path</t>
  </si>
  <si>
    <t>Object name</t>
  </si>
  <si>
    <t>Object type</t>
  </si>
  <si>
    <t>EOI allowed</t>
  </si>
  <si>
    <t>Number of current EOIs</t>
  </si>
  <si>
    <t>(Max.) Course start date</t>
  </si>
  <si>
    <t>(Max.) Course end date</t>
  </si>
  <si>
    <t>Latest enrolment/EOI</t>
  </si>
  <si>
    <t>Column2</t>
  </si>
  <si>
    <t>Column3</t>
  </si>
  <si>
    <t>063081-EP-0006-EN-GB</t>
  </si>
  <si>
    <t>learn.EP catalogue</t>
  </si>
  <si>
    <t>APA Induction: Mandatory online course</t>
  </si>
  <si>
    <t>Course</t>
  </si>
  <si>
    <t>duration of use</t>
  </si>
  <si>
    <t>049920-LUX GEN</t>
  </si>
  <si>
    <t>Career Development</t>
  </si>
  <si>
    <t>Career Walk Luxembourg</t>
  </si>
  <si>
    <t>Course template</t>
  </si>
  <si>
    <t>Yes</t>
  </si>
  <si>
    <t>029166-EPSO</t>
  </si>
  <si>
    <t>EPSO - General Introduction to the Assessment Centre (ORCE) - CoR</t>
  </si>
  <si>
    <t>NO</t>
  </si>
  <si>
    <t>029249-EPSO</t>
  </si>
  <si>
    <t>EPSO - Situational competency-based interview (SCBI) - CoR</t>
  </si>
  <si>
    <t>059621-EP</t>
  </si>
  <si>
    <t>Entry-Level Participatory Leadership Training</t>
  </si>
  <si>
    <t>070071-EP</t>
  </si>
  <si>
    <t>Entry-Level Participatory Leadership Training (Luxembourg)</t>
  </si>
  <si>
    <t>057530-EP</t>
  </si>
  <si>
    <t>How to prepare for an internal interview</t>
  </si>
  <si>
    <t>057000-EP</t>
  </si>
  <si>
    <t>Individual internal coaching</t>
  </si>
  <si>
    <t>EP_004800</t>
  </si>
  <si>
    <t>Internal Trainers - Learning Path</t>
  </si>
  <si>
    <t>Learning path</t>
  </si>
  <si>
    <t>071483-EP</t>
  </si>
  <si>
    <t>Kick-start your competition preparation</t>
  </si>
  <si>
    <t>023472-EP</t>
  </si>
  <si>
    <t>Module 1 - How to develop professionally</t>
  </si>
  <si>
    <t>023474-EP</t>
  </si>
  <si>
    <t xml:space="preserve">Module 2 - How to develop professionally </t>
  </si>
  <si>
    <t>023475-EP</t>
  </si>
  <si>
    <t xml:space="preserve">Module 3 - How to develop professionally </t>
  </si>
  <si>
    <t>023476-EP</t>
  </si>
  <si>
    <t xml:space="preserve">Module 4 - How to develop professionally </t>
  </si>
  <si>
    <t>061520-EP</t>
  </si>
  <si>
    <t xml:space="preserve">Participatory Leadership Advanced Practice Days </t>
  </si>
  <si>
    <t>065101-EP</t>
  </si>
  <si>
    <t>Peer learning: prepare for your next job in the EP</t>
  </si>
  <si>
    <t>056843-EP</t>
  </si>
  <si>
    <t>Career Development &gt; Project management</t>
  </si>
  <si>
    <t>ENGAGE - PM exam preparation</t>
  </si>
  <si>
    <t>061781-EP</t>
  </si>
  <si>
    <t>ENGAGE 2.0 for Managers</t>
  </si>
  <si>
    <t>065048-EP</t>
  </si>
  <si>
    <t>ENGAGE-PgM E3 - Programme Management Essentials</t>
  </si>
  <si>
    <t>052072-EP</t>
  </si>
  <si>
    <t xml:space="preserve">EP_ENGAGE-PM.Certification-Exam </t>
  </si>
  <si>
    <t>035165-EP</t>
  </si>
  <si>
    <t>Introduction to Project Management Concepts</t>
  </si>
  <si>
    <t>063004-EP</t>
  </si>
  <si>
    <t>Project Management - Artefacts, Tools &amp; Techniques</t>
  </si>
  <si>
    <t>055741-EP</t>
  </si>
  <si>
    <t>055740-EP</t>
  </si>
  <si>
    <t>Project Management - Methodology &amp; Guidelines</t>
  </si>
  <si>
    <t>048760-EP</t>
  </si>
  <si>
    <t xml:space="preserve">Project Management - Methodology &amp; Guidelines </t>
  </si>
  <si>
    <t>058606-EP</t>
  </si>
  <si>
    <t>Coaching</t>
  </si>
  <si>
    <t>Individual external coaching</t>
  </si>
  <si>
    <t>Collection per EP competence</t>
  </si>
  <si>
    <t>EP Competency Dictionary</t>
  </si>
  <si>
    <t>Media</t>
  </si>
  <si>
    <t>EP_004619</t>
  </si>
  <si>
    <t>Collection per EP competence &gt; Family Specific</t>
  </si>
  <si>
    <t>Provide policy advisory</t>
  </si>
  <si>
    <t>EP_002435</t>
  </si>
  <si>
    <t xml:space="preserve">Collection per EP competence &gt; Family Specific &gt; Information Technology </t>
  </si>
  <si>
    <t>Execute ICT governance, risk, and compliance</t>
  </si>
  <si>
    <t>EP_002439</t>
  </si>
  <si>
    <t>Manage ICT relationship and engagement</t>
  </si>
  <si>
    <t>EP_002437</t>
  </si>
  <si>
    <t>Manage ICT systems and networks</t>
  </si>
  <si>
    <t>EP_002428</t>
  </si>
  <si>
    <t>Manage IT assets</t>
  </si>
  <si>
    <t>EP_002430</t>
  </si>
  <si>
    <t>Manage cybersecurity</t>
  </si>
  <si>
    <t>EP_002433</t>
  </si>
  <si>
    <t>Manage data</t>
  </si>
  <si>
    <t>EP_002427</t>
  </si>
  <si>
    <t>Manage enterprise architecture</t>
  </si>
  <si>
    <t>EP_002429</t>
  </si>
  <si>
    <t>Manage software &amp; applications</t>
  </si>
  <si>
    <t>EP_002486</t>
  </si>
  <si>
    <t>Manage vendors</t>
  </si>
  <si>
    <t>EP_002436</t>
  </si>
  <si>
    <t>Collection per EP competence &gt; Family Specific &gt; Linguistic</t>
  </si>
  <si>
    <t>Localise, transcreate &amp; adapt</t>
  </si>
  <si>
    <t>EP_002431</t>
  </si>
  <si>
    <t>Manage LING-TECH</t>
  </si>
  <si>
    <t>EP_002434</t>
  </si>
  <si>
    <t>Translate effectively</t>
  </si>
  <si>
    <t>Collection per EP competence &gt; Family Specific &gt; Parliamentary</t>
  </si>
  <si>
    <t>EP_002487</t>
  </si>
  <si>
    <t>Collection per EP competence &gt; Managerial  &gt; Developmental</t>
  </si>
  <si>
    <t>Cultivate culture of continuous learning</t>
  </si>
  <si>
    <t>EP_002438</t>
  </si>
  <si>
    <t>Develop yourself</t>
  </si>
  <si>
    <t>EP_002499</t>
  </si>
  <si>
    <t>Value others</t>
  </si>
  <si>
    <t>EP_002484</t>
  </si>
  <si>
    <t>Collection per EP competence &gt; Managerial  &gt; Facilitative</t>
  </si>
  <si>
    <t>Hold team together</t>
  </si>
  <si>
    <t>EP_002425</t>
  </si>
  <si>
    <t>Manage resources in a changing environment</t>
  </si>
  <si>
    <t>EP_002432</t>
  </si>
  <si>
    <t>Work towards shared vision</t>
  </si>
  <si>
    <t>EP_002400</t>
  </si>
  <si>
    <t>Collection per EP competence &gt; Managerial  &gt; Strategic</t>
  </si>
  <si>
    <t>Act strategically</t>
  </si>
  <si>
    <t>EP_002420</t>
  </si>
  <si>
    <t>Respond to change</t>
  </si>
  <si>
    <t>EP_002423</t>
  </si>
  <si>
    <t>Sustain momentum</t>
  </si>
  <si>
    <t>EP_004419</t>
  </si>
  <si>
    <t>Collection per EP competence &gt; Transversal &gt; Core</t>
  </si>
  <si>
    <t>Be result-oriented</t>
  </si>
  <si>
    <t>EP_004442</t>
  </si>
  <si>
    <t>Demonstrate team spirit and cooperation</t>
  </si>
  <si>
    <t>EP_004399</t>
  </si>
  <si>
    <t>Improve continuously</t>
  </si>
  <si>
    <t>EP_004420</t>
  </si>
  <si>
    <t>Show flexibility</t>
  </si>
  <si>
    <t>EP_004422</t>
  </si>
  <si>
    <t>Show integrity</t>
  </si>
  <si>
    <t>EP_002481</t>
  </si>
  <si>
    <t>Collection per EP competence &gt; Transversal &gt; Digital</t>
  </si>
  <si>
    <t>Be digitally safe, savvy and social</t>
  </si>
  <si>
    <t>EP_002424</t>
  </si>
  <si>
    <t>Navigate data and information</t>
  </si>
  <si>
    <t>EP_002426</t>
  </si>
  <si>
    <t>Navigate digital ecosystems</t>
  </si>
  <si>
    <t>EP_002482</t>
  </si>
  <si>
    <t>Work with digital content</t>
  </si>
  <si>
    <t>EP_004441</t>
  </si>
  <si>
    <t>Collection per EP competence &gt; Transversal &gt; Interpersonal</t>
  </si>
  <si>
    <t>Be aware of self and others</t>
  </si>
  <si>
    <t>EP_003999</t>
  </si>
  <si>
    <t>Communicate effectively</t>
  </si>
  <si>
    <t>EP_002422</t>
  </si>
  <si>
    <t>Demonstrate diplomatic sensitivity</t>
  </si>
  <si>
    <t>EP_004461</t>
  </si>
  <si>
    <t>Develop relationships</t>
  </si>
  <si>
    <t>EP_004479</t>
  </si>
  <si>
    <t>Embrace diversity, equity, inclusion and belonging (DEIB)</t>
  </si>
  <si>
    <t>EP_004439</t>
  </si>
  <si>
    <t>Master languages</t>
  </si>
  <si>
    <t>EP_004499</t>
  </si>
  <si>
    <t>Collection per EP competence &gt; Transversal &gt; Operational</t>
  </si>
  <si>
    <t>Draft impactfully</t>
  </si>
  <si>
    <t>EP_004561</t>
  </si>
  <si>
    <t>Manage documents</t>
  </si>
  <si>
    <t>EP_005440</t>
  </si>
  <si>
    <t>Manage events</t>
  </si>
  <si>
    <t>EP_005442</t>
  </si>
  <si>
    <t>Manage financial transactions</t>
  </si>
  <si>
    <t>EP_004560</t>
  </si>
  <si>
    <t>Present impactfully</t>
  </si>
  <si>
    <t>EP_002480</t>
  </si>
  <si>
    <t>Collection per EP competence &gt; Transversal &gt; Systemic</t>
  </si>
  <si>
    <t>Align objectives strategically</t>
  </si>
  <si>
    <t>EP_004380</t>
  </si>
  <si>
    <t>Demonstrate intrapreneurship spirit</t>
  </si>
  <si>
    <t>EP_002459</t>
  </si>
  <si>
    <t>Demonstrate political sensitivity</t>
  </si>
  <si>
    <t>EP_002679</t>
  </si>
  <si>
    <t>Manage portfolio</t>
  </si>
  <si>
    <t>EP_002579</t>
  </si>
  <si>
    <t>Manage programme</t>
  </si>
  <si>
    <t>EP_002483</t>
  </si>
  <si>
    <t>Manage project</t>
  </si>
  <si>
    <t>EP_004379</t>
  </si>
  <si>
    <t>Think critically</t>
  </si>
  <si>
    <t>EP_004520</t>
  </si>
  <si>
    <t>Work systemically</t>
  </si>
  <si>
    <t>038320-EP</t>
  </si>
  <si>
    <t>Communication competencies</t>
  </si>
  <si>
    <t>Back to school and university</t>
  </si>
  <si>
    <t>065992-EP-0007-EN-GB</t>
  </si>
  <si>
    <t>Becoming a mentor</t>
  </si>
  <si>
    <t>069624-EP</t>
  </si>
  <si>
    <t>Brand Guidelines for the European Parliament's Administration</t>
  </si>
  <si>
    <t>069175-EP</t>
  </si>
  <si>
    <t>Clear language essentials</t>
  </si>
  <si>
    <t xml:space="preserve"> </t>
  </si>
  <si>
    <t>059822-EP</t>
  </si>
  <si>
    <t>Collective Story Harvesting – Stories of Application</t>
  </si>
  <si>
    <t>059800-EP</t>
  </si>
  <si>
    <t>Collective Storytelling Harvesting Design</t>
  </si>
  <si>
    <t>070398-EP</t>
  </si>
  <si>
    <t>Conflict resolution</t>
  </si>
  <si>
    <t>057720-EP</t>
  </si>
  <si>
    <t>Continue the Conversation - a Circle Way Practice</t>
  </si>
  <si>
    <t>067601-EP</t>
  </si>
  <si>
    <t>Designing and delivering a team event</t>
  </si>
  <si>
    <t>071969-EP</t>
  </si>
  <si>
    <t>Developing your personal brand</t>
  </si>
  <si>
    <t>072491-EP-0001-EN-GB</t>
  </si>
  <si>
    <t>Diplomatic protocol and etiquette</t>
  </si>
  <si>
    <t>071122-EP</t>
  </si>
  <si>
    <t>Flow Game</t>
  </si>
  <si>
    <t>070083-EP</t>
  </si>
  <si>
    <t>Getting the most out of your feedback - umbrella</t>
  </si>
  <si>
    <t>062402-EP</t>
  </si>
  <si>
    <t>Guided tours of the European Parliament Contemporary Art Collection</t>
  </si>
  <si>
    <t>070304-EP</t>
  </si>
  <si>
    <t>High impact data visualisation: from complex insights to engaging communication</t>
  </si>
  <si>
    <t>070473-EP</t>
  </si>
  <si>
    <t xml:space="preserve">How to self-organise a walk with your team </t>
  </si>
  <si>
    <t>073002-EP TRAD-0001-EN-GB</t>
  </si>
  <si>
    <t>Iberian echoes in the EU – The linguistic legacy of Spanish and Portuguese after four decades as official EU languages (Online)</t>
  </si>
  <si>
    <t>073003-EP TRAD-0001-EN-GB</t>
  </si>
  <si>
    <t>Iberian echoes in the EU – The linguistic legacy of Spanish and Portuguese after four decades as official EU languages (Onsite)</t>
  </si>
  <si>
    <t>064464-EP</t>
  </si>
  <si>
    <t>Introduction to Diversity &amp; Inclusion at work</t>
  </si>
  <si>
    <t>EP_005399</t>
  </si>
  <si>
    <t>Learning path to support walking events in the EP</t>
  </si>
  <si>
    <t>EP_004440</t>
  </si>
  <si>
    <t>Mentoring skills - learning pack</t>
  </si>
  <si>
    <t>072920-EP TRAD-0001-EN-GB</t>
  </si>
  <si>
    <t>Multilingualism Talks – Multilingualism from a cognitive perspective</t>
  </si>
  <si>
    <t>070400-EP</t>
  </si>
  <si>
    <t>My presentation skills in virtual settings/presenting with impact</t>
  </si>
  <si>
    <t>070784-EP</t>
  </si>
  <si>
    <t>Online workshop facilitation: tools, flow, and best practices</t>
  </si>
  <si>
    <t>057440-EP</t>
  </si>
  <si>
    <t>PowerVisuals Basic</t>
  </si>
  <si>
    <t>071661-EP</t>
  </si>
  <si>
    <t>Public speaking : catching and keeping your audience attention</t>
  </si>
  <si>
    <t>071080-EP</t>
  </si>
  <si>
    <t>Tough talks - Mastering the Art of Difficult Conversations</t>
  </si>
  <si>
    <t>068080-EP</t>
  </si>
  <si>
    <t>Train the Trainer</t>
  </si>
  <si>
    <t>073542-EP</t>
  </si>
  <si>
    <t>070397-EP</t>
  </si>
  <si>
    <t>Unconscious bias</t>
  </si>
  <si>
    <t>071623-EP</t>
  </si>
  <si>
    <t>Voice Techniques for Clear Communication</t>
  </si>
  <si>
    <t>049426-LT-0020-EN-GB</t>
  </si>
  <si>
    <t>Working with different generations</t>
  </si>
  <si>
    <t>070014-EP</t>
  </si>
  <si>
    <t>Digital competencies &gt; Accessibility</t>
  </si>
  <si>
    <t>Accessible Forms in Acrobat Pro Online</t>
  </si>
  <si>
    <t>070016-EP</t>
  </si>
  <si>
    <t>Accessible Forms in InDesign Online</t>
  </si>
  <si>
    <t>070011-EP</t>
  </si>
  <si>
    <t>Accessible Forms in Word Online</t>
  </si>
  <si>
    <t>054148-EP</t>
  </si>
  <si>
    <t>Accessible InDesign</t>
  </si>
  <si>
    <t>053341-EP</t>
  </si>
  <si>
    <t>Accessible PDF (part 1) - online</t>
  </si>
  <si>
    <t>054008-EP</t>
  </si>
  <si>
    <t>Accessible PDF (part 2) - online</t>
  </si>
  <si>
    <t>054007-EP</t>
  </si>
  <si>
    <t>Accessible PowerPoint - online</t>
  </si>
  <si>
    <t>053340-EP</t>
  </si>
  <si>
    <t>Accessible Word - online</t>
  </si>
  <si>
    <t>028440-OP</t>
  </si>
  <si>
    <t>DLP: Accessible digital publications – An introduction to accessibility CURRENT</t>
  </si>
  <si>
    <t>024900-OP</t>
  </si>
  <si>
    <t>DLP: Accessible digital publications – Checking PDFs - CURRENT</t>
  </si>
  <si>
    <t>024901-OP</t>
  </si>
  <si>
    <t>DLP: Accessible digital publications – MS Word - CURRENT</t>
  </si>
  <si>
    <t>049802-OP</t>
  </si>
  <si>
    <t>DLP: How to create accessible presentations in Power Point - CURRENT</t>
  </si>
  <si>
    <t>EP_002819</t>
  </si>
  <si>
    <t>Digital Accessibility</t>
  </si>
  <si>
    <t>052307-EP</t>
  </si>
  <si>
    <t>Introduction to digital accessibility</t>
  </si>
  <si>
    <t>052585-EP</t>
  </si>
  <si>
    <t>Introduction to digital accessibility for Managers</t>
  </si>
  <si>
    <t>052273-EP</t>
  </si>
  <si>
    <t>Introduction to document accessibility</t>
  </si>
  <si>
    <t>035842-EP</t>
  </si>
  <si>
    <t>Digital competencies &gt; Adobe</t>
  </si>
  <si>
    <t>Adobe Acrobat Pro</t>
  </si>
  <si>
    <t>071501-EP</t>
  </si>
  <si>
    <t>Adobe Premiere Pro CC (step 1)</t>
  </si>
  <si>
    <t>066080-SG POLICY</t>
  </si>
  <si>
    <t>Digital competencies &gt; Artificial Intelligence</t>
  </si>
  <si>
    <t>AI in Policymaking MasterClass</t>
  </si>
  <si>
    <t>068960-SG POLICY</t>
  </si>
  <si>
    <t>AI in policymaking MasterClass (Recorded sessions)</t>
  </si>
  <si>
    <t>EP_004559</t>
  </si>
  <si>
    <t>Artificial Intelligence learning collection</t>
  </si>
  <si>
    <t>059340-EP-0001-EN-GB</t>
  </si>
  <si>
    <t>Elements of AI part I: Introduction to AI</t>
  </si>
  <si>
    <t>059340-EP-0002-EN-GB</t>
  </si>
  <si>
    <t>Elements of AI part II: Building AI</t>
  </si>
  <si>
    <t>064631-EP</t>
  </si>
  <si>
    <t>Generative AI Essentials</t>
  </si>
  <si>
    <t>058420-DGT-0009-EN-GB</t>
  </si>
  <si>
    <t>Recording of the event AI@EC: Large language models (LLMs) in production with Azure</t>
  </si>
  <si>
    <t>072384-EP</t>
  </si>
  <si>
    <t>Digital competencies &gt; Cloud</t>
  </si>
  <si>
    <t>Data Management</t>
  </si>
  <si>
    <t>057643-DTS</t>
  </si>
  <si>
    <t>Demistifying Cloud (Non-Technical)</t>
  </si>
  <si>
    <t>022741-DTS-0008-EN-GB</t>
  </si>
  <si>
    <t>Digital competencies &gt; Cloud &gt; AWS</t>
  </si>
  <si>
    <t>Architecting on AWS</t>
  </si>
  <si>
    <t>024628-EP-0001-EN-GB</t>
  </si>
  <si>
    <t>Prepare for AWS Solutions Architect – Professional Certification</t>
  </si>
  <si>
    <t>024536-EP-0001-EN-GB</t>
  </si>
  <si>
    <t>Prepare for the AWS Certified Cloud Practitioner Exam</t>
  </si>
  <si>
    <t>024630-EP-0001-EN-GB</t>
  </si>
  <si>
    <t>Prepare for the AWS Certified Developer Associate Exam</t>
  </si>
  <si>
    <t>025053-DTS</t>
  </si>
  <si>
    <t>Digital competencies &gt; Cloud &gt; Azure</t>
  </si>
  <si>
    <t>FL_MS_AZ_900_Microsoft Azure Fundamentals (1 day)</t>
  </si>
  <si>
    <t>Digital competencies &gt; EP/EU applications</t>
  </si>
  <si>
    <t>Demystifying Electronic Signature</t>
  </si>
  <si>
    <t>064812-EP</t>
  </si>
  <si>
    <t>Digital Basics for Newcomers at the EP</t>
  </si>
  <si>
    <t>EP_003939</t>
  </si>
  <si>
    <t>Digital Learning Path for Newcomers</t>
  </si>
  <si>
    <t>Démystifier la signature électronique</t>
  </si>
  <si>
    <t>049744-LT</t>
  </si>
  <si>
    <t>EU Learn course manager light</t>
  </si>
  <si>
    <t>File - video_Please welcome ELI2E – our new communication tool</t>
  </si>
  <si>
    <t>062282-EP</t>
  </si>
  <si>
    <t>Introduction to EU Learn</t>
  </si>
  <si>
    <t>062966-EP LINC-0001-EN-GB</t>
  </si>
  <si>
    <t>Mastering EP Events (Event Registration software) - Basic</t>
  </si>
  <si>
    <t>058961-EP</t>
  </si>
  <si>
    <t>Digital competencies &gt; Excel</t>
  </si>
  <si>
    <t>MS Excel - All about charts</t>
  </si>
  <si>
    <t>022382-EP</t>
  </si>
  <si>
    <t xml:space="preserve">MS Excel – All About Pivot Tables </t>
  </si>
  <si>
    <t>022383-EP</t>
  </si>
  <si>
    <t xml:space="preserve">MS Excel – Managing Your Data Lists </t>
  </si>
  <si>
    <t>022384-EP</t>
  </si>
  <si>
    <t xml:space="preserve">MS Excel – Mastering Functions in Excel </t>
  </si>
  <si>
    <t>022385-EP</t>
  </si>
  <si>
    <t xml:space="preserve">MS Excel – Tips &amp; Tricks </t>
  </si>
  <si>
    <t>022511-GEN-0010-EN-GB</t>
  </si>
  <si>
    <t>Digital competencies &gt; IT security &amp; management</t>
  </si>
  <si>
    <t>Basics of Cybersecurity - Part 1</t>
  </si>
  <si>
    <t>022511-GEN-0013-EN-GB</t>
  </si>
  <si>
    <t>Basics of Cybersecurity - Part 2</t>
  </si>
  <si>
    <t>022511-GEN-0027-EN-GB</t>
  </si>
  <si>
    <t>Basics of Cybersecurity - Part 3</t>
  </si>
  <si>
    <t>022511-GEN-0028-EN-GB</t>
  </si>
  <si>
    <t>Basics of Cybersecurity - Part 4</t>
  </si>
  <si>
    <t>060660-DTS-0003-EN-GB</t>
  </si>
  <si>
    <t>CCSP (Certified Cloud Security Professional)</t>
  </si>
  <si>
    <t>064080-DTS</t>
  </si>
  <si>
    <t>CERTIFIED INFORMATION SYSTEMS SECURITY PROFESSIONAL</t>
  </si>
  <si>
    <t>064080-DTS-0003-EN-GB</t>
  </si>
  <si>
    <t>025805-DTS</t>
  </si>
  <si>
    <t>CG_ITIL4_FOUND_V2days_2021</t>
  </si>
  <si>
    <t>025788-DTS</t>
  </si>
  <si>
    <t>CG_ITIL4_SPCREATE</t>
  </si>
  <si>
    <t>025762-DTS</t>
  </si>
  <si>
    <t>CG_ITIL4_SPDRIVE</t>
  </si>
  <si>
    <t>025791-DTS</t>
  </si>
  <si>
    <t>CG_ITIL4_SP_HIGHVELO</t>
  </si>
  <si>
    <t>025789-DTS</t>
  </si>
  <si>
    <t>CG_ITIL4_STRATEGIST DIRECT</t>
  </si>
  <si>
    <t>069783-EP</t>
  </si>
  <si>
    <t>Cyber Escape Game</t>
  </si>
  <si>
    <t>070721-EP</t>
  </si>
  <si>
    <t>Cyber Investigation live game</t>
  </si>
  <si>
    <t>000723-DTS</t>
  </si>
  <si>
    <t xml:space="preserve">CyberAware Lunch Talks </t>
  </si>
  <si>
    <t>068520-EP</t>
  </si>
  <si>
    <t>Cybersecurity Awareness</t>
  </si>
  <si>
    <t>069782-EP</t>
  </si>
  <si>
    <t>Cybersecurity SPY GAME</t>
  </si>
  <si>
    <t>020588-EP-0001-EN-GB</t>
  </si>
  <si>
    <t>IT Security in the EP</t>
  </si>
  <si>
    <t>EP_002159</t>
  </si>
  <si>
    <t>Prepare for the CompTIA Security+ (SY0-601) Certification Exam</t>
  </si>
  <si>
    <t>061961-EP</t>
  </si>
  <si>
    <t>Digital competencies &gt; Other applications</t>
  </si>
  <si>
    <t>Electronic Signature - Alice in Cipher World</t>
  </si>
  <si>
    <t>Getting Started with Digital Facilitation in Howspace Session Recording</t>
  </si>
  <si>
    <t>031029-DTS-0008-EN-GB</t>
  </si>
  <si>
    <t>Intermediate Python</t>
  </si>
  <si>
    <t>072340-EP</t>
  </si>
  <si>
    <t>Introduction to Power Automate and Power Apps</t>
  </si>
  <si>
    <t>037260-DTS</t>
  </si>
  <si>
    <t xml:space="preserve">KJ LD_MS - Mastering SPARQL </t>
  </si>
  <si>
    <t>033249-DTS</t>
  </si>
  <si>
    <t>KJ SAP Business Objects 4.3 Basics</t>
  </si>
  <si>
    <t>073141-CONS-0014-EN-GB</t>
  </si>
  <si>
    <t>Lost in superposition: quantum computing for non-specialists</t>
  </si>
  <si>
    <t>071194-OP-0001-EN-GB</t>
  </si>
  <si>
    <t>Multimedia formats in publishing</t>
  </si>
  <si>
    <t>069205-EP</t>
  </si>
  <si>
    <t>Power BI - Advanced</t>
  </si>
  <si>
    <t>069204-EP</t>
  </si>
  <si>
    <t>Power BI - Introduction</t>
  </si>
  <si>
    <t>073141-CONS-0017-EN-GB</t>
  </si>
  <si>
    <t>REBEL REBEL – The Rock’n’Roll Guide  to Digital Innovation</t>
  </si>
  <si>
    <t>065420-EP</t>
  </si>
  <si>
    <t>SharePoint on-premises - END USERS</t>
  </si>
  <si>
    <t>065422-EP</t>
  </si>
  <si>
    <t>SharePoint on-premises - POWER USERS</t>
  </si>
  <si>
    <t>049426-LT-0019-EN-GB</t>
  </si>
  <si>
    <t>Social engineering</t>
  </si>
  <si>
    <t>073000-EP</t>
  </si>
  <si>
    <t>What's New in Windows 11?</t>
  </si>
  <si>
    <t>059002-EP</t>
  </si>
  <si>
    <t>Digital competencies &gt; Outlook</t>
  </si>
  <si>
    <t>MS Outlook - Manage your Mailbox</t>
  </si>
  <si>
    <t>059020-EP</t>
  </si>
  <si>
    <t>MS Outlook - Tips and tricks</t>
  </si>
  <si>
    <t>059028-EP</t>
  </si>
  <si>
    <t>Digital competencies &gt; PowerPoint</t>
  </si>
  <si>
    <t>MS PowerPoint - Introduction</t>
  </si>
  <si>
    <t>028276-EP</t>
  </si>
  <si>
    <t>Digital competencies &gt; Teams</t>
  </si>
  <si>
    <t>MICROSOFT TEAMS Advanced Tips &amp; tricks for Champions</t>
  </si>
  <si>
    <t>025865-EP</t>
  </si>
  <si>
    <t>MICROSOFT TEAMS Essential 1</t>
  </si>
  <si>
    <t>026255-EP</t>
  </si>
  <si>
    <t>MICROSOFT TEAMS Essential 2</t>
  </si>
  <si>
    <t>028495-EP</t>
  </si>
  <si>
    <t>MICROSOFT TEAMS: Collaborate on Documents in Teams</t>
  </si>
  <si>
    <t>028384-EP</t>
  </si>
  <si>
    <t>MICROSOFT TEAMS: Getting started with OneDrive</t>
  </si>
  <si>
    <t>028300-EP</t>
  </si>
  <si>
    <t>MICROSOFT TEAMS: How to organise successful meetings in Teams</t>
  </si>
  <si>
    <t>011283-DTS</t>
  </si>
  <si>
    <t>Digital competencies &gt; Word</t>
  </si>
  <si>
    <t>KJ Become a Word ninja!</t>
  </si>
  <si>
    <t>022360-EP</t>
  </si>
  <si>
    <t xml:space="preserve">MS Word – Tips &amp; Tricks </t>
  </si>
  <si>
    <t>022380-EP</t>
  </si>
  <si>
    <t xml:space="preserve">MS Word – Using Styles &amp; Templates </t>
  </si>
  <si>
    <t>022379-EP</t>
  </si>
  <si>
    <t xml:space="preserve">MS Word – Working with Long Documents </t>
  </si>
  <si>
    <t>EP Talks &gt; EP Talks - recordings</t>
  </si>
  <si>
    <t>EP Talks: Beyond the screen: protecting and preserving digital privacy</t>
  </si>
  <si>
    <t>EP Talks: EU Elections 2024 – an EU expert's insights</t>
  </si>
  <si>
    <t>EP Talks: EU elections – what is at stake and how YOU can contribute!</t>
  </si>
  <si>
    <t>EP Talks: Everyday Resilience with Karen Northshield</t>
  </si>
  <si>
    <t>EP Talks: Inclusion as a catalyst: unlocking the future of organisational success - how to make the most of our diverse teams</t>
  </si>
  <si>
    <t>EP Talks: Kick-start your competition preparation</t>
  </si>
  <si>
    <t>EP Talks: Make simplification work with Sune Knudsen</t>
  </si>
  <si>
    <t>EP Talks: Navigating the world of politics – a practical guide to being resilient (resilience masterclass online)</t>
  </si>
  <si>
    <t>EP Talks: Navigating uncertainties in a fragmented world - the case of the Greek sovereign debt crisis</t>
  </si>
  <si>
    <t>EP Talks: Politics is the art of the impossible – learning to make things happen in a complex, crisis driven environment with Chris Tamdjidi</t>
  </si>
  <si>
    <t>EP Talks: Preventing Harassment: everybody’s business</t>
  </si>
  <si>
    <t>EP Talks: Ready for your appraisal? What is the right training for you in 2025?</t>
  </si>
  <si>
    <t>EP Talks: Speechwriting 101</t>
  </si>
  <si>
    <t>EP Talks: Turn your PowerPoints into inspiring stories</t>
  </si>
  <si>
    <t>EP Talks: Turning conflict into a conversation - #DontWaitMediate</t>
  </si>
  <si>
    <t>EP Talks: US Elections – latest update and possible impact on EU-US relations</t>
  </si>
  <si>
    <t>073954-EP</t>
  </si>
  <si>
    <t>EP work tools &amp; rules</t>
  </si>
  <si>
    <t>Flash session: Inventory Management reporting - SAP Analytics Cloud (SAC)</t>
  </si>
  <si>
    <t>EP_005363</t>
  </si>
  <si>
    <t>New courses from the Learning &amp; Development Unit</t>
  </si>
  <si>
    <t>020616-EP-0001-EN-GB</t>
  </si>
  <si>
    <t>Staff regulations</t>
  </si>
  <si>
    <t>071521-EP-0001-EN-GB</t>
  </si>
  <si>
    <t>Your mind at work</t>
  </si>
  <si>
    <t>073801-EP</t>
  </si>
  <si>
    <t>iTrack v2 - Suivi des actifs</t>
  </si>
  <si>
    <t>073144-EP</t>
  </si>
  <si>
    <t>EP work tools &amp; rules &gt; Administrative Skills and Tools</t>
  </si>
  <si>
    <t>After mission - how to properly complete your declaration of expenses</t>
  </si>
  <si>
    <t>020570-EP-0001-EN-GB</t>
  </si>
  <si>
    <t>Cat4Trad e-learning course</t>
  </si>
  <si>
    <t>028836-EP</t>
  </si>
  <si>
    <t>Document Management at  EP</t>
  </si>
  <si>
    <t>068968-EP</t>
  </si>
  <si>
    <t>EP Missions Rules and eMiss application UMBRELLA course template</t>
  </si>
  <si>
    <t>023615-EP</t>
  </si>
  <si>
    <t>Electronic Signatures and Seals</t>
  </si>
  <si>
    <t>023489-EP</t>
  </si>
  <si>
    <t xml:space="preserve">GEDA Online Course </t>
  </si>
  <si>
    <t>028847-EP</t>
  </si>
  <si>
    <t>Gestion Documentaire au EP</t>
  </si>
  <si>
    <t>020651-EP-0001-EN-GB</t>
  </si>
  <si>
    <t>Intellectual Property Rights in Public Procurement</t>
  </si>
  <si>
    <t>001094-DTS</t>
  </si>
  <si>
    <t>KJ EU Survey</t>
  </si>
  <si>
    <t>066400-EP</t>
  </si>
  <si>
    <t>Leading with PowerVisuals</t>
  </si>
  <si>
    <t>EP_005820</t>
  </si>
  <si>
    <t>Risk Management in the European Parliament</t>
  </si>
  <si>
    <t>058801-EP</t>
  </si>
  <si>
    <t>The e-signature for everyone</t>
  </si>
  <si>
    <t>070503-EP SAFE-0002-EN-GB</t>
  </si>
  <si>
    <t>EP work tools &amp; rules &gt; Behaviour and Attitude at the Workplace</t>
  </si>
  <si>
    <t>ALL CLEAR! LE BRIEFING SUR LA SÉCURITÉ DES INFORMATIONS DU PARLEMENT EUROPÉEN</t>
  </si>
  <si>
    <t>070503-EP SAFE-0001-EN-GB</t>
  </si>
  <si>
    <t>ALL CLEAR! THE EUROPEAN PARLIAMENT INFORMATION SECURITY BRIEFING</t>
  </si>
  <si>
    <t>070524-EP</t>
  </si>
  <si>
    <t>Basic life support (BLS) provider</t>
  </si>
  <si>
    <t>069492-EP</t>
  </si>
  <si>
    <t xml:space="preserve">Chemicals handling </t>
  </si>
  <si>
    <t>057441-EP SAFE-0002-FR-FR</t>
  </si>
  <si>
    <t>Contre-espionnage eLearning</t>
  </si>
  <si>
    <t>057441-EP SAFE-0001-EN-GB</t>
  </si>
  <si>
    <t>Counter Intelligence eLearning</t>
  </si>
  <si>
    <t>EEAS - SAFE (Security Awareness in Fragile Environments)</t>
  </si>
  <si>
    <t>069065-EESC-0008-EN-GB</t>
  </si>
  <si>
    <t>EESC-CoR- Neurodiversity</t>
  </si>
  <si>
    <t>070946-EP</t>
  </si>
  <si>
    <t>EMAS Internal Auditor training</t>
  </si>
  <si>
    <t>026395-HR</t>
  </si>
  <si>
    <t>EMAS basics for EC Staff</t>
  </si>
  <si>
    <t>074246-EP</t>
  </si>
  <si>
    <t>EMAS basics for EP staff</t>
  </si>
  <si>
    <t>070912-EP</t>
  </si>
  <si>
    <t>From boomers to Gen Z: working together in multigenerational teams</t>
  </si>
  <si>
    <t>070838-EP</t>
  </si>
  <si>
    <t>Green Public Procurement</t>
  </si>
  <si>
    <t>071491-EP</t>
  </si>
  <si>
    <t xml:space="preserve">How to plan and lead a productive meeting </t>
  </si>
  <si>
    <t>074244-EP</t>
  </si>
  <si>
    <t>Socially responsible Public Procurement</t>
  </si>
  <si>
    <t>069487-EP</t>
  </si>
  <si>
    <t>Understanding greenhouse gas (GHG) emissions calculations</t>
  </si>
  <si>
    <t>017440-GEN</t>
  </si>
  <si>
    <t>EP work tools &amp; rules &gt; Retirement, unemployment, mobility</t>
  </si>
  <si>
    <t>EU Rights at the end of service for Temporary and Contract Agents – information session</t>
  </si>
  <si>
    <t>038664-GEN</t>
  </si>
  <si>
    <t>EU Unemployment allowance rights – information session</t>
  </si>
  <si>
    <t>038920-GEN</t>
  </si>
  <si>
    <t>Pension rights – information session</t>
  </si>
  <si>
    <t>038901-GEN</t>
  </si>
  <si>
    <t>Transfer OUT of pension rights – information session</t>
  </si>
  <si>
    <t>024107-EP</t>
  </si>
  <si>
    <t>EU policies &amp; EP core business</t>
  </si>
  <si>
    <t>What you need to know about Economics (and were afraid to ask)</t>
  </si>
  <si>
    <t>069224-EP</t>
  </si>
  <si>
    <t>EU policies &amp; EP core business &gt; How the EP works</t>
  </si>
  <si>
    <t>EU Delegated and Implementing Acts at a glance</t>
  </si>
  <si>
    <t>061364-EP</t>
  </si>
  <si>
    <t>EU Social Law</t>
  </si>
  <si>
    <t>069925-EP</t>
  </si>
  <si>
    <t>EU law for non-lawyers</t>
  </si>
  <si>
    <t>070064-EP</t>
  </si>
  <si>
    <t>Legislative Amendments from A-Z</t>
  </si>
  <si>
    <t>073440-EP</t>
  </si>
  <si>
    <t>Ordinary Legislative Procedure - Walkthrough the OLP / COD procedure - 1st reading</t>
  </si>
  <si>
    <t>037661-SG POLICY</t>
  </si>
  <si>
    <t>Recorded Foresight talks &amp; Futures insights sessions</t>
  </si>
  <si>
    <t>054231-EP</t>
  </si>
  <si>
    <t>Ten things you need to know about the European Parliament</t>
  </si>
  <si>
    <t>031203-EP</t>
  </si>
  <si>
    <t>EU policies &amp; EP core business &gt; Policies</t>
  </si>
  <si>
    <t>Asylum, Migration and Border Management</t>
  </si>
  <si>
    <t>073760-EP</t>
  </si>
  <si>
    <t xml:space="preserve">Cybersecurity </t>
  </si>
  <si>
    <t>061620-EP</t>
  </si>
  <si>
    <t xml:space="preserve">EU Food Law </t>
  </si>
  <si>
    <t>061624-EP</t>
  </si>
  <si>
    <t>EU Public Health</t>
  </si>
  <si>
    <t>071430-EP</t>
  </si>
  <si>
    <t xml:space="preserve">EU Trade Policy and Geoeconomics </t>
  </si>
  <si>
    <t>069208-EP</t>
  </si>
  <si>
    <t>Environmental law and the European Green Deal</t>
  </si>
  <si>
    <t>024154-SG POLICY</t>
  </si>
  <si>
    <t xml:space="preserve">General introduction to business continuity management - Remote live training  </t>
  </si>
  <si>
    <t>070994-SG POLICY</t>
  </si>
  <si>
    <t>Innovative Policymaking - MasterClass</t>
  </si>
  <si>
    <t>023500-EP</t>
  </si>
  <si>
    <t>Legislating for the European Union</t>
  </si>
  <si>
    <t>072448-EP-0002-EN-GB</t>
  </si>
  <si>
    <t>Security, Defence and the EU</t>
  </si>
  <si>
    <t>049483-EP</t>
  </si>
  <si>
    <t>069207-EP</t>
  </si>
  <si>
    <t>The future of our energy: what is the EU’s policy?</t>
  </si>
  <si>
    <t>069222-EP</t>
  </si>
  <si>
    <t>EU policies &amp; EP core business &gt; Powers</t>
  </si>
  <si>
    <t>EP powers and EU policies</t>
  </si>
  <si>
    <t>071273-EP</t>
  </si>
  <si>
    <t xml:space="preserve">Powers of Scrutiny of the European Parliament </t>
  </si>
  <si>
    <t>029173-EP</t>
  </si>
  <si>
    <t>Rule of Law as a fundamental value of the European Union</t>
  </si>
  <si>
    <t>068961-EP</t>
  </si>
  <si>
    <t>Rules of Procedure</t>
  </si>
  <si>
    <t>069223-EP</t>
  </si>
  <si>
    <t>Understanding the EU Budget</t>
  </si>
  <si>
    <t>070388-EP</t>
  </si>
  <si>
    <t>Ethics &amp; data protection</t>
  </si>
  <si>
    <t>Data Protection - Role of the Controllers</t>
  </si>
  <si>
    <t>037982-EP</t>
  </si>
  <si>
    <t>Data protection in human resources processing operations</t>
  </si>
  <si>
    <t>038560-EP</t>
  </si>
  <si>
    <t>Data protection in public procurements</t>
  </si>
  <si>
    <t>071260-EP</t>
  </si>
  <si>
    <t>Data protection in the age of AI</t>
  </si>
  <si>
    <t>023221-EP</t>
  </si>
  <si>
    <t xml:space="preserve">Dealing effectively with lobbyists </t>
  </si>
  <si>
    <t>023379-EP</t>
  </si>
  <si>
    <t>Essentials of data protection in the European Parliament</t>
  </si>
  <si>
    <t>058680-EP</t>
  </si>
  <si>
    <t>070182-EP</t>
  </si>
  <si>
    <t>Let's Talk Ethics</t>
  </si>
  <si>
    <t>061922-EP</t>
  </si>
  <si>
    <t>Personal Data Breaches - identify and act</t>
  </si>
  <si>
    <t>061923-EP</t>
  </si>
  <si>
    <t>061870-EP</t>
  </si>
  <si>
    <t>Privacy Enhancing Technologies (PETs)</t>
  </si>
  <si>
    <t>061925-EP</t>
  </si>
  <si>
    <t>071133-EP</t>
  </si>
  <si>
    <t>Privacy risks and Data Protection Impact Assessment</t>
  </si>
  <si>
    <t>071135-EP</t>
  </si>
  <si>
    <t>Risk Assessment and DPIA - workshop</t>
  </si>
  <si>
    <t>071681-EP</t>
  </si>
  <si>
    <t>Transfer Impact Assessment in the European Parliament (TIA)</t>
  </si>
  <si>
    <t>071851-EP</t>
  </si>
  <si>
    <t>Events</t>
  </si>
  <si>
    <t xml:space="preserve">DG PERS Learning Community </t>
  </si>
  <si>
    <t>071716-EP</t>
  </si>
  <si>
    <t>EP Choir - open to staff from all Brussels’ based EU institutions</t>
  </si>
  <si>
    <t>069085-EP-0007-EN-GB</t>
  </si>
  <si>
    <t>EP Talks Channel</t>
  </si>
  <si>
    <t>068964-EP</t>
  </si>
  <si>
    <t>EP role play</t>
  </si>
  <si>
    <t>027384-SG POLICY</t>
  </si>
  <si>
    <t>EU Policy Making HUB e-talk series  – What`s new in Better Regulation?</t>
  </si>
  <si>
    <t>EP SAFE_000159</t>
  </si>
  <si>
    <t>Evacuation Volunteers - Learning Path Trainings - Brussels</t>
  </si>
  <si>
    <t>EP SAFE_000240</t>
  </si>
  <si>
    <t>Evacuation Volunteers - Learning Path Trainings - Luxembourg</t>
  </si>
  <si>
    <t>EP SAFE_000459</t>
  </si>
  <si>
    <t>Evacuation Volunteers - Learning Path Trainings - Strasbourg</t>
  </si>
  <si>
    <t>070324-EP</t>
  </si>
  <si>
    <t>Getting Started with Digital Facilitation in Howspace</t>
  </si>
  <si>
    <t>056794-LUX GEN</t>
  </si>
  <si>
    <t>Make your CV and cover letter stand out! face-to-face in Luxembourg</t>
  </si>
  <si>
    <t>Pre-Award User Group (Preparation, Submission &amp; Evaluation) - 23/10/2024</t>
  </si>
  <si>
    <t>069230-EP</t>
  </si>
  <si>
    <t>Treasure Hunt at the Museum</t>
  </si>
  <si>
    <t>071852-EP</t>
  </si>
  <si>
    <t>Workshop on hosting a Peer Learning Group</t>
  </si>
  <si>
    <t>071159-COMP-0001-EN-GB</t>
  </si>
  <si>
    <t>Finance tools &amp; regulations</t>
  </si>
  <si>
    <t>Bid rigging</t>
  </si>
  <si>
    <t>063241-EP</t>
  </si>
  <si>
    <t>Business Objects (BO) for WebContracts</t>
  </si>
  <si>
    <t>026964-GEN</t>
  </si>
  <si>
    <t>Introduction to BUDGpedia (classroom)</t>
  </si>
  <si>
    <t>052903-GEN</t>
  </si>
  <si>
    <t>Introduction to BUDGpedia on SharePoint Online (online)</t>
  </si>
  <si>
    <t>055040-EP</t>
  </si>
  <si>
    <t>Introduction to public contracts - legal aspects</t>
  </si>
  <si>
    <t>023444-EP</t>
  </si>
  <si>
    <t>Procurement workshop</t>
  </si>
  <si>
    <t>eProcurement User Group pre-award (Preparation, Submission &amp; Evaluation) recording - 04/10/2023</t>
  </si>
  <si>
    <t>071826-EP-0002-EN-GB</t>
  </si>
  <si>
    <t>Finance tools &amp; regulations &gt; Flash sessions</t>
  </si>
  <si>
    <t>FMS Flash Session: AirPlus Invoicing Process</t>
  </si>
  <si>
    <t>071924-EP</t>
  </si>
  <si>
    <t>FMS Flash session - FMS Management Reporting</t>
  </si>
  <si>
    <t>072031-EP</t>
  </si>
  <si>
    <t>FMS Flash session - Introduction to the New FMS User Portal (EP Finance Academy) and SAP Companion Tool</t>
  </si>
  <si>
    <t>072100-EP</t>
  </si>
  <si>
    <t>FMS flash session - Decentralisation of AO subdelegations</t>
  </si>
  <si>
    <t>072102-EP</t>
  </si>
  <si>
    <t>FMS flash session - Recovery orders’ debit note signature using DISP</t>
  </si>
  <si>
    <t>EP_005140</t>
  </si>
  <si>
    <t>Finance tools &amp; regulations &gt; Learning Paths by actors</t>
  </si>
  <si>
    <t>Accountant/Accounting officer</t>
  </si>
  <si>
    <t>EP_005144</t>
  </si>
  <si>
    <t>Agent / Staff involved in the preparation of the financial statements in connection with the missions of Commissions and delegations</t>
  </si>
  <si>
    <t>EP_005143</t>
  </si>
  <si>
    <t>Agent / Staff responsible for preparing budget estimates</t>
  </si>
  <si>
    <t>EP_005145</t>
  </si>
  <si>
    <t>Agents / Staff involved in the asset management</t>
  </si>
  <si>
    <t>EP_005119</t>
  </si>
  <si>
    <t>Authorising officer by (sub)delegation</t>
  </si>
  <si>
    <t>EP_005139</t>
  </si>
  <si>
    <t>Ex-ante verifier</t>
  </si>
  <si>
    <t>EP_005120</t>
  </si>
  <si>
    <t>Financial initiator</t>
  </si>
  <si>
    <t>EP_005141</t>
  </si>
  <si>
    <t>Imprest administrator</t>
  </si>
  <si>
    <t>EP_005142</t>
  </si>
  <si>
    <t>Procurement officer</t>
  </si>
  <si>
    <t>023424-EP</t>
  </si>
  <si>
    <t>Finance tools &amp; regulations &gt; Miscellaneous</t>
  </si>
  <si>
    <t>Budgetary principles/ Budgetary cycle and budget implementation</t>
  </si>
  <si>
    <t>063400-EP</t>
  </si>
  <si>
    <t>Dealing with VAT exemption in the EP</t>
  </si>
  <si>
    <t>000584-ECA-0003-EN-GB</t>
  </si>
  <si>
    <t>ECA - Performance audit methodology (e-learning)</t>
  </si>
  <si>
    <t>070005-EP</t>
  </si>
  <si>
    <t>FMS for Authorising Officer</t>
  </si>
  <si>
    <t>034180-EP</t>
  </si>
  <si>
    <t>FMS for CAF agents</t>
  </si>
  <si>
    <t>025096-EP</t>
  </si>
  <si>
    <t>FMS for Financial initiating agents and ex ante verifiers</t>
  </si>
  <si>
    <t>033160-EP</t>
  </si>
  <si>
    <t>FMS for Reception agents</t>
  </si>
  <si>
    <t>064889-EP</t>
  </si>
  <si>
    <t>FMS gestion de l'inventaire et transactions spécifiques (ASI, MGT, CATAGAO) - combined course 2024</t>
  </si>
  <si>
    <t>025102-EP</t>
  </si>
  <si>
    <t>FMS operational reports</t>
  </si>
  <si>
    <t>067540-EP-0001-EN-GB</t>
  </si>
  <si>
    <t>Financial Intensive training for newly appointed top-managers and managers</t>
  </si>
  <si>
    <t>067540-EP</t>
  </si>
  <si>
    <t xml:space="preserve">Financial Intensive training for newly appointed top-managers and managers </t>
  </si>
  <si>
    <t>050643-EP</t>
  </si>
  <si>
    <t>Financial statements</t>
  </si>
  <si>
    <t>023443-EP</t>
  </si>
  <si>
    <t>High value contracts</t>
  </si>
  <si>
    <t>028889-EP</t>
  </si>
  <si>
    <t>Imprest Accounts: Pay on behalf of the EP</t>
  </si>
  <si>
    <t>023441-EP</t>
  </si>
  <si>
    <t xml:space="preserve">Introduction to Public Procurement </t>
  </si>
  <si>
    <t>023442-EP</t>
  </si>
  <si>
    <t>Low and middle value contracts</t>
  </si>
  <si>
    <t>026488-DIGIT</t>
  </si>
  <si>
    <t>PPMT – Procedure (Common provisions procurement)</t>
  </si>
  <si>
    <t>026486-DIGIT</t>
  </si>
  <si>
    <t>PPMT – Request</t>
  </si>
  <si>
    <t>071439-GEN</t>
  </si>
  <si>
    <t>Procurement Basics in practice Workshop (Online)</t>
  </si>
  <si>
    <t>052918-GEN</t>
  </si>
  <si>
    <t>Procurement Contract Management Workshop (online)</t>
  </si>
  <si>
    <t>052981-GEN</t>
  </si>
  <si>
    <t>Procurement Intermediate Workshop (online)</t>
  </si>
  <si>
    <t>069124-DIGIT</t>
  </si>
  <si>
    <t>Q&amp;A MyWorkplace - ABAC Assets - SUMMA</t>
  </si>
  <si>
    <t>028290-DIGIT</t>
  </si>
  <si>
    <t>Q&amp;A sessions for eProcurement pre-award (ePreparation and eSubmission)</t>
  </si>
  <si>
    <t>060030-DIGIT</t>
  </si>
  <si>
    <t>Q&amp;A sessions on  contracts in the corporate eProcurement solution</t>
  </si>
  <si>
    <t>069088-REA</t>
  </si>
  <si>
    <t>REA online training - Hands-on training on participant validation</t>
  </si>
  <si>
    <t>069225-REA</t>
  </si>
  <si>
    <t>REA online training - Validation of participants: legal and financial rules</t>
  </si>
  <si>
    <t>070074-EP</t>
  </si>
  <si>
    <t>Risk management - umbrella</t>
  </si>
  <si>
    <t>025027-DIGIT</t>
  </si>
  <si>
    <t>Template for eSubmission eLearnings</t>
  </si>
  <si>
    <t>023360-DIGIT</t>
  </si>
  <si>
    <t>The Corporate eProcurement Solution: Introduction (Virtual Classroom)</t>
  </si>
  <si>
    <t>071019-DIGIT</t>
  </si>
  <si>
    <t>The Corporate eProcurement Solution: eContracting Invoice&amp;Payment solution in MyWorkplace</t>
  </si>
  <si>
    <t>070487-DIGIT</t>
  </si>
  <si>
    <t>The Corporate eProcurement Solution: simplified solution for contracting</t>
  </si>
  <si>
    <t>001842-GEN-0038-EN-GB</t>
  </si>
  <si>
    <t>The Early Detection and Exclusion System (EDES) for EP staff</t>
  </si>
  <si>
    <t>001842-GEN</t>
  </si>
  <si>
    <t>The Early Detection and Exclusion System (EDES): Presentation and Workshop (classroom)</t>
  </si>
  <si>
    <t>053424-DIGIT</t>
  </si>
  <si>
    <t>The eProcurement advanced solution for contracting: Request for specific contract (preparation to awarding)</t>
  </si>
  <si>
    <t>071976-DIGIT</t>
  </si>
  <si>
    <t>The eProcurement advanced solution for contracting: Request for specific contract - Monitoring to awarding</t>
  </si>
  <si>
    <t>071975-DIGIT</t>
  </si>
  <si>
    <t>The eProcurement advanced solution for contracting: Request for specific contract - Preparation to invitation</t>
  </si>
  <si>
    <t>027025-DIGIT</t>
  </si>
  <si>
    <t>The eProcurement advanced solution for contracting: preparation to signature</t>
  </si>
  <si>
    <t>026489-DIGIT</t>
  </si>
  <si>
    <t>Very low value procurement and requests for specific contract in PPMT: preparation to awarding</t>
  </si>
  <si>
    <t>049102-EP</t>
  </si>
  <si>
    <t xml:space="preserve">WebContracts - Awarded contracts </t>
  </si>
  <si>
    <t>049101-EP</t>
  </si>
  <si>
    <t>WebContracts - Legal commitments and Integration with FMS</t>
  </si>
  <si>
    <t>025274-DIGIT</t>
  </si>
  <si>
    <t>ePhysical Inventory</t>
  </si>
  <si>
    <t>031803-DIGIT</t>
  </si>
  <si>
    <t>eProcurement for competitive procedure with negotiation</t>
  </si>
  <si>
    <t>031802-DIGIT</t>
  </si>
  <si>
    <t>eProcurement for exceptional negotiated procedure and competitive procedure with negotiation without publication</t>
  </si>
  <si>
    <t>028880-DIGIT</t>
  </si>
  <si>
    <t>eProcurement for negotiated procedures for middle and low value contracts</t>
  </si>
  <si>
    <t>026625-DIGIT</t>
  </si>
  <si>
    <t>eProcurement for open procedure</t>
  </si>
  <si>
    <t>026626-DIGIT</t>
  </si>
  <si>
    <t>eProcurement for restricted procedure and design contest</t>
  </si>
  <si>
    <t>066005-EP-0002-EN-GB</t>
  </si>
  <si>
    <t>Finance tools &amp; regulations &gt; Videos - EP Finance Academy</t>
  </si>
  <si>
    <t>BadgeBud</t>
  </si>
  <si>
    <t>071569-EP-0001-EN-GB</t>
  </si>
  <si>
    <t>FMS - Material creation - CATAGAO</t>
  </si>
  <si>
    <t>067441-EP-0001-EN-GB</t>
  </si>
  <si>
    <t>Financial Ethics</t>
  </si>
  <si>
    <t>067441-EP-0002-EN-GB</t>
  </si>
  <si>
    <t>Internal control at the European Parliament</t>
  </si>
  <si>
    <t>066621-EP-0001-EN-GB</t>
  </si>
  <si>
    <t>Inventory Management at the European Parliament</t>
  </si>
  <si>
    <t>070615-EP-0001-EN-GB</t>
  </si>
  <si>
    <t>New financial rules 2024-2025 – Financial Regulation 2024 recast</t>
  </si>
  <si>
    <t>070616-EP-0001-EN-GB</t>
  </si>
  <si>
    <t>New financial rules 2024-2025 – Internal rules for the Implementation of the Budget and Charters / Code of professional Standards</t>
  </si>
  <si>
    <t>069477-EP-0001-FR-FR</t>
  </si>
  <si>
    <t>Ordres de recouvrement</t>
  </si>
  <si>
    <t>069226-EP-0001-EN-GB</t>
  </si>
  <si>
    <t>Procurement</t>
  </si>
  <si>
    <t>070805-EP-0001-EN-GB</t>
  </si>
  <si>
    <t>The role of a CAF agent</t>
  </si>
  <si>
    <t>069076-EP-0001-EN-GB</t>
  </si>
  <si>
    <t>Value Added Tax (VAT) Exemption in the EP – Basic principles</t>
  </si>
  <si>
    <t>028258-EP</t>
  </si>
  <si>
    <t>Jean Monnet Academy</t>
  </si>
  <si>
    <t>Jean Monnet Academy - Our House</t>
  </si>
  <si>
    <t>038600-EP</t>
  </si>
  <si>
    <t>Jean Monnet Academy - seminar for 20+ officials</t>
  </si>
  <si>
    <t>028259-EP</t>
  </si>
  <si>
    <t>Jean Monnet Academy - seminar for Administrators</t>
  </si>
  <si>
    <t>026504-EP</t>
  </si>
  <si>
    <t>Jean Monnet Academy - seminar for Assistants</t>
  </si>
  <si>
    <t>038601-EP</t>
  </si>
  <si>
    <t>Jean Monnet Academy - seminar for Directors</t>
  </si>
  <si>
    <t>028219-EP</t>
  </si>
  <si>
    <t>Jean Monnet Academy - seminar for Heads of Unit</t>
  </si>
  <si>
    <t>027350-EP</t>
  </si>
  <si>
    <t xml:space="preserve">Jean Monnet Academy - seminar for newly appointed Administrators </t>
  </si>
  <si>
    <t>026855-EP</t>
  </si>
  <si>
    <t>Jean Monnet Academy - seminar for newly appointed Assistants</t>
  </si>
  <si>
    <t>027406-EP</t>
  </si>
  <si>
    <t>Jean Monnet Academy - seminar for newly appointed Heads of Unit</t>
  </si>
  <si>
    <t>072087-Lang-0005-EN-GB</t>
  </si>
  <si>
    <t>Language courses &gt; Brussels</t>
  </si>
  <si>
    <t>ARABIC Placement Test</t>
  </si>
  <si>
    <t>072087-Lang-0004-EN-GB</t>
  </si>
  <si>
    <t>BULGARIAN Placement Test</t>
  </si>
  <si>
    <t>072087-Lang-0008-EN-GB</t>
  </si>
  <si>
    <t>CHINESE Placement Test</t>
  </si>
  <si>
    <t>072087-Lang-0020-EN-GB</t>
  </si>
  <si>
    <t>CROATIAN Placement Test</t>
  </si>
  <si>
    <t>072087-Lang-0015-EN-GB</t>
  </si>
  <si>
    <t>CZECH Placement Test</t>
  </si>
  <si>
    <t>072087-Lang-0013-EN-GB</t>
  </si>
  <si>
    <t>DANISH Placement Test</t>
  </si>
  <si>
    <t>072087-Lang-0024-EN-GB</t>
  </si>
  <si>
    <t>DUTCH Placement Test</t>
  </si>
  <si>
    <t>072087-Lang-0003-EN-GB</t>
  </si>
  <si>
    <t>ENGLISH Placement test</t>
  </si>
  <si>
    <t>072087-Lang-0016-EN-GB</t>
  </si>
  <si>
    <t>ESTONIAN Placement Test</t>
  </si>
  <si>
    <t>072087-Lang-0017-EN-GB</t>
  </si>
  <si>
    <t>FINNISH Placement Test</t>
  </si>
  <si>
    <t>072087-Lang-0012-EN-GB</t>
  </si>
  <si>
    <t>FRENCH Placement Test</t>
  </si>
  <si>
    <t>072087-Lang-0002-EN-GB</t>
  </si>
  <si>
    <t>GERMAN Placement test</t>
  </si>
  <si>
    <t>072087-Lang-0014-EN-GB</t>
  </si>
  <si>
    <t>GREEK Placement Test</t>
  </si>
  <si>
    <t>072087-Lang-0021-EN-GB</t>
  </si>
  <si>
    <t>HUNGARIAN Placement Test</t>
  </si>
  <si>
    <t>072087-Lang-0018-EN-GB</t>
  </si>
  <si>
    <t>IRISH Placement Test</t>
  </si>
  <si>
    <t>072087-Lang-0011-EN-GB</t>
  </si>
  <si>
    <t>ITALIAN Placement Test</t>
  </si>
  <si>
    <t>072087-Lang-0023-EN-GB</t>
  </si>
  <si>
    <t>LATVIAN Placement Test</t>
  </si>
  <si>
    <t>072087-Lang-0022-EN-GB</t>
  </si>
  <si>
    <t>LITHUANIAN Placement Test</t>
  </si>
  <si>
    <t>072087-Lang-0025-EN-GB</t>
  </si>
  <si>
    <t>MALTESE Placement Test</t>
  </si>
  <si>
    <t>072087-Lang-0026-EN-GB</t>
  </si>
  <si>
    <t>POLISH Placement Test</t>
  </si>
  <si>
    <t>072087-Lang-0027-EN-GB</t>
  </si>
  <si>
    <t>PORTUGUESE Placement Test</t>
  </si>
  <si>
    <t>072087-Lang-0028-EN-GB</t>
  </si>
  <si>
    <t>ROMANIAN Placement Test</t>
  </si>
  <si>
    <t>072087-Lang-0006-EN-GB</t>
  </si>
  <si>
    <t>RUSSIAN Placement Test</t>
  </si>
  <si>
    <t>072087-Lang-0030-EN-GB</t>
  </si>
  <si>
    <t>SLOVAK Placement Test</t>
  </si>
  <si>
    <t>072087-Lang-0029-EN-GB</t>
  </si>
  <si>
    <t>SLOVENIAN Placement Test</t>
  </si>
  <si>
    <t>072087-Lang-0001-EN-GB</t>
  </si>
  <si>
    <t>SPANISH placement test</t>
  </si>
  <si>
    <t>072087-Lang-0031-EN-GB</t>
  </si>
  <si>
    <t>SWEDISH Placement Test</t>
  </si>
  <si>
    <t>072087-Lang-0007-EN-GB</t>
  </si>
  <si>
    <t>TURKISH Placement Test</t>
  </si>
  <si>
    <t>072087-Lang-0010-EN-GB</t>
  </si>
  <si>
    <t>UKRAINIAN Placement Test</t>
  </si>
  <si>
    <t>Language courses &gt; Luxembourg</t>
  </si>
  <si>
    <t>072087-Lang-0009-EN-GB</t>
  </si>
  <si>
    <t>LUXEMBOURGISH Placement Test</t>
  </si>
  <si>
    <t>EP_004100</t>
  </si>
  <si>
    <t>Leadership &amp; management</t>
  </si>
  <si>
    <t>Essentials of management and ethical leadership in the EP</t>
  </si>
  <si>
    <t>050082-EP-0004-EN-GB</t>
  </si>
  <si>
    <t>More courses on European School of administration (EUSA) catalogue</t>
  </si>
  <si>
    <t>062487-EP</t>
  </si>
  <si>
    <t>Leadership &amp; management &gt; Managing information</t>
  </si>
  <si>
    <t>Demystifying AI: from fundamentals to the future</t>
  </si>
  <si>
    <t>071070-EP</t>
  </si>
  <si>
    <t>Leadership &amp; management &gt; Managing people</t>
  </si>
  <si>
    <t>Assessing What Matters: Conducting Insightful Interviews on EP Core Competencies</t>
  </si>
  <si>
    <t>023473-EP</t>
  </si>
  <si>
    <t>Conducting Impactful Job Interviews</t>
  </si>
  <si>
    <t>057342-EP</t>
  </si>
  <si>
    <t>Constructive appraisal dialogues</t>
  </si>
  <si>
    <t>024506-EP</t>
  </si>
  <si>
    <t>Constructive appraisal dialogues - online</t>
  </si>
  <si>
    <t>071075-EP</t>
  </si>
  <si>
    <t>Fostering performance as a manager</t>
  </si>
  <si>
    <t>024528-EP</t>
  </si>
  <si>
    <t>How to draft staff reports and smart objectives</t>
  </si>
  <si>
    <t>070515-EP</t>
  </si>
  <si>
    <t>Inclusive leadership at the European Parliament</t>
  </si>
  <si>
    <t>037500-EP</t>
  </si>
  <si>
    <t>Increasing team collaboration: how effective communication can help</t>
  </si>
  <si>
    <t>066042-EUSA</t>
  </si>
  <si>
    <t>Lead your Team - FACE-TO-FACE</t>
  </si>
  <si>
    <t>066043-EUSA</t>
  </si>
  <si>
    <t>Lead your Team - ONLINE</t>
  </si>
  <si>
    <t>071103-EP</t>
  </si>
  <si>
    <t>Leading with purpose</t>
  </si>
  <si>
    <t>071067-EP</t>
  </si>
  <si>
    <t>Managing Multigenerational Teams: Embracing Diversity for Effective Collaboration</t>
  </si>
  <si>
    <t>024534-EP</t>
  </si>
  <si>
    <t>Rules and procedures and e-Rapnot presentation</t>
  </si>
  <si>
    <t>026464-EUSA</t>
  </si>
  <si>
    <t>Leadership &amp; management &gt; Managing relations</t>
  </si>
  <si>
    <t>Advanced Feedback for Managers (Online &amp; F2F)</t>
  </si>
  <si>
    <t>059740-EP</t>
  </si>
  <si>
    <t>Cultivating psychological safety in your team</t>
  </si>
  <si>
    <t>053723-EP</t>
  </si>
  <si>
    <t>Faire face à des situations relationnelles complexes grâce à un management humain et de proximité</t>
  </si>
  <si>
    <t>053823-EP</t>
  </si>
  <si>
    <t>Fostering a positive workplace at the EP - Managing staff ethically and preventing harassment situations</t>
  </si>
  <si>
    <t>071398-EP</t>
  </si>
  <si>
    <t>Negotiate with impact: influence, resolve, win</t>
  </si>
  <si>
    <t>070180-EP</t>
  </si>
  <si>
    <t>Leadership &amp; management &gt; Managing self</t>
  </si>
  <si>
    <t>Cultivating sustainable motivation</t>
  </si>
  <si>
    <t>072349-EP</t>
  </si>
  <si>
    <t>Leading without the title: developing your leadership influence</t>
  </si>
  <si>
    <t>071466-EP</t>
  </si>
  <si>
    <t>Leadership &amp; management &gt; Managing tasks</t>
  </si>
  <si>
    <t>Info-session: HR rules and policies for new Heads of Units</t>
  </si>
  <si>
    <t>EP_003759</t>
  </si>
  <si>
    <t>MEP &amp; APA training</t>
  </si>
  <si>
    <t>APA - Training programme</t>
  </si>
  <si>
    <t>Catalogue of courses for MEPs</t>
  </si>
  <si>
    <t>070826-EP</t>
  </si>
  <si>
    <t>International trade negotiations – an overview for APAs – the process, the EP's role and the follow up</t>
  </si>
  <si>
    <t>070008-EP-0001-EN-GB</t>
  </si>
  <si>
    <t>Newcomers &amp; mandatory courses</t>
  </si>
  <si>
    <t>3 hemicycles on Kirchberg</t>
  </si>
  <si>
    <t>070669-EP</t>
  </si>
  <si>
    <t>3 hemicycles on Kirchberg: A guided tour of European Parliament history in Luxembourg</t>
  </si>
  <si>
    <t>070223-EP</t>
  </si>
  <si>
    <t xml:space="preserve">Buildings, People &amp; Power: Tour of the European Parliament in Brussels </t>
  </si>
  <si>
    <t>070511-EP</t>
  </si>
  <si>
    <t xml:space="preserve">Corridors, Chambers and Stories: Tour of the European Parliament in Brussels </t>
  </si>
  <si>
    <t>071127-EP</t>
  </si>
  <si>
    <t>European Parliament's Induction Programme</t>
  </si>
  <si>
    <t>028361-EP</t>
  </si>
  <si>
    <t>Explore the buildings of the European Parliament in Strasbourg</t>
  </si>
  <si>
    <t>EP_002539</t>
  </si>
  <si>
    <t>Newcomers Learning Pack</t>
  </si>
  <si>
    <t>030180-EP</t>
  </si>
  <si>
    <t>Representation - 16 stories of women in the European Parliament</t>
  </si>
  <si>
    <t>049492-EP</t>
  </si>
  <si>
    <t>The Louise Weiss building of the European Parliament in Strasbourg</t>
  </si>
  <si>
    <t>EP_003721</t>
  </si>
  <si>
    <t>Onboarding learning paths &gt; ADM</t>
  </si>
  <si>
    <t>Onboarding path for Human resources assistant</t>
  </si>
  <si>
    <t>EP_003720</t>
  </si>
  <si>
    <t>Onboarding path for Secretary</t>
  </si>
  <si>
    <t>EP_003719</t>
  </si>
  <si>
    <t>Onboarding path for Senior Clerical Officer</t>
  </si>
  <si>
    <t>EP_003659</t>
  </si>
  <si>
    <t>Onboarding learning paths &gt; FIN</t>
  </si>
  <si>
    <t>Onboarding for Financial Officer</t>
  </si>
  <si>
    <t>EP_003741</t>
  </si>
  <si>
    <t>Onboarding path for Financial Adminstrator</t>
  </si>
  <si>
    <t>EP_003679</t>
  </si>
  <si>
    <t>Onboarding learning paths &gt; INF</t>
  </si>
  <si>
    <t>Onboarding paths for ICT Applications Officer</t>
  </si>
  <si>
    <t>EP_003699</t>
  </si>
  <si>
    <t>Onboarding paths for ICT Engineering Specialist</t>
  </si>
  <si>
    <t>EP_003642</t>
  </si>
  <si>
    <t>Onboarding learning paths &gt; LING</t>
  </si>
  <si>
    <t>Onboarding for Intercultural and Language Professional (Dir B)</t>
  </si>
  <si>
    <t>EP_003579</t>
  </si>
  <si>
    <t>Onboarding for Legal Language Professionals</t>
  </si>
  <si>
    <t>Test</t>
  </si>
  <si>
    <t>072410-EP</t>
  </si>
  <si>
    <t>Christmas course</t>
  </si>
  <si>
    <t>072320-EP</t>
  </si>
  <si>
    <t>072408-EP</t>
  </si>
  <si>
    <t>Christmas umbrella</t>
  </si>
  <si>
    <t>072272-EP</t>
  </si>
  <si>
    <t>DG PERS Learning Community (test)</t>
  </si>
  <si>
    <t>EP_004159</t>
  </si>
  <si>
    <t>HR Professional</t>
  </si>
  <si>
    <t>061813-EP</t>
  </si>
  <si>
    <t>MEP welcome aides - Brussels Tour</t>
  </si>
  <si>
    <t>071286-EP</t>
  </si>
  <si>
    <t>Online workshop facilitation: tools, flow, and best practices (mockup)</t>
  </si>
  <si>
    <t>065906-EP-0011-EN-GB</t>
  </si>
  <si>
    <t>Pack for APAs - Online | Blended | Classroom  - testing</t>
  </si>
  <si>
    <t>071427-EP-0002-EN-GB</t>
  </si>
  <si>
    <t>Review of Ethics (EN)</t>
  </si>
  <si>
    <t>071427-EP-0001-EN-GB</t>
  </si>
  <si>
    <t>Review of Ethics (FR)</t>
  </si>
  <si>
    <t>072271-EP</t>
  </si>
  <si>
    <t xml:space="preserve">Test community </t>
  </si>
  <si>
    <t>071126-EP-0001-EN-GB</t>
  </si>
  <si>
    <t>The Communication Doctor</t>
  </si>
  <si>
    <t>EP_005459</t>
  </si>
  <si>
    <t>Training of the new Confidential Counsellors</t>
  </si>
  <si>
    <t>065906-EP-0010-EN-GB</t>
  </si>
  <si>
    <t>What you need to know about Economics - Online | Blended | Classroom (with pictures)</t>
  </si>
  <si>
    <t>066020-EP-0001-EN-GB</t>
  </si>
  <si>
    <t>What you need to know about Economics: Online | Blended | Classroom (without pictures)</t>
  </si>
  <si>
    <t>068420-EP</t>
  </si>
  <si>
    <t>learn.EP master template - Umbrella for multiple course types</t>
  </si>
  <si>
    <t>073141-CONS-0003-EN-GB</t>
  </si>
  <si>
    <t>Wellbeing</t>
  </si>
  <si>
    <t>Digital Twins and Human Modelling to Improve Workplace Ergonomics</t>
  </si>
  <si>
    <t>060061-EP</t>
  </si>
  <si>
    <t>How to stay fit while working at your desk: ergonomic training for healthy work practices</t>
  </si>
  <si>
    <t>033860-EP</t>
  </si>
  <si>
    <t>065992-EP</t>
  </si>
  <si>
    <t xml:space="preserve">Listen, speak and support as a mentor </t>
  </si>
  <si>
    <t>070785-EP</t>
  </si>
  <si>
    <t>Mental Health First Aid course</t>
  </si>
  <si>
    <t>062202-EP</t>
  </si>
  <si>
    <t>Navigate your emotional intelligence</t>
  </si>
  <si>
    <t>070380-EP</t>
  </si>
  <si>
    <t xml:space="preserve">Preventing harassment </t>
  </si>
  <si>
    <t>069284-EP</t>
  </si>
  <si>
    <t>Resilience Masterclass</t>
  </si>
  <si>
    <t>064285-EP</t>
  </si>
  <si>
    <t>Resilience at Work: Boost your resilience and thrive under pressure</t>
  </si>
  <si>
    <t>070837-EP-0001-EN-GB</t>
  </si>
  <si>
    <t>The “STREAM” programme – Resilience and Well-being at work</t>
  </si>
  <si>
    <t>071521-EP</t>
  </si>
  <si>
    <t>Course should be included</t>
  </si>
  <si>
    <t>Status</t>
  </si>
  <si>
    <t>No</t>
  </si>
  <si>
    <t>Not EP course</t>
  </si>
  <si>
    <t>ok</t>
  </si>
  <si>
    <t>Removed from catalogue</t>
  </si>
  <si>
    <t>How to develop professionally</t>
  </si>
  <si>
    <t>Combine all modules in one item</t>
  </si>
  <si>
    <t>Only link to the subfolder: https://eulearn.europa.eu/ilp/pages/catalogsearch.jsf?catalogId=34288614</t>
  </si>
  <si>
    <t>035165-EP-0001-EN-GB</t>
  </si>
  <si>
    <t>Programme Management Essentials</t>
  </si>
  <si>
    <t>074843-EP</t>
  </si>
  <si>
    <t>ok. new umbrella template!</t>
  </si>
  <si>
    <t>074842-EP</t>
  </si>
  <si>
    <t>Project Management - Certification Exam</t>
  </si>
  <si>
    <t>Project Management - Driving Results for Managers</t>
  </si>
  <si>
    <t>074840-EP</t>
  </si>
  <si>
    <t>Link to cataloge should be included below new competency tile: https://eulearn.europa.eu/ilp/pages/catalogsearch.jsf?catalogId=78316164</t>
  </si>
  <si>
    <t>Collection per EP competence &gt; Job specific</t>
  </si>
  <si>
    <t xml:space="preserve">Collection per EP competence &gt; Job specific &gt; Information Technology </t>
  </si>
  <si>
    <t>Collection per EP competence &gt; Job specific &gt; Linguistic</t>
  </si>
  <si>
    <t>Collection per EP competence &gt; Job specific &gt; Parliamentary</t>
  </si>
  <si>
    <t>Assist in bi/multilateral policy negotiation</t>
  </si>
  <si>
    <t>EP_006022</t>
  </si>
  <si>
    <t>Communicate scientific findings to non-scientific audience</t>
  </si>
  <si>
    <t>EP_006023</t>
  </si>
  <si>
    <t>Manage information and knowledge ecosystem</t>
  </si>
  <si>
    <t>EP_006028</t>
  </si>
  <si>
    <t>Manage ParlTech services</t>
  </si>
  <si>
    <t>EP_006027</t>
  </si>
  <si>
    <t>Manage protocol</t>
  </si>
  <si>
    <t>EP_006024</t>
  </si>
  <si>
    <t>Provide legislative advisory</t>
  </si>
  <si>
    <t>EP_005921</t>
  </si>
  <si>
    <t>Strengthen foresight capacity</t>
  </si>
  <si>
    <t>EP_006025</t>
  </si>
  <si>
    <t>Support parliamentary business</t>
  </si>
  <si>
    <t>EP_006020</t>
  </si>
  <si>
    <t xml:space="preserve">Brainstorming techniques - unleash your creativity  </t>
  </si>
  <si>
    <t>074501-EP</t>
  </si>
  <si>
    <t>023524-EP</t>
  </si>
  <si>
    <t>072491-EP</t>
  </si>
  <si>
    <t>Effective networking</t>
  </si>
  <si>
    <t>073584-EP</t>
  </si>
  <si>
    <t>Getting the most out of your feedback</t>
  </si>
  <si>
    <t>How to facilitate online</t>
  </si>
  <si>
    <t>Presenting with impact</t>
  </si>
  <si>
    <t>In shall be called: Presenting with impact</t>
  </si>
  <si>
    <t>Only 1, either line 112 or 113</t>
  </si>
  <si>
    <t>Onle one with all accessibility courses</t>
  </si>
  <si>
    <t>Accessibility principles in practice: implementing WCAG and EN 301 549</t>
  </si>
  <si>
    <t>074720-EP</t>
  </si>
  <si>
    <t>Only include catalogue folder link</t>
  </si>
  <si>
    <t>Only link to catalogue folder</t>
  </si>
  <si>
    <t xml:space="preserve">Digital competencies </t>
  </si>
  <si>
    <t>Create tile with office 365</t>
  </si>
  <si>
    <t>Create tile with all cyber security course templates + counter eSpionage trainings</t>
  </si>
  <si>
    <t>Alice in the Cipher World</t>
  </si>
  <si>
    <t>061961-EP-0001-EN-GB</t>
  </si>
  <si>
    <t>How to use Eurostat data like a pro!</t>
  </si>
  <si>
    <t>020593-ESTAT</t>
  </si>
  <si>
    <t>Howspace admin onboarding session</t>
  </si>
  <si>
    <t>Create tile with "Data analytics" courses</t>
  </si>
  <si>
    <t>Create tile with "SharePoint" courses</t>
  </si>
  <si>
    <t>Forward to subfolder</t>
  </si>
  <si>
    <t>EP Competencies</t>
  </si>
  <si>
    <t>New tile on front page needed for this.</t>
  </si>
  <si>
    <t>Please link to EP talks catalogue, not individual EP talks</t>
  </si>
  <si>
    <t>iTrack v2 - Suivi des actifs avec la nouvelle version de l’application</t>
  </si>
  <si>
    <t>Staff Regulation training</t>
  </si>
  <si>
    <t>073702-EP</t>
  </si>
  <si>
    <t>Removed from catalogue. Replaces with new course template with in person training.</t>
  </si>
  <si>
    <t>Removed from catalogue. Template assigned to wellbeing folder now.</t>
  </si>
  <si>
    <t>Create tile with both mission courses</t>
  </si>
  <si>
    <t>Document management and GEDA</t>
  </si>
  <si>
    <t>Tile with both eLearning versions and GEDA course template</t>
  </si>
  <si>
    <t>028836-EP-0003-EN-GB</t>
  </si>
  <si>
    <t>Gestion Documentaire au Parlement  (FR)</t>
  </si>
  <si>
    <t>028847-EP-0002-FR-FR</t>
  </si>
  <si>
    <t>ok - not from our unit but RCBC unit</t>
  </si>
  <si>
    <t>Videoconferencing Facilities in KOHL building</t>
  </si>
  <si>
    <t>074123-EP</t>
  </si>
  <si>
    <t>yes</t>
  </si>
  <si>
    <t>Combine ALL CLEAR eLearnings</t>
  </si>
  <si>
    <t>Create tile with all first aid courses - to be seen with Mariana</t>
  </si>
  <si>
    <t>Create one tile with all EMAS course (including chemical handling)</t>
  </si>
  <si>
    <t>Building and Maintaining a High-Impact EMAS Network</t>
  </si>
  <si>
    <t>075221-EP</t>
  </si>
  <si>
    <t xml:space="preserve">Green Public Procurement </t>
  </si>
  <si>
    <t>075006-EP</t>
  </si>
  <si>
    <t>ok. Add to EMAS</t>
  </si>
  <si>
    <t>ok - keep close with "Online facilitation"</t>
  </si>
  <si>
    <t>075007-EP</t>
  </si>
  <si>
    <t>Data protection</t>
  </si>
  <si>
    <t>Tile with all data protection trainings</t>
  </si>
  <si>
    <t>Removed from catalogue. Umbrella created.</t>
  </si>
  <si>
    <t>074660-EP</t>
  </si>
  <si>
    <t>New created umbrella for 023379-EP and 058680-EP</t>
  </si>
  <si>
    <t>Ethics</t>
  </si>
  <si>
    <t>Tile with all ethic courses</t>
  </si>
  <si>
    <t>There are online and offline version attached to the catalogue.</t>
  </si>
  <si>
    <t>The  data protection offer is bit intimidating. Do we really need to showcase everything???</t>
  </si>
  <si>
    <t>EU Law for non-lawyers</t>
  </si>
  <si>
    <t>030740-EP</t>
  </si>
  <si>
    <t>Legislative Amendments from A to Z: drafting, tabling, voting</t>
  </si>
  <si>
    <t>029006-EP</t>
  </si>
  <si>
    <t>Artificial Intelligence and Copyright : a practical legal guidance</t>
  </si>
  <si>
    <t>074823-EP</t>
  </si>
  <si>
    <t>Add to AI tile</t>
  </si>
  <si>
    <t>035720-EP</t>
  </si>
  <si>
    <t>074441-EP</t>
  </si>
  <si>
    <t>074320-EP</t>
  </si>
  <si>
    <t>Not EP template</t>
  </si>
  <si>
    <t>030741-EP</t>
  </si>
  <si>
    <t>031103-EP</t>
  </si>
  <si>
    <t>058777-EP</t>
  </si>
  <si>
    <t>Evacuation Volunteers - Learning Path Trainings</t>
  </si>
  <si>
    <t>Create tile with all 3 evacuation LPs</t>
  </si>
  <si>
    <t>External voices series: EC Response to Draghi innovation challenge</t>
  </si>
  <si>
    <t>022964-SG POLICY-0151-EN-GB</t>
  </si>
  <si>
    <t>Events &gt; SG EU Policymaking Hub</t>
  </si>
  <si>
    <t>EU Policymaking Hub - Recorded e-talks</t>
  </si>
  <si>
    <t>024273-SG POLICY</t>
  </si>
  <si>
    <t>EU Policymaking hub e-talks</t>
  </si>
  <si>
    <t>022964-SG POLICY</t>
  </si>
  <si>
    <t>External voices series</t>
  </si>
  <si>
    <t>074601-SG POLICY</t>
  </si>
  <si>
    <t>External voices series - recorded e-talks</t>
  </si>
  <si>
    <t>074602-SG POLICY</t>
  </si>
  <si>
    <t>Foresight Talks</t>
  </si>
  <si>
    <t>024763-SG POLICY</t>
  </si>
  <si>
    <t xml:space="preserve">Futures Insights </t>
  </si>
  <si>
    <t>024764-SG POLICY</t>
  </si>
  <si>
    <t>High Level Competitiveness Talk Series (Recordings)</t>
  </si>
  <si>
    <t>070841-SG POLICY</t>
  </si>
  <si>
    <t xml:space="preserve">High-Level Competitiveness Talks </t>
  </si>
  <si>
    <t>070477-SG POLICY</t>
  </si>
  <si>
    <t>Innovative Policymaking - MasterClass (Recordings)</t>
  </si>
  <si>
    <t>071296-SG POLICY</t>
  </si>
  <si>
    <t xml:space="preserve">Political Priorities Deliveries - Recorded e-talks </t>
  </si>
  <si>
    <t>071436-SG POLICY</t>
  </si>
  <si>
    <t>Political priorities deliveries e-talk series</t>
  </si>
  <si>
    <t>069831-SG POLICY</t>
  </si>
  <si>
    <t>Recorded &amp;quot;Design in, with, for Policy: creativity in action&amp;quot; sessions</t>
  </si>
  <si>
    <t>074703-SG POLICY</t>
  </si>
  <si>
    <t>Reimagining policy solutions through design</t>
  </si>
  <si>
    <t>072840-SG POLICY</t>
  </si>
  <si>
    <t>Create tiles with all finance courses -&gt; ask Mariana how to devide them</t>
  </si>
  <si>
    <t>Create one tile with "Learning paths for financial roles"</t>
  </si>
  <si>
    <t>Do we showcase all financial paths and trainings?
Shouldn't we just do training offer and no specific paths?</t>
  </si>
  <si>
    <t xml:space="preserve">FMS Management Reporting - SAP Analytics Cloud (SAC) advanced level guidance </t>
  </si>
  <si>
    <t>074745-EP</t>
  </si>
  <si>
    <t>Risk management</t>
  </si>
  <si>
    <t>Interinsitutional catalogue &gt; GoFluent</t>
  </si>
  <si>
    <t>goFluent</t>
  </si>
  <si>
    <t>Link with other language courses: our catlogue folder and this one: https://eulearn.europa.eu/ilp/pages/catalogsearch.jsf?catalogId=74789980</t>
  </si>
  <si>
    <t>Language courses</t>
  </si>
  <si>
    <t>Only link to language courses catalogue folder: https://eulearn.europa.eu/ilp/pages/catalogsearch.jsf?catalogId=34288470 and to goFluent</t>
  </si>
  <si>
    <t>Forward link to Leadership and Management catalogue folder</t>
  </si>
  <si>
    <t>071074-EP</t>
  </si>
  <si>
    <t>Incarner un leadership responsable et aligné aujourd'hui : communication, décision et intelligence collective</t>
  </si>
  <si>
    <t>074764-EP</t>
  </si>
  <si>
    <t>ok - let's use the link from learn.EP main catalogue for the brochure as it works even for non-compliant APAs</t>
  </si>
  <si>
    <t>Include forward link to MEP training: https://epintranet.in.ep.europa.eu/files/live/sites/epintranet/files/learning/learn-mep/index.html  (link does not work)</t>
  </si>
  <si>
    <t>To check with Mariana &amp; Sue if APA courses from LP can be mentioned</t>
  </si>
  <si>
    <t>Create tile with all tours (Kirchberg, Brussels, Strasbourg)</t>
  </si>
  <si>
    <t>why do we have so many versions of tours? If I am in STR, which tour shall I choose? I do not think we shall be putting the tours at all. It is not a learning offer.</t>
  </si>
  <si>
    <t>Onboarding learning paths</t>
  </si>
  <si>
    <t>Link to the catalogue should be displayed below new tile on front page for competencies: https://eulearn.europa.eu/ilp/pages/catalogsearch.jsf?catalogId=90374928</t>
  </si>
  <si>
    <t>Onboarding learning paths &gt; PARL</t>
  </si>
  <si>
    <t>Onboarding for Legislative File Manager</t>
  </si>
  <si>
    <t>EP_005940</t>
  </si>
  <si>
    <t>Onboarding path for Parliamentary File Manager</t>
  </si>
  <si>
    <t>EP_003722</t>
  </si>
  <si>
    <t>Onboarding path for Parliamentary File Secretary</t>
  </si>
  <si>
    <t>EP_003723</t>
  </si>
  <si>
    <t>ok - not from our unit but wellbeeing unit</t>
  </si>
  <si>
    <t>EU Learn Text</t>
  </si>
  <si>
    <t>Newsletter Text</t>
  </si>
  <si>
    <t>EU Learn Link</t>
  </si>
  <si>
    <t>EU Learn Image</t>
  </si>
  <si>
    <t>Format</t>
  </si>
  <si>
    <t>Location</t>
  </si>
  <si>
    <t>Duration</t>
  </si>
  <si>
    <t>4 courses:
1. How to develop professionally - AI to support your professional growth:
AI is becoming increasingly part of our daily work. When used wisely, AI can help us upskill and reduce repetitive tasks. AI can also support professional development and the mobility process, such as analysing vacancy notices, improving CVs or cover letters, preparing for selection interviews, ... In addition, AI will impact the future activities of Human Resources departments.
2.How to Develop Professionally - Your skills &amp; motivations — 360° View:
This training is based on assessing your skills and identifying your motivations. It can help you build self-confidence or maximise your potential as you prepare for a job change. It is also a useful preliminary step to prepare your CV, cover letter, and interview.
3.How to develop professionally - Your working style — MBTI
What is MBTI?
The MBTI assessment is an effective tool to enhance self-awareness and professional collaboration. It provides a positive framework for understanding and appreciating individual differences in a team.
This course comprises three steps:
Before the course: complete the MBTI questionnaire.
During the course: self-assess your MBTI type.
After the course: validate your MBTI type during a private half-hour coaching session.
To learn more about MBTI, please use this link:
https://eu.themyersbriggs.com/en/tools/MBTI/MBTI-Step-I
4.How to develop professionally - Your career path — Self-reflection
With our busy workloads, we rarely take the time to reflect on our careers, professional choices, and the conscious or unconscious drivers behind them. Taking a moment to pause can help clarify the next step in your mobility process or professional development.
At the end of the session, the Central Career Guidance Service – SCOP (for officials) and the Talent Management Unit (for contractual staff) will present available services and answer questions (Q&amp;A).</t>
  </si>
  <si>
    <t>Considering your next career step? With this 4-module online series you can explore your potential, reflect on your journey, and gain guidance and practical tools to move forward. Modules may be taken separately and in any order. Ideal for those thinking about mobility.</t>
  </si>
  <si>
    <t>https://eulearn.europa.eu/ilp/pages/catalogsearch.jsf?catalogId=0&amp;sidebarExpanded=true&amp;q=%7B!q.op%3DAND%7D%20%7B!q.op%3DAND%7D%20How%20to%20Develop%20Professionally&amp;rows=4&amp;fq=%7B!tag%3DclassificationIds_41370794%7D%20classificationIds_41370794:(1%2F41370794%2F41374272%2F)</t>
  </si>
  <si>
    <t>/ils/data/course/EU_learn_How_to_develop_prof_650x365_107454336.png</t>
  </si>
  <si>
    <t>Online</t>
  </si>
  <si>
    <t>-</t>
  </si>
  <si>
    <t>3h</t>
  </si>
  <si>
    <t xml:space="preserve">
Online 
3 Hours
English</t>
  </si>
  <si>
    <t>This course is designed for those who want to develop and take control of their professional career and achieve (internal) mobility in a short space of time.
It's a high-impact course in a short space of time, thanks to a combination of learning techniques: 2 group training sessions and an individual coaching session.
This is a pragmatic course based on real-life case studies within the EP to move forward more quickly.
Topics covered include:
- How to identify the right movement for me and my career
-What aspects to consider when defining this target
-How to get there quickly
-Interpersonal relations and reputation
-CV and cover letter
-How to prepare and personalize your interview
-Communication, Negotiation and Conflict Resolution
-Improve each participant's individual professional development
-European leadership and values
-Successfully take up a new position</t>
  </si>
  <si>
    <t xml:space="preserve">This is a hands-on course based on real-life case studies to better prepare for any interview in the EP.
</t>
  </si>
  <si>
    <t>https://eulearn.europa.eu/ilp/pages/description.jsf#/users/@self/catalogues/34288630/coursetemplates/108489565/description</t>
  </si>
  <si>
    <t>https://eulearn.europa.eu/ils/data/course/EU_Learn_How_to_prepare_for_internal_interview_108299500.png</t>
  </si>
  <si>
    <t>online/classroom</t>
  </si>
  <si>
    <t>Brussels/Luxembourg</t>
  </si>
  <si>
    <t>8h</t>
  </si>
  <si>
    <t>•    Module 1 Welcome &amp; the case for personal branding
•    Module 2 Know yourself: values, strengths &amp; audience
•    Module 3 Craft your story: bio, pitch &amp; voice
•    Module 4 Build your presence: role-play &amp; group exercise
•    Module 5 Sustain &amp; grow: habits and accountability
•    Closing Gallery share, reflection &amp; next steps. • A clear articulation of their values, strengths and key professional audiences
• A polished professional bio and a short elevator pitch
• Practical confidence from role-playing realistic professional situations
• A 30-day action plan and an accountability partner with a scheduled check-in</t>
  </si>
  <si>
    <t>Stand out with confidence. Define your strengths, refine your professional story through a personal bio, and practise presenting yourself in real-life scenarios.</t>
  </si>
  <si>
    <t>https://eulearn.europa.eu/ilp/pages/description.jsf#/users/@self/catalogues/34290075/coursetemplates/110236842/description</t>
  </si>
  <si>
    <t>https://eulearn.europa.eu/ils/data/course/EU_learn_Develop_personal_brand_650x365_110232425.png</t>
  </si>
  <si>
    <t xml:space="preserve">Classroom </t>
  </si>
  <si>
    <t>Brussels</t>
  </si>
  <si>
    <t xml:space="preserve">This course will equip you with proven models and approaches to follow, as well as some quick tips and tricks to help you unlock the secrets to passing your next competition!
</t>
  </si>
  <si>
    <t>Are you preparing for a competition? Success isn’t just about studying, but also managing stress, staying sharp, finding information fast, and communicating clearly. Get top tips on how to get there!</t>
  </si>
  <si>
    <t>https://eulearn.europa.eu/ilp/pages/description.jsf#/users/@self/catalogues/34290075/coursetemplates/106732671/description</t>
  </si>
  <si>
    <t>https://eulearn.europa.eu/ils/data/course/Kick_start_competition_prep_Image_81343338_98509988.png</t>
  </si>
  <si>
    <t>7H</t>
  </si>
  <si>
    <t>•    Module 4 Build your presence: role-play &amp; group exercise</t>
  </si>
  <si>
    <t>Thematically curated bundles of short, on-demand courses that help you build one competence at a time. Explore collections of courses for transversal and job specific competencies suitable for learning at your own pace.</t>
  </si>
  <si>
    <t>https://eulearn.europa.eu/ilp/pages/catalogsearch.jsf?catalogId=78316164</t>
  </si>
  <si>
    <t>F:\COMMUNICATION\Course Thumbnails images\Competences.png</t>
  </si>
  <si>
    <t>Online/classroom</t>
  </si>
  <si>
    <t>Variable</t>
  </si>
  <si>
    <t xml:space="preserve">Public speaking </t>
  </si>
  <si>
    <t>The course starts with a short theory part. Participants will learn professional tricks to :
Prepare efficiently
Identify their key messages
Adapt their content to the audience and the delivery time
Use technology and props
Practice to build confidence
Be ready for all types of questions
The second part of the training will be focused on practice.
Each participant will have the opportunity to make a 5-minute presentation in front of the group
You will give and receive constructive feedback to improve your speech and make it easier to follow and more engaging.</t>
  </si>
  <si>
    <t xml:space="preserve">Learn how to structure your speeches and interventions, engage your audience with confidence, and manage speaking stress in this hands-on workshop. </t>
  </si>
  <si>
    <t>https://eulearn.europa.eu/ilp/pages/description.jsf#/users/@self/catalogues/34288630/coursetemplates/106321378/description</t>
  </si>
  <si>
    <t>https://eulearn.europa.eu/ils/data/course/public_speaker_98919503.png</t>
  </si>
  <si>
    <t>3,5h</t>
  </si>
  <si>
    <t>Particular accent will be made on the impact of online presentations and the challenges while presenting or moderating:
Is your presentation/panel attractive enough to elicit the full engagement of all colleagues/participants?
Is your impact purposeful and conversational?
Does your word make an actionable impact?
Planning and preparing your presentation.
Tips for improving communication during video conferencing: do’s and don't’s for a more professional video/hybrid conference.</t>
  </si>
  <si>
    <t>Are you speaking at your audience—or truly connecting with them? This course will help you transform your communication style by boosting your self-awareness and presence, shifting your approach from simply presenting to actively engaging with your listeners, and managing audience interactions with confidence.</t>
  </si>
  <si>
    <t>https://eulearn.europa.eu/ilp/pages/description.jsf#/users/@self/catalogues/34288630/coursetemplates/106481527/description</t>
  </si>
  <si>
    <t>https://eulearn.europa.eu/ils/data/course/My_presentation_skills_in_virtual_settings_640x365_51342528_78702904_94765412.jpg</t>
  </si>
  <si>
    <t>7h</t>
  </si>
  <si>
    <t>Voice techniques for clear communication</t>
  </si>
  <si>
    <t>The course starts with short voice exercises and tongue twisters, participants learn brething and delivery techniques to make themselves heard. They learn what makes a presentation, intervention in a meeting or speech  impactful and practice their own posture and breathing to achieve their goals.
In the afternoon, particpants prepare and deliver a short presentation with the techniques acquired in the morning and receive constructive feedback from the trainer and the group.</t>
  </si>
  <si>
    <t>Make your voice work for you. Learn how to refine your pitch, control your breathing, find the ideal pace, use pauses effectively, and align your body language for impact.</t>
  </si>
  <si>
    <t>https://eulearn.europa.eu/ilp/pages/description.jsf#/users/@self/catalogues/34288630/coursetemplates/106322483/description</t>
  </si>
  <si>
    <t>https://eulearn.europa.eu/ils/data/course/public_speaking_reading_a_speech_98839391.png</t>
  </si>
  <si>
    <t>- build your confidence to engage in difficult conversations
- know when to have them
- know how to prepare for them
- know how to navigate them
- know how to handle destabilising developments</t>
  </si>
  <si>
    <t xml:space="preserve">Difficult conversations are hard - but necessary. Learn key skills, practice through role-plays, and prepare to handle them with confidence and clarity. </t>
  </si>
  <si>
    <t>https://eulearn.europa.eu/ilp/pages/description.jsf#/users/@self/catalogues/34288630/coursetemplates/106321632/description</t>
  </si>
  <si>
    <t>https://eulearn.europa.eu/ils/data/course/EU_learn_Tough_talks_650x365_98569406.png</t>
  </si>
  <si>
    <t>4h</t>
  </si>
  <si>
    <t>You will discover the key principles of branding for the public sector, the relevant branding tools, the strategic foundations, the visual identity building blocks, and their application to various touchpoints. The training will equip you with tools to facilitate your everyday work.
What is the Brand Book? Check it on Confluence here, and watch the 2-minute intro video here.</t>
  </si>
  <si>
    <t>Do you create documents for an internal or external audience? This course explains the key principles of branding for the public sector, the relevant branding tools, the strategic foundations, the visual identity building blocks, and their application to various touchpoints.</t>
  </si>
  <si>
    <t>https://eulearn.europa.eu/ilp/pages/description.jsf#/users/@self/catalogues/34288630/coursetemplates/93851499/description</t>
  </si>
  <si>
    <t>https://eulearn.europa.eu/ils/data/course/brand_guidelines_93851484.png</t>
  </si>
  <si>
    <t>This course introduces how engaging online workshops can be designed, organised and delivered within the EP.
Participants will explore how to define the purpose of a workshop, the different roles needed to conduct a good online workshop, key workshop logistics, practice the use of tools available for EP staff and how to write a facilitation flow that ensures a smooth workshop.
Through hands-on exercises, they will set up meetings, create breakout rooms, practise to set up interactive tools like Whiteboard, Slido, and Howspace. The course emphasises purpose-driven design and practical tips to overcome common technical and engagement challenges in virtual settings.</t>
  </si>
  <si>
    <t xml:space="preserve">No more boring online meetings without results. Learn how to design interactive, purpose-driven online workshops. Discover how to use Slido, Whiteboard, and Howspace to meet your goals. </t>
  </si>
  <si>
    <t>https://eulearn.europa.eu/ilp/pages/description.jsf#/users/@self/catalogues/34288630/coursetemplates/95998135/description</t>
  </si>
  <si>
    <t>https://eulearn.europa.eu/ils/data/course/Online_workshop_facilitation_tools__flow__and_best_practices_95959586.png</t>
  </si>
  <si>
    <t>2h</t>
  </si>
  <si>
    <t>Effective networking is not about collecting contacts. It is about building meaningful, ethical and lasting professional relationships. This interactive course equips participants with practical tools to connect with confidence and authenticity.
Through experiential exercises inspired by improvisation, reflection and peer exchange, participants learn how to introduce themselves clearly and build trust quickly. The course focuses on real networking situations such as conferences, meetings and online platforms.
Participants explore how reputation, listening and generosity shape long term professional relationships. Attention is also given to cultural awareness and ethical collaboration.
The result is a structured, human and sustainable approach to networking.</t>
  </si>
  <si>
    <t xml:space="preserve">This interactive course will teach you how to build and nurture professional relationships online and in-person to extend your network within the organisation and beyond. </t>
  </si>
  <si>
    <t>https://eulearn.europa.eu/ilp/pages/description.jsf#/users/@self/catalogues/34288630/coursetemplates/107223032/description</t>
  </si>
  <si>
    <t>https://eulearn.europa.eu/ils/data/client_design/european_parliament/global/images/course_template_description_image_default.png</t>
  </si>
  <si>
    <t xml:space="preserve">We discuss what clear language is and why it matters in Parliament. We then introduce the principles of clear language and Parliament’s Citizens’ language guidelines and focus on applying the guidelines in document types that are widely used, e.g. emails, administrative documents, briefings. We discuss common writing problems and possible solutions, drawing on the Citizens’ language guidelines. </t>
  </si>
  <si>
    <t>Learn the principles of clear language and how to apply Parliament’s Citizens’ language guidelines to emails, briefings, and administrative documents to communicate more efficiently.</t>
  </si>
  <si>
    <t>https://eulearn.europa.eu/ilp/pages/description.jsf#/users/@self/catalogues/34288630/coursetemplates/104685091/description</t>
  </si>
  <si>
    <t>https://eulearn.europa.eu/ils/data/course/Clear_Language_Essentials___Graphic_100496148.png</t>
  </si>
  <si>
    <t>2,5H</t>
  </si>
  <si>
    <t>Getting the most out of feedback</t>
  </si>
  <si>
    <t>The topics addressed in this course:
Improving feedback quality through understanding brain mechanisms
Identifying unconscious obstacles which may affect the way I give and receive feedback
Reflecting on and changing feedback patterns:
my personal feedback pattern
the feedback pattern/culture of my team/organization
Positive feedback:
A handy structure to give high quality feedback
What pitfalls to avoid for feedback to be effective and relationally safe
Understanding how positive feedback promotes a better working environment
Using two-way feedback to improve relationships, performance and work satisfaction
Receiving feedback:
Receiving feedback is more an attitude than it is a skill
Strategies to deal with poorly given feedback
Tips for giving/receiving feedback in virtual settings.</t>
  </si>
  <si>
    <t>Turn feedback into a growth tool. Understand brain reactions, remove barriers, and develop patterns that strengthen trust and performance.</t>
  </si>
  <si>
    <t>https://eulearn.europa.eu/ilp/pages/description.jsf#/users/@self/catalogues/34288630/coursetemplates/106317255/description</t>
  </si>
  <si>
    <t>https://eulearn.europa.eu/ils/data/course/Getting_the_most_out_of_feedback_93656167.png</t>
  </si>
  <si>
    <t>•    Module 5 Sustain &amp; grow: habits and accountability</t>
  </si>
  <si>
    <t>Designed for all EP staff taking part in the Back to School or Back to University Programme this course gives you everything you need to confidently contribute to this rewarding and inspiring initiative.</t>
  </si>
  <si>
    <t>https://eulearn.europa.eu/ilp/pages/description.jsf#/users/@self/catalogues/34288630/coursetemplates/106634610/description</t>
  </si>
  <si>
    <t>https://eulearn.europa.eu/ils/data/course/B2S_Training_logo_99210747.png</t>
  </si>
  <si>
    <t>Visual thinking: Connect challenges to dynamic sketches</t>
  </si>
  <si>
    <t>Unleash your creativity! Learn how to think, collaborate, and communicate visually through sketch notes - transforming complex ideas into clear, captivating visuals that truly connect with your audience.</t>
  </si>
  <si>
    <t>https://eulearn.europa.eu/ilp/pages/description.jsf#/users/@self/catalogues/34288630/coursetemplates/112115541/coursesessions</t>
  </si>
  <si>
    <t>https://eulearn.europa.eu/ils/data/course/PowerVisuals_thumb_650x3652_89137204.png</t>
  </si>
  <si>
    <t>7hrs</t>
  </si>
  <si>
    <t>Emotional Intelligence (EI) is a set of emotional and social skills and competencies that influence our capability to cope effectively with the demands and pressures of work and life.
This course helps Parliament staff at all levels better understand themselves, strengthen working relationships, improve communication, and manage stress more effectively, leading to greater trust and collaboration at work.</t>
  </si>
  <si>
    <t>EQ is today one of the most demanded skills at the workspace. Boost your self-awareness, master the art of dealing with stressful situations, foster better communication and build trusting relationships in your team.</t>
  </si>
  <si>
    <t>https://eulearn.europa.eu/ilp/pages/description.jsf#/users/@self/catalogues/100536427/coursetemplates/106774919/description</t>
  </si>
  <si>
    <t>https://eulearn.europa.eu/ils/data/course/Emotional_intel_650x365_83105060.png</t>
  </si>
  <si>
    <t xml:space="preserve">classroom </t>
  </si>
  <si>
    <r>
      <rPr>
        <sz val="11"/>
        <color rgb="FF000000"/>
        <rFont val="Calibri"/>
      </rPr>
      <t xml:space="preserve">Brainstorming techniques - </t>
    </r>
    <r>
      <rPr>
        <b/>
        <sz val="11"/>
        <color rgb="FF000000"/>
        <rFont val="Calibri"/>
      </rPr>
      <t>how to come up with new ideas</t>
    </r>
  </si>
  <si>
    <t>Are you stuck having only 1 idea when thinking about your complex professional problems and would you like to go beyond it? Would you like to discover how to have many more (innovative) ideas popping out of your head? Would you like to go even one step further and then structure this quantity of ideas?
Then join us on this half day workshop where we will dive into creative thinking. You will learn when and how to use your creativity in a deliberate way.
After this interactive workshop you will understand the methodology and you will know how to use the techniques learned so you can start ideating regularly in your professional live.  Prepare to have more than just that one lonely idea …!
Topics covered:
Creative thinking: how does it work, and in which situation/context it’s useful?
Learn at least 5 new techniques to help you come up with innovative ideas.
How to prepare an effective creative session
Case studies: how to put it all into practice</t>
  </si>
  <si>
    <t>Stuck with the same ideas and inefficient processes? Join this half-day workshop to learn how to brainstorm, unlock creative thinking, generate innovative solutions, and structure your thoughts.</t>
  </si>
  <si>
    <t>https://eulearn.europa.eu/ilp/pages/description.jsf#/users/@self/catalogues/34288630/coursetemplates/109611791/description</t>
  </si>
  <si>
    <t>https://eulearn.europa.eu/ils/data/course/EU_learn_brainstorming_techniques_650x365_107223191.png</t>
  </si>
  <si>
    <t>Entry-Level Participatory Leadership</t>
  </si>
  <si>
    <t>The context in which the European Parliament and the European Union work continues to change and become complex.  Engaging in meaningful conversations has become a crucial strategic action where diverse knowledge is exchanged, so that new collective intelligence and solutions can be found.
The way we lead our conversations at work, especially through the participation of staff and stakeholders, impacts our potential to see and implement new solutions.  Engaging staff and stakeholders to think together about strategies, action plans and policies from the outset is key to organisational efficiency and effectiveness.  Participatory leadership addresses this challenge.
The European Parliament is building capacity for participatory leadership. In taking this course, you will join a community of practitioners who would like to volunteer to co-host the design and organisation of events - such as team building, away days as well as internal and/or external stakeholder consultations.  The community will be offered professional support as they build their experience, making them more visible throughout the EP and recognised as trusted actors.
This course is for anyone who would like to learn about new ways of working, about engaging people in conversations that matter and creating a positive dynamic.  Not only achieving concrete objectives but also intangible outcomes such as building relationships and trust.</t>
  </si>
  <si>
    <t>Learn easy-to-apply techniques to facilitate discussions and invite participation from everyone in your team. Build on your collective intelligence to take better decisions and achieve results.</t>
  </si>
  <si>
    <t>https://eulearn.europa.eu/ilp/pages/description.jsf#/users/@self/catalogues/34290075/coursetemplates/106712243/description</t>
  </si>
  <si>
    <t>https://eulearn.europa.eu//ils/data/course/EU_learn_Participatory_Leadership_650x3652_82118316.png</t>
  </si>
  <si>
    <t>24h</t>
  </si>
  <si>
    <t>This training is designed to give insight into and increased awareness of how people learn, how to structure a training, the organisation of the content, how to create interactive workshops, online training specificities, different ways of interacting, presentation skills and optimizing use of PowerPoint.</t>
  </si>
  <si>
    <t>Whether you’re an occasional or seasoned trainer, strengthen your skills in learning design, workshop facilitation, online delivery, interaction techniques, and effective presentations.</t>
  </si>
  <si>
    <t>https://eulearn.europa.eu/ilp/pages/description.jsf#/users/@self/catalogues/34288630/coursetemplates/106321897/description</t>
  </si>
  <si>
    <t>https://eulearn.europa.eu/ils/data/course/Train_the_Trainer_postits_94737584.jpg</t>
  </si>
  <si>
    <t>Build your understanding of AI and learn how to apply AI tools responsibly and effectively in your daily work.</t>
  </si>
  <si>
    <t>https://eulearn.europa.eu/ilp/pages/catalogsearch.jsf?catalogId=115172&amp;fq%2B=subTreeIds:%221%2F0%2F115172%2F%22&amp;fq=%7B!tag%3DsubTreeIds%7D%20subTreeIds:(2%2F0%2F115172%2F34288577%2F)&amp;fq=%7B!tag%3DsubTreeIdsDirect%7D%20subTreeIdsDirect:(3%2F0%2F115172%2F34286060%2F80327107%2F)&amp;sidebarExpanded=true&amp;q=%7B!q.op%3DAND%7D%20*:*&amp;rows=10</t>
  </si>
  <si>
    <t>https://eulearn.europa.eu/ils/data/program/AI_collection_of_courses__91624375__92666607.png</t>
  </si>
  <si>
    <t>Digital competencies &gt; IT security &amp; management &gt; Cybersecurity</t>
  </si>
  <si>
    <t>Learn how to identify cyber threats,  discover key cybersecurity  policies  and adopt best practices to stay safe in today’s connected world.</t>
  </si>
  <si>
    <t>https://eulearn.europa.eu/ilp/pages/catalogsearch.jsf?catalogId=34286508</t>
  </si>
  <si>
    <t>F:\COMMUNICATION\Course Thumbnails images\EU learn cybersecurity 650x365.png</t>
  </si>
  <si>
    <t>Data Analytics</t>
  </si>
  <si>
    <t>Discover how to collect, analyse, and visualise data to uncover insights that drive smarter decisions.</t>
  </si>
  <si>
    <t>https://eulearn.europa.eu/ilp/pages/catalogsearch.jsf?catalogId=34288649</t>
  </si>
  <si>
    <t>https://eulearn.europa.eu/ils/data/course/EU_learn_Data_Management_650x365_102342831.png</t>
  </si>
  <si>
    <t>Acessibility</t>
  </si>
  <si>
    <t>Learn the principles of accessibility and how to create content and documents that are accessible for all.</t>
  </si>
  <si>
    <t>https://eulearn.europa.eu/ilp/pages/description.jsf#/users/@self/catalogues/71037089/programmes/111113376/description</t>
  </si>
  <si>
    <t>https://eulearn.europa.eu/ils/data/program/EU_learn_Digigtal_Accessibility_learning_path_650x365_111111558.png</t>
  </si>
  <si>
    <t>eLearning</t>
  </si>
  <si>
    <t>Cloud</t>
  </si>
  <si>
    <t xml:space="preserve">Build cloud computing skills through training in Azure, AWS services, data management, and cloud architecture.
</t>
  </si>
  <si>
    <t>Learn cloud computing skills through training in Azure, AWS services, data management, and cloud architecture.</t>
  </si>
  <si>
    <t>https://eulearn.europa.eu/ilp/pages/catalogsearch.jsf?catalogId=115172&amp;fq%2B=subTreeIds:%221%2F0%2F115172%2F%22&amp;fq=%7B!tag%3DsubTreeIds%7D%20subTreeIds:(2%2F0%2F115172%2F34288577%2F)&amp;fq=%7B!tag%3DsubTreeIdsDirect%7D%20subTreeIdsDirect:(3%2F0%2F115172%2F34286060%2F36000577%2F)&amp;sidebarExpanded=true&amp;q=%7B!q.op%3DAND%7D%20*:*&amp;rows=3</t>
  </si>
  <si>
    <t>F:\COMMUNICATION\Course Thumbnails images\EU learn Could apps 650x365.png</t>
  </si>
  <si>
    <t>online</t>
  </si>
  <si>
    <t xml:space="preserve">About pdf
About Acrobat
The Acrobat interface
Creating Adobe PDF files
Enhancing PDF documents
Combining files in a PDF document
Editing content in pdf files
Adding text
Replacing images
Exporting pdf files to other editable file formats
Extracting PDF tables as Excel spreadsheets
Adding security to your PDF documents
Forms in Acrobat
E-signing
Checking your PDF for professional printing
 </t>
  </si>
  <si>
    <t>Enhance your skills with Adobe Acrobat Pro hands-on training and learn to create, edit, and secure PDFs efficiently.</t>
  </si>
  <si>
    <t>https://eulearn.europa.eu/ilp/pages/description.jsf#/users/@self/catalogues/35771560/coursetemplates/106312511/description</t>
  </si>
  <si>
    <t>https://eulearn.europa.eu/ils/data/course/IT_Adobe_Acrobat_thumbnail_650x365_61423696.jpg</t>
  </si>
  <si>
    <t>This training course takes place over three consecutive days, during which the following topics will be covered:
Touring Adobe Premiere Pro CC 
Setting Up a Project
Importing Media (Media Browser Panel)
Organizing Media (Project Panel)
Essentials of Video Editing (Monitor, TimeLine)
Working with Clips and Markers
Adding Transitions
Adding Video Effects (KeyFrame, ChromaKeys basics..)
Color Correction (exposure issues, standardize colorimetry between rushes…)
Creating Titles
Sounds Basics (Sounds tracks)
Encoding and exporting sequences (Resolution, Formats…) If time permits ;
Managing Your Projects (Sharing assets between projects)</t>
  </si>
  <si>
    <t>Bring your designs to life with this three-day course and learn to edit, enhance, and publish your own videos.</t>
  </si>
  <si>
    <t>https://eulearn.europa.eu/ilp/pages/description.jsf#/users/@self/catalogues/35771560/coursetemplates/98757260/description</t>
  </si>
  <si>
    <t>https://eulearn.europa.eu/ils/data/course/EU_learn_AdobePremiere_650x365_98757256.png</t>
  </si>
  <si>
    <t>21h</t>
  </si>
  <si>
    <t>Office 365</t>
  </si>
  <si>
    <t>Refresh your knowledge and master new functionalities in the Office 365 tools like Word, Excel, and Teams.</t>
  </si>
  <si>
    <t>https://eulearn.europa.eu/ilp/pages/catalogsearch.jsf?catalogId=34288636</t>
  </si>
  <si>
    <t>F:\COMMUNICATION\Course Thumbnails images\EU learn Office 365 650x365.png</t>
  </si>
  <si>
    <t>Step into your new role at the EP with confidence. This 1.5-hour, hands-on session is your fast track to feeling fluent in the digital tools you’ll use every day. Together, we’ll explore tips and tricks on the digital tools that are widely used in our working environment and learn how to navigate the EP Intranet with ease.
This isn’t a lecture. It’s a space to try things out, ask your questions, and walk away with practical tips, shortcuts, and small hacks that actually make your work smoother.
The session is designed as a coaching-style experience: bring your curiosity and your real-life work scenarios.
This course is part of a broader learning path designed to support your professional journey at the EP. By enrolling in the Digital Learning Path for Newcomers, you willl gain access to a variety of additional training courses you can explore at your own pace, with no obligation to attend.</t>
  </si>
  <si>
    <t>Discover the must-have digital tools behind our daily work. Ideal for newcomers, but helpful for everyone!</t>
  </si>
  <si>
    <t>https://eulearn.europa.eu/ilp/pages/description.jsf#/users/@self/catalogues/34288659/coursetemplates/106312215/description</t>
  </si>
  <si>
    <t>https://eulearn.europa.eu/ils/data/course/digital_basics_96084258.png</t>
  </si>
  <si>
    <t>Catch up on past EP Talks recordings and benefit from the insights, expertise, and experiences shared by speakers from a wide range of fields.</t>
  </si>
  <si>
    <t>https://eulearn.europa.eu/ilp/pages/catalogsearch.jsf?catalogId=90316766&amp;sidebarExpanded=false&amp;q=*:*&amp;rows=6</t>
  </si>
  <si>
    <t>https://eulearn.europa.eu/ils/data/ckeditor_uploads/ep_talk_blue_face_rewind_main_template_90339278.png</t>
  </si>
  <si>
    <t>1,5h</t>
  </si>
  <si>
    <t xml:space="preserve">This course aims to familiarise the personel of the Parliament with staff regulation: recruitment, career, assessment, working time, leave, pensions, and more…
</t>
  </si>
  <si>
    <t xml:space="preserve">Discover the essentials of the Staff Regulations - from recruitment and career development to working time, leave, and pensions. </t>
  </si>
  <si>
    <t>https://eulearn.europa.eu/ilp/pages/description.jsf#/users/@self/catalogues/100658061/coursetemplates/109778704/description</t>
  </si>
  <si>
    <t>https://eulearn.europa.eu/ils/data/course/EU_learn_Staff_Regulations_650x365_02.04.2025_107750574.png</t>
  </si>
  <si>
    <t>6,5h</t>
  </si>
  <si>
    <t>Document management</t>
  </si>
  <si>
    <t>Discover the essentials of document management, from handling paper and digital records to archiving them properly and preserving the EP's knowledge and memory.</t>
  </si>
  <si>
    <t>https://eulearn.europa.eu/ilp/pages/catalogsearch.jsf?catalogId=0&amp;sidebarExpanded=true&amp;q=%7B!q.op%3DAND%7D%20document%20management&amp;rows=10&amp;fq=%7B!tag%3DsubTreeIdsDirect%7D%20subTreeIdsDirect:(3%2F0%2F115172%2F34288813%2F34290081%2F)</t>
  </si>
  <si>
    <t>https://eulearn.europa.eu/ils/data/course/IT_GEDA_online_course_650x365_36422001.jpg</t>
  </si>
  <si>
    <t>Missions</t>
  </si>
  <si>
    <t>Training courses designed to help staff manage missions efficiently, including the declaration of mission expenses after travel, an introduction to EP mission rules, and hands-on training in the use of the eMiss application.</t>
  </si>
  <si>
    <t>https://eulearn.europa.eu/ilp/pages/catalogsearch.jsf?catalogId=0&amp;sidebarExpanded=true&amp;q=%7B!q.op%3DAND%7D%20mission&amp;rows=2&amp;fq=%7B!tag%3DsubTreeIdsDirect%7D%20subTreeIdsDirect:(3%2F0%2F115172%2F34288813%2F34290081%2F)</t>
  </si>
  <si>
    <t>https://eulearn.europa.eu/ils/data/course/eMISS_Mission_rules_and_MISS_application_104595295.png</t>
  </si>
  <si>
    <t>All Clear</t>
  </si>
  <si>
    <t>Understand information security risks, safe conduct practices, and the rules for handling EU classified information (EUCI) within the European Parliament.</t>
  </si>
  <si>
    <t>https://eulearn.europa.eu/ilp/pages/catalogsearch.jsf?catalogId=115172&amp;fq%2B=subTreeIds:%221%2F0%2F115172%2F%22&amp;fq=%7B!tag%3DsubTreeIds%7D%20subTreeIds:(2%2F0%2F115172%2F34288577%2F)&amp;fq=%7B!tag%3DsubTreeIdsDirect%7D%20subTreeIdsDirect:(3%2F0%2F115172%2F34288813%2F34290065%2F)&amp;fq=%7B!tag%3DlocationIds%7D%20locationIds:(0%2F115631%2F)&amp;sidebarExpanded=true&amp;q=%7B!q.op%3DAND%7D%20all%20clear&amp;rows=2</t>
  </si>
  <si>
    <t>https://eulearn.europa.eu/ils/data/course/banner_euci_98752600.png</t>
  </si>
  <si>
    <t>1h</t>
  </si>
  <si>
    <t>EMAS</t>
  </si>
  <si>
    <t>Discover how the EP manages its environmental impact and how you can play a role in achieving its sustainability goals. From practical insights into EMAS, including Parliament’s environmental targets to everyday tips for a greener workplace.</t>
  </si>
  <si>
    <t>https://eulearn.europa.eu/ilp/pages/catalogsearch.jsf?catalogId=0&amp;sidebarExpanded=true&amp;q=%7B!q.op%3DAND%7D%20%7B!q.op%3DAND%7D%20EMAS&amp;rows=8&amp;fq=%7B!tag%3DsubTreeIdsDirect%7D%20subTreeIdsDirect:(3%2F0%2F115172%2F34288813%2F34290065%2F)</t>
  </si>
  <si>
    <t>https://eulearn.europa.eu/ils/data/course/EU_learn_EMAS_training_650x365_107343653.png</t>
  </si>
  <si>
    <t>Uncouncious Bias</t>
  </si>
  <si>
    <t>Be aware of your unconscious biases and learn how to adjust your automatic thinking patterns to improve relationships with others. Particularly useful when recruiting and evaluating performance.</t>
  </si>
  <si>
    <t>https://eulearn.europa.eu/ilp/pages/description.jsf#/users/@self/catalogues/34290065/coursetemplates/111894952/description</t>
  </si>
  <si>
    <t>c</t>
  </si>
  <si>
    <t xml:space="preserve">The first part of our course explores the kind of expectations and frustrations that are associated with meetings. 
Then we will unravel and discuss the organisational aspects of a meeting. Why do we need a meeting? Who needs to attend? Do we have a goal-oriented agenda? Can AI make it more efficient? From here, we begin to see the kind of topics that are often ignored or forgotten and lay the right foundations. 
As good communication is at the heart of all effective meetings we examine the behavioural factors that influence a discussion, whether it is measured or heated. Why do certain leadership styles impact on the outcome of the meeting? 
In a highly interactive session, participants who have many years of attending meetings will refresh their current thinking and approach. Those who are new to the European Parliament will receive an invaluable foundation for the future. 
</t>
  </si>
  <si>
    <t>Have you had enough of time-wasting meetings? Discover how to organise, lead, and participate in in-person meetings that actually achieve results.</t>
  </si>
  <si>
    <t>https://eulearn.europa.eu/ilp/pages/description.jsf#/users/@self/catalogues/34290065/coursetemplates/105839915/description</t>
  </si>
  <si>
    <t>https://eulearn.europa.eu/ils/data/course/How_to_plan_and_lead_a_productive_meeting_650x365_98688928.png</t>
  </si>
  <si>
    <t xml:space="preserve">Working together in multigenerational teams
</t>
  </si>
  <si>
    <t>Unlock the power of multigenerational teams. Build understanding, challenge assumptions, and enhance teamwork in this interactive half-day course.</t>
  </si>
  <si>
    <t>https://eulearn.europa.eu/ilp/pages/description.jsf#/users/@self/catalogues/34290065/coursetemplates/110383065/description</t>
  </si>
  <si>
    <t>https://eulearn.europa.eu/ils/data/course/EU_learn_multigen_650x365_96312006.jpg</t>
  </si>
  <si>
    <t>Team activities ("EP Role Play", "Treasure Hunt", "May 9th 1950, how it all started", "The EP collaboration Path"</t>
  </si>
  <si>
    <t>Strengthen your understanding of data protection with courses on GDPR compliance, risk management, data breaches, AI, and the responsible use of personal data in various contexts.</t>
  </si>
  <si>
    <t>https://eulearn.europa.eu/ilp/pages/catalogsearch.jsf?catalogId=0&amp;sidebarExpanded=true&amp;q=%7B!q.op%3DAND%7D%20*:*&amp;rows=10&amp;fq=%7B!tag%3DsubTreeIdsDirect%7D%20subTreeIdsDirect:(3%2F0%2F115172%2F34290092%2F100536060%2F)</t>
  </si>
  <si>
    <t>Explore ethics and integrity in public administration in the EP, with examples of good and bad practices inside and outside EU institutions, including how to deal with lobbyists.</t>
  </si>
  <si>
    <t>https://eulearn.europa.eu/ilp/pages/catalogsearch.jsf?catalogId=0&amp;sidebarExpanded=true&amp;q=%7B!q.op%3DAND%7D%20*:*&amp;rows=2&amp;fq=%7B!tag%3DsubTreeIdsDirect%7D%20subTreeIdsDirect:(3%2F0%2F115172%2F34290092%2F100535939%2F)</t>
  </si>
  <si>
    <t>https://eulearn.europa.eu/ils/data/course/WORK_Let_s_talk_ethics_640x365_37106235_106692516.jpg</t>
  </si>
  <si>
    <t>EP Powers and EU Policies</t>
  </si>
  <si>
    <t>This course explains the different roles played by the European Parliament in EU policy-making. You start by looking at the range of EU policies in terms of both the different competences that have been given to the EU by the Member States, and the different forms of action that are concerned (law, finance, policy coordination, cooperation). You have an overview of how the EP participates in EU law-making: its role in the adoption of EU legislation as well as with regard to delegated and implementing acts of the Commission.
You see the EP’s role as joint budgetary authority of the EU, before reviewing what the EP does with regard to economic governance and external action.
The course concludes with a summary of the other roles played by the EP concerning agenda-setting and oversight.</t>
  </si>
  <si>
    <t>An insight into competencies given to the EU by the Member States (law, finance, policy, cooperation) and the role the European Parliament plays in shaping EU policies.</t>
  </si>
  <si>
    <t>https://eulearn.europa.eu/ilp/pages/description.jsf#/users/@self/catalogues/34288590/coursetemplates/90705434/description</t>
  </si>
  <si>
    <t>https://eulearn.europa.eu/ils/data/course/EP_Powers_and_EU_Policies_90705421.png</t>
  </si>
  <si>
    <t> </t>
  </si>
  <si>
    <t xml:space="preserve">The course follows a journey of a legislative and a non-legislative report through Parliamentary procedures. In particular, it looks into committee procedures and modalities of cooperation between the committees, Parliament’s handling of interinstitutional negotiations in the context of the ordinary legislative procedure, and the procedures in plenary leading to adoption of legislative and non-legislative resolutions. One part of the course is dedicated to topical issues. Colleagues from different units in the EP Secretariat join the Q&amp;A session at the end of the course. </t>
  </si>
  <si>
    <t xml:space="preserve">Track the journey of Parliamentary reports, committee work, negotiations with other EU institutions, and how laws are adopted. </t>
  </si>
  <si>
    <t>https://eulearn.europa.eu/ilp/pages/description.jsf#/users/@self/catalogues/34288590/coursetemplates/106405244/description</t>
  </si>
  <si>
    <t>https://eulearn.europa.eu/ils/data/course/LEX_Rules_of_Procedure_and_Beyond_640x365_57244569.jpg</t>
  </si>
  <si>
    <t xml:space="preserve">This course provides an overview of the powers of the EP to scrutinize other EU institutions. To do so, it discusses key concepts, such as accountability, to systematically identifying instruments, target actors and effects of the Parliament exercising these powers. The course examines specific powers and related procedures in more detail.
 </t>
  </si>
  <si>
    <t>Explore the European Parliament’s powers to scrutinise EU institutions and ensure accountability.</t>
  </si>
  <si>
    <t>https://eulearn.europa.eu/ilp/pages/description.jsf#/users/@self/catalogues/34288590/coursetemplates/106404238/description</t>
  </si>
  <si>
    <t>https://eulearn.europa.eu/ils/data/course/EU_learn_Powers_of_Scrutiny_650x365_97642434.png</t>
  </si>
  <si>
    <t xml:space="preserve">This  session explains where legislative procedures fit in the EU legal and institutional system and highlights the main features of the decision-making processes involved. You contrast ‘law’ with other forms of EU action; ‘legislative’ procedures with other forms of EU law; and the ‘ordinary’ with the ‘special’ legislative procedures. The ordinary legislative procedure is then presented in detail, highlighting the roles of the European Parliament, the European Commission and the Council, as well as looking at the main actors and procedures involved in the three institutions. </t>
  </si>
  <si>
    <t xml:space="preserve">Get a detailed understanding of the EU legislative procedures and learn more about of one of the EP’s core competences. </t>
  </si>
  <si>
    <t>https://eulearn.europa.eu/ilp/pages/description.jsf#/users/@self/catalogues/34290094/coursetemplates/109416347/description</t>
  </si>
  <si>
    <t>https://eulearn.europa.eu/ils/data/course/LEX_Legislating_for_EU_essential_guide_640x365_36307277.jpg</t>
  </si>
  <si>
    <t>This course takes you through the Ordinary Legislative Procedure (COD), focusing on its first reading, presenting the main business steps in perspective,  actors involved actors, and  the  documents produced along a procedure in the European Parliament.
The following topics are covered:
Receiving the EC proposal
Drafting of the report, the opinions, and their respective amendments, at committee stage
Vote in committees and further tabling to plenary
Short overview on interinstitutional negotiations
High-level overview of translation processes
Amending and voting at plenary stage
Producing plenary texts adopted and consolidated
Publishing texts</t>
  </si>
  <si>
    <t>An outline of the key steps, actors, and documents involved, from the Commission proposal to committee and plenary stages, including negotiations and translation processes.</t>
  </si>
  <si>
    <t>https://eulearn.europa.eu/ilp/pages/description.jsf#/users/@self/catalogues/34290099/coursetemplates/106415851/description</t>
  </si>
  <si>
    <t>https://eulearn.europa.eu/ils/data/course/EU_learn_Ordinary_Legislative_Procedure_650x365_106328879.png</t>
  </si>
  <si>
    <t>Introduction of rules on EU law making, including drafting of EU legislation
 Presentation of how to prepare and proceed successfully legislative amendments in the European Parliament
Introduction of participants to the DLA’s draft support tool (DST)
This classroom course is scheduled for 1 and a half days and  takes participants through the A-Z of amendments: preparation, presentation, drafting, negotiation and tabling of amendments in the EP. It aims to equip participants with the context, rules and processes of working with legislative amendments in the Parliament – whilst giving examples and drafting guidelines where applicable. The course will illustrate how all institutions involved, are bound by certain number of general principles of EU law, which have direct application in the daily work of EP staff
The following topics  will be covered.
•    legislative process: role and prerogatives of the three institutions involved in drafting EU legislation, differences in shaping the final text of a legislative act. 
•    specific rules governing drafting of EU legislation, applicable to all staff involved in the process.
•    typical structure of EU legal acts. analysis of a number of good and bad examples of legislative drafting.
•    legislative amendments cycle: from the moment EP committees receive the Commission proposal
•    detailed examination of the Commission proposal
•    context, rules, processes and deadlines at all stages of the amendment journey in the committee and the plenary.
•    formal tabling of amendments through the AT4AM system.
•    the politics of compromise and the preparation for plenary
•    the tabling of amendments for Plenary
•    establishment of the final voting list
Following a case study there will be a debriefing with a DLA lawyer linguist.</t>
  </si>
  <si>
    <t>Join our 1,5-day course on the EU legislative amendment process, including drafting, negotiating, and tabling amendments, with practical insights and expert guidance.</t>
  </si>
  <si>
    <t>https://eulearn.europa.eu/ilp/pages/description.jsf#/users/@self/catalogues/34290099/coursetemplates/107616957/description</t>
  </si>
  <si>
    <t>https://eulearn.europa.eu/ils/data/course/LEX_Drafting_legislation_640x365_39178194_78410575.jpg</t>
  </si>
  <si>
    <t>10,5h</t>
  </si>
  <si>
    <t>The course first places delegated and implementing acts in the EU policy cycle and system of EU legal acts. The two types of acts and their systems of control are then discussed in more detail.
You will learn about the role of the different EU actors; understand who does what within the EP and be familiar with the latest developments in the EP with regard to negotiating the provisions for delegated and implementing acts, as well as subsequently exercising control over the Commission in practice.</t>
  </si>
  <si>
    <t>Learn about the role of key EU actors; understand who does what within the EP and discover news related to negotiating the provisions for delegated and implementing acts.</t>
  </si>
  <si>
    <t>https://eulearn.europa.eu/ilp/pages/description.jsf#/users/@self/catalogues/34290099/coursetemplates/106415546/description</t>
  </si>
  <si>
    <t>https://eulearn.europa.eu/ils/data/course/EU_Delegated_and_Implementing_Acts_at_a_glance_90707046.png</t>
  </si>
  <si>
    <t xml:space="preserve">This course will provide you with an in-depth introduction to the system of legal sources of the EU. It will present the workings of the EU legal system and the most important principles governing its relationship with the laws of the Member States. It will look at the consequences of breaches of EU law in particular from the perspective of EU citizens and their role in private enforcement of European law.
The course is designed to provide practical examples and concludes with a case study. </t>
  </si>
  <si>
    <t>An in-depth introduction to EU legal sources, the functioning of the EU legal system, and its relationship with Member State laws.</t>
  </si>
  <si>
    <t>https://eulearn.europa.eu/ilp/pages/description.jsf#/users/@self/catalogues/34290099/coursetemplates/107617073/description</t>
  </si>
  <si>
    <t>https://eulearn.europa.eu/ils/data/course/LEX_EU_Law_for_Non_Lawyers_An_Introduction_to_the_EUs_sources_of_law_640x365_36332398_77551242.jpg</t>
  </si>
  <si>
    <t>The seminar explains the meaning of respecting of the Rule of Law in an EU context, the mechanisms the EU can avail of to monitor/sanction Member States if they fail in their obligations. and  the lessons learnt so far regarding backsliding of Member States.
Participants will get an insight what is behind the ‘Article 7 TEU procedure’,  the fundamental values of the EU, notably democracy, rule of law and the protection of fundamental rights and  the relevance of these values to the integration process.  They will learn of  role of the EU in preserving these values ensuring full compliance of the Member States</t>
  </si>
  <si>
    <t>Learn how the EU safeguards its values: monitoring Rule of Law, responding to democratic backsliding, and using the Article 7 TEU procedure.</t>
  </si>
  <si>
    <t>https://eulearn.europa.eu/ilp/pages/description.jsf#/users/@self/catalogues/34288590/coursetemplates/106450760/description</t>
  </si>
  <si>
    <t>https://eulearn.europa.eu/ils/data/course/LEX_Rule_of_Law_as_a_Fundamental_Value_of_EU_640x365_55448756.jpg</t>
  </si>
  <si>
    <t>This course provides an overview of the EU social policy in the context of the recent developments regarding the European Pillar of Social rights. The main focus of the course will be on the following points:
the link between the internal market, the principle of non-discrimination and the social policy as it as at EU level;
the reasons why social policy is not at the level of EU integration enjoyed by other policy areas such as the internal market, competition or environmental law;
the limitation of the powers conferred upon the EU in social matters;
the Regulation on the Coordination of Social Security Systems for migrant workers;
the current legal framework for EU social policy and the latest developments in both legislation and jurisprudence of the Court of Justice of the EU.</t>
  </si>
  <si>
    <t>How does EU social policy work? Explore its links to the internal market, non-discrimination, and the roles of the EU and Member States.</t>
  </si>
  <si>
    <t>https://eulearn.europa.eu/ilp/pages/description.jsf#/users/@self/catalogues/34290099/coursetemplates/106446302/description</t>
  </si>
  <si>
    <t>https://eulearn.europa.eu/ils/data/course/sum_best_majors_for_law_school_78169739_81938651.gif</t>
  </si>
  <si>
    <t>This course focusses on the explanation of the fundamental tenets of EU Food Law, whose rules aim to protect human health and consumer interests, and to foster the smooth operation of the single market.
It begins with a commentary  of the fundamental concepts and principles of this corpus of norms, such as the ‘Farm to Fork’ approach, which seeks to ensure a high level of safety at all stages of the production and distribution process for all food products marketed within the EU. 
The different regulatory components of this body of norms, i.e. rules applicable to all foods, and specific ones applying to certain categories of foodstuffs (i.e. additives, novel foods, GMOs) will also be elucidated in this course,
as well as the norms pertaining their labelling.
Finally, the course will also describe the procedures and mechanisms the EU resorts to in order to respond to food incidents whenever they  occur. The EU, together with national authorities and the European Food Safety Authority (EFSA), has indeed a robust system to detect and respond to these safety issues.</t>
  </si>
  <si>
    <t xml:space="preserve">This training course provides a general understanding of Food Law rules, explains the production and distribution processes of goods, and clarifies EU food labelling requirements </t>
  </si>
  <si>
    <t>https://eulearn.europa.eu/ilp/pages/description.jsf#/users/@self/catalogues/34290094/coursetemplates/106470113/description</t>
  </si>
  <si>
    <t>https://eulearn.europa.eu/ils/data/course/EU_Food_Law_106470112.jpg</t>
  </si>
  <si>
    <t xml:space="preserve">This course will begin with the variety of rules that the EU has adopted to support Member States in the field of health protection. After discussing issues of policy competence and treaty legal basis, this course will prove that this
EU policy is in fact composite, covering matters such as authorization and labelling of pharmaceuticals, medical devices, and blood products among others.
Moreover, the course will specially focus on the analysis of EU’s capacities to deal with cross border health security problems and infectious diseases, using the past COVID19 pandemic as a reference.  
Finally, the course will show participants the variety of actors which intervene in this policy field (EU institutions, specialized agencies, scientific committees, relevant state authorities, etc.), and the specific tools used (authorization procedures, rapid alert mechanisms) by the EU to regulate public health.  </t>
  </si>
  <si>
    <t>Discover the rules and procedures of EU public health and overall impact on EU citizens.</t>
  </si>
  <si>
    <t>https://eulearn.europa.eu/ilp/pages/description.jsf#/users/@self/catalogues/34290094/coursetemplates/106481501/description</t>
  </si>
  <si>
    <t>https://eulearn.europa.eu/ils/data/course/LEX_EU_Public_Health_106281916.jpg</t>
  </si>
  <si>
    <t>This 2-half day training course gives  participants an overview of what the  European Green Deal contains concretely in terms of environmental protection and combatting climate change. In particular, the main pillars of the green deal will be examined with a focus on environmental aspects (circular economy in the context of waste legislation, clean air, water and soil, biodiversity) as well as climate and energy aspects (the new European Climate Law and the new emission targets,
energy efficiency and energy renewables).
In addition, the participants will get an understanding of how the above concepts are interconnected  with other policy areas such as transport and agriculture.
Finally, participants will get an understanding  of the current legislative developments under the Green Deal.</t>
  </si>
  <si>
    <t>Catch up on the latest EU laws tackling climate change and environmental protection, with a clear overview of the European Green Deal.</t>
  </si>
  <si>
    <t>https://eulearn.europa.eu/ilp/pages/description.jsf#/users/@self/catalogues/34290094/coursetemplates/106451080/description</t>
  </si>
  <si>
    <t>https://eulearn.europa.eu/ils/data/course/LEX__Enviornmental_Law_Green_Deal__68408323.jpg</t>
  </si>
  <si>
    <t>This course will give a comprehensive overview of the policies, instruments and actors involved in shaping the EU’s external economic relations. We will look at the different dimensions of EU trade policy, its position within the global trade architecture, recent developments and strategic outlook.
We will take a particular look into the geopolitical competition in the governance of the global trade regime; and the EU’s response to current strategic challenges. Specific attention will be given to the EU’s changing relations with the US and China.</t>
  </si>
  <si>
    <t>Understand how the EU shapes global trade - key actors, policy tools, recent developments, and the EU’s strategic outlook.</t>
  </si>
  <si>
    <t>https://eulearn.europa.eu/ilp/pages/description.jsf#/users/@self/catalogues/34290094/coursetemplates/106481557/description</t>
  </si>
  <si>
    <t>https://eulearn.europa.eu/ils/data/course/LEX_External_Action_and_the_EP_640x365_98314351.jpg</t>
  </si>
  <si>
    <t xml:space="preserve">
Since the inception of the Common Foreign and Security Policy in 1993, the EU has come a long way.The Union’s inability to adequately react to the crises in former Yugoslavia in the 1990es has prompted it to top up the CFSP with a European Security and Defence Policy (ESDP) in 1999. Whereas this gave
the Union the possibility to operatively react – with different degrees of effectiveness – to security threats from beyond its borders, the “D” part of ESDP, renamed into a common security and defence policy, (CSDP) with the Treaty of Lisbon, had been neglected for many years due to lack of a common vision
by the Member States.
However, due recent events, such as Brexit and the war in Ukraine, the dynamics have changed. Firstly,  the 2016 Global Strategy and then the 2022 Strategic Compass have put defence cooperation back high on the Union´s agenda; As Member States started seeing NATO and EU as partners rather than
as rivals, EU Member States are discovering the benefits of closer cooperation in research and development. However, a number of challenges remain.</t>
  </si>
  <si>
    <t>The course focuses on key CSDP debates from a European Parliament perspective and the impact of recent developments such as the war in Ukraine and the Strategic Compass.</t>
  </si>
  <si>
    <t>https://eulearn.europa.eu/ilp/pages/description.jsf#/users/@self/catalogues/34290094/coursetemplates/106406595/description</t>
  </si>
  <si>
    <t>https://eulearn.europa.eu/ils/data/course/LEX_Security_Defence_and_teh_EU_67847401.jpg</t>
  </si>
  <si>
    <t xml:space="preserve">The primary objective of the training is to explain the policy considerations and legal concepts related to asylum law as well as regular and irregular migration and the related instruments of border management as developed in the European Union’s Area of Freedom Security and Justice. It is within this context the training seeks to address the EU’s legislative and policy responses to the 2015/16 migration crises, a crises which did not simply pose a challenge in itself but also entail much broader questions about Europe’s future, identity and responsibility. The seminar will specifically discuss the New EU Pact on Asylum and Migration and map out the policy ideas that may shape the EU’s asylum and immigration regime in the future.
 </t>
  </si>
  <si>
    <t>Get to grips with key legal concepts in EU asylum law, regular and irregular migration, and border management in the Area of Freedom, Security and Justice.</t>
  </si>
  <si>
    <t>https://eulearn.europa.eu/ilp/pages/description.jsf#/users/@self/catalogues/34290094/coursetemplates/109628618/description</t>
  </si>
  <si>
    <t>https://eulearn.europa.eu/ils/data/course/LEX_EU_Law_and_Policy_in_the_Area_of_Asylum_640x365_57326496.jpg</t>
  </si>
  <si>
    <t>This course provides an overview of the EU energy policy in the context of the Green Deal objectives and the efforts to build an Energy Union. The course will provide  the link between energy policy, environmental protection and combating against climate change in the context of the European Green Deal</t>
  </si>
  <si>
    <t>Access to clean affordable and stable energy sources is crucial today. Understand the essentials of EU energy policy and how to link the Green Deal’s climate targets with a stronger, more resilient Energy Union.</t>
  </si>
  <si>
    <t>https://eulearn.europa.eu/ilp/pages/description.jsf#/users/@self/catalogues/34290094/coursetemplates/106406264/description</t>
  </si>
  <si>
    <t>https://eulearn.europa.eu/ils/data/course/Capture_93494217.PNG</t>
  </si>
  <si>
    <t>The training is designed to offer an overview of the EU Security Union and the Union’s competences in the field of cybersecurity. It will give an overview of the major cyber security challenges, principal policies, strategies and measures. On this basis we will identify and discuss the dilemmas, such as competing competences and objectives of the EU cybersecurity policies.
The potential for malicious cyber activities poses a threat to economies and critical infrastructures (for energy, water and food supply, telecommunications, government institutions etc.) as well as to democracy and the functioning of societies. It is no exaggeration to claim that our future security depends upon our ability to protect ourselves against cyber threats. State-supported cyberattacks are also part of Russia’s, China’s, Iran’s, and North Korea’s hybrid warfare against the EU and Western democracies This has been recognized in the EU Global Strategy and by the June 2017 European Council, both building upon the EU’s 2013 Cybersecurity Strategy of the European Union.</t>
  </si>
  <si>
    <t>As systems grow more connected, risks grow faster. Learn how to lead, manage, and defend against modern cyber threats with HBR’s expert insights.</t>
  </si>
  <si>
    <t>https://eulearn.europa.eu/ilp/pages/description.jsf#/users/@self/catalogues/34290094/coursetemplates/106408215/description</t>
  </si>
  <si>
    <t>https://eulearn.europa.eu/ils/data/course/Cybersecurity_105644876.jpg</t>
  </si>
  <si>
    <t xml:space="preserve">This course is scheduled over 2 half days:
Day 1: Microeconomics
The course covers the following elements: 1. economic systems, goals and economic schools; 2. Key elements of demand theory – elasticity; 3. Key elements of supply theory – factors of production – economies of scale; 4. equilibrium and market clearing; 5. market structures; 6. market failures and the role of public sector in the economy;
7. the stabilisation function of business cycles - fundamental economic problems and 8. Economic theories explaining international economics.
Day 2: Macroeconomics
The course is broken down into the following elements:
1. Macroeconomics v. Microeconomics; 2. Economic policy and trade-offs; 3. A model of the macro-economy – The Circular Flow of Income; 4. Measuring the size of economies - National Accounting; 5. Economic growth and recessions; 6. Public Finance and Fiscal Policy; 7. Monetary Policy and inflation; 8.International Trade &amp; Investment; 9. Unemployment and Employment; 10. Economic shocks and the Coronavirus.
The key concepts will be presented using important graphics and you will have a picture of the EU economy over the past 25 years using Eurostat datasheets. </t>
  </si>
  <si>
    <t xml:space="preserve">
Understand the forces shaping markets and daily life. Explore supply, demand, competition, public policy, and the global economy.</t>
  </si>
  <si>
    <t>https://eulearn.europa.eu/ilp/pages/description.jsf#/users/@self/catalogues/34288577/coursetemplates/106405751/description</t>
  </si>
  <si>
    <t>https://eulearn.europa.eu/ils/data/course/LEX_Everyday_economics_650x365_39166703.jpg</t>
  </si>
  <si>
    <t>The Multiannual Financial Framework (MFF)</t>
  </si>
  <si>
    <t>077514-EP</t>
  </si>
  <si>
    <t>This course gives a short overview of the EU’s long-term budget (MFF), what it does, what’s being proposed for 2028–2034, and why it’s often hard for countries and institutions to agree.</t>
  </si>
  <si>
    <t>An overview of the EU’s long-term budget (MFF), what it does, what’s being proposed for 2028–2034, and why it’s often hard for countries and institutions to agree.</t>
  </si>
  <si>
    <t>https://eulearn.europa.eu/ilp/pages/description.jsf#/users/@self/catalogues/34290094/coursetemplates/109590132/description</t>
  </si>
  <si>
    <t>https://eulearn.europa.eu/ils/data/course/EU_learn_MMF_course_650x365_109467574.png</t>
  </si>
  <si>
    <t>Misinformation, disinformation and beyond</t>
  </si>
  <si>
    <t>078000-EP</t>
  </si>
  <si>
    <t>As geostrategic and technological developments accelerate threats in the information space, repercussions for democracy are becoming more visible. This course aims to increase awareness about risks and threats, as well as the democratic, socioeconomic and security-related impacts. Through interactive exercises, participants will learn to recognise and mitigate risks on an individual and organisational level.</t>
  </si>
  <si>
    <t>Disinformation or misinformation? Discover how false narratives are engineered, amplified by AI, and challenged by EU action.</t>
  </si>
  <si>
    <t>https://eulearn.europa.eu/ilp/pages/description.jsf#/users/@self/catalogues/34288577/coursetemplates/110043801/description</t>
  </si>
  <si>
    <t>https://eulearn.europa.eu/ils/data/course/EU_learn_Disinformation_650x365_109737101.png</t>
  </si>
  <si>
    <t>3.5h</t>
  </si>
  <si>
    <t>The European Affordable Housing Plan</t>
  </si>
  <si>
    <t>076120-EP</t>
  </si>
  <si>
    <t>This training provides an overview of the affordable housing challenge in the European Union and the Union’s competences in this field. It is grounded in the European Parliament study Mapping the housing needs in the EU, assessing the impacts of scarcity and providing an overview of relevant EU legislation (2025/759352). The course examines structural drivers of housing demand and supply constraints, the socio-economic consequences of housing scarcity, and the scope and limits of EU action. Particular attention will be paid to the institutional context, including the work of the European Parliament (Special Committee on the Housing Crisis), initiatives of the European Commission, and the development of the European Affordable Housing Plan.</t>
  </si>
  <si>
    <t>Understand the affordable housing challenge in the European Union, including key trends, housing needs, and the structural drivers affecting housing demand and supply.</t>
  </si>
  <si>
    <t>https://eulearn.europa.eu/ilp/pages/description.jsf#/users/@self/catalogues/34290094/coursetemplates/108093602/description</t>
  </si>
  <si>
    <t>https://eulearn.europa.eu/ils/data/course/pexels_kindelmedia_7579354_108093519.jpg</t>
  </si>
  <si>
    <t>EU Cohesion Policy Achievements and Perspectives</t>
  </si>
  <si>
    <t>076220-EP</t>
  </si>
  <si>
    <t>This half-day course is designed for the EP staff to deepen their understanding of the EU Cohesion Policy. Participants will become familiar with the overall architecture of the Cohesion Policy at EU level, as well as the key structure of programmes and the practicalities of delivering projects at national and regional level in the Member States. In addition, the course looks at the evolution of the EU Cohesion Policy to demonstrate how it has been responding to changing circumstances and to new emergencies in the EU over the years. We examine project level delivery to showcase the changes the policy has brought so far to citizens and companies in the EU regions. Finally, the course provides an overview of the perspectives under the 2028-2034 MFF proposals by EC and identifies the key challenges and opportunities.</t>
  </si>
  <si>
    <t>Gain Insight into EU Cohesion Policy.</t>
  </si>
  <si>
    <t>https://eulearn.europa.eu/ilp/pages/description.jsf#/users/@self/catalogues/34290094/coursetemplates/112113840/description</t>
  </si>
  <si>
    <t>https://eulearn.europa.eu/ils/data/course/hands_waving_flags_europeanunion_108641143.jpg</t>
  </si>
  <si>
    <t xml:space="preserve">You will take part in a 60-minute role-play game, which is a virtual simulation of the European Union’s decision-making process, putting players in the shoes of Members of the European Parliament (MEPs). Assigned to fictional political groups, players debate, negotiate, and vote on a law proposal to improve lives across the EU, gaining a hands-on understanding of Parliament’s legislative role. </t>
  </si>
  <si>
    <t>Step into their shoes in this short decision-making game. Join fictional political groups, debate, negotiate, and vote. Learn about EP’s core competences in a fun and informative way. Ideal for newcomers - it can also be done by teams, learning together!</t>
  </si>
  <si>
    <t>https://eulearn.europa.eu/ilp/pages/description.jsf#/users/@self/coursetemplates/89803040/description</t>
  </si>
  <si>
    <t>https://eulearn.europa.eu/ils/data/course/EU_learn_EP_role_play_650x365_91503920.png</t>
  </si>
  <si>
    <t>From current affairs to workplace skills, each EP Talk explores a new topic to help you better understand the world around you and strengthen your impact at work.</t>
  </si>
  <si>
    <t>https://eulearn.europa.eu/ilp/pages/description.jsf#/users/@self/catalogues/41097359/courses/90371898/description</t>
  </si>
  <si>
    <t>https://eulearn.europa.eu/ils/data/course/ep_talk_faces_main_template_EUL_90430580.png</t>
  </si>
  <si>
    <t>Evacuation volunteers and DG SAFE staff ensure and control the evacuation of the buildings and facilitate the evacuation of occupants, including the evacuation of people with reduced mobility.</t>
  </si>
  <si>
    <t>Ensure and facilitate safe, orderly evacuations of buildings, supporting all occupants, including persons with reduced mobility.</t>
  </si>
  <si>
    <t>https://eulearn.europa.eu/ilp/pages/catalogsearch.jsf?catalogId=0&amp;sidebarExpanded=true&amp;q=%7B!q.op%3DAND%7D%20evacuation%20volunteers&amp;rows=3</t>
  </si>
  <si>
    <t>https://eulearn.europa.eu/ils/data/program/volunteers_55298429.png</t>
  </si>
  <si>
    <t>Brussels/Luxembourg/Strasbourg</t>
  </si>
  <si>
    <t>Embark on an journey through the European House of History with a treasure hunt designed to bring history to life! This engaging activity offers a unique way to learn about the history of the European Project while connecting with its enduring values.
Taking place over the course of a morning, the treasure hunt will lead you through the exhibits and thought-provoking displays that trace the milestones, challenges, and triumphs that have shaped Europe.
This immersive experience is not only an educational opportunity but also a fun way to engage with colleagues, fostering teamwork and communication. Together, you’ll dive into the stories that highlight the shared values of unity, diversity, and collaboration—values that underpin the European project and remain relevant today and deepen your understanding of Europe’s past and its vision for the future.</t>
  </si>
  <si>
    <t>Embark on a treasure hunt through the European House of History, bringing history to life and learn about the history of the European project while connecting with its values. Teams can also register to make this a great teambuilding experience!</t>
  </si>
  <si>
    <t>https://eulearn.europa.eu/ilp/pages/description.jsf#/users/@self/catalogues/34290065/coursetemplates/110382976/description</t>
  </si>
  <si>
    <t>https://eulearn.europa.eu/ils/data/course/20160226_EP_032394A_BBO_113__1__95576947.jpg</t>
  </si>
  <si>
    <t>Budgetary cycle and budget implementation</t>
  </si>
  <si>
    <t>This course provides its participants with the necessary basic knowledge on how to implement Parliament’s budget. The content of the course covers the structure of the EU and EP budget, the general principles of the Financial Regulation, the lifecycle of expenditure, i.e. preparation, implementation and reporting and control of the budget, the roles and responsibilities of financial actors and what to do if you detect irregularities or fraud.</t>
  </si>
  <si>
    <t>Discover the general principles of the Financial Regulation, the lifecycle of expenditure, the financial actors in Parliament and their responsibilities and gain a general understanding of the EU budget.</t>
  </si>
  <si>
    <t>https://eulearn.europa.eu/ilp/pages/description.jsf#/users/@self/catalogues/34288805/coursetemplates/108085694/description</t>
  </si>
  <si>
    <t>https://eulearn.europa.eu/ils/data/program/logo_EP_Fin_Aca_gauche_1_93519722_98830233.png</t>
  </si>
  <si>
    <t>Financial Management System (FMS) and WebContracts</t>
  </si>
  <si>
    <t>Learn all the FMS and WevbContracts tips and tricks, from beginner to advanced level, with general and role dedicated courses.</t>
  </si>
  <si>
    <t>https://eulearn.europa.eu/ilp/pages/description.jsf#/users/@self/catalogues/34288805/programmes/111813936</t>
  </si>
  <si>
    <t>PROCUREMENT</t>
  </si>
  <si>
    <t>Gain a solid understanding of Procurement's legal and financial aspects: contract definitions, structure, categories, and the management of low, medium, and high-value contracts.</t>
  </si>
  <si>
    <t>https://eulearn.europa.eu/ilp/pages/description.jsf#/users/@self/catalogues/34288805/programmes/111818914</t>
  </si>
  <si>
    <t>variable</t>
  </si>
  <si>
    <t>The main subjects covered include:
implementing the rules of the Protocol on privileges and immunities regarding Parliament’s purchases (art 3 of PPI)
application of the VAT Directive,         
treatment of VAT in Member States (exemption/recovery),
the ceilings above which VAT is recoverable in the Member States, preparation of files for VAT recovery.</t>
  </si>
  <si>
    <t>Discover more about implementing VAT rules, Parliament privileges, and VAT recovery in Member States.</t>
  </si>
  <si>
    <t>https://eulearn.europa.eu/ilp/pages/description.jsf#/users/@self/catalogues/34288805/coursetemplates/106677642/description</t>
  </si>
  <si>
    <t>This learning path is self-paced and composed of seven training modules:
1. What is Risk Management?
2. The Risk Coordinator
3. The Risk Description
4. Risk Identification Techniques
5. The Risk Matrix
6. Risk Mitigation &amp; Response
7. Cross-cutting &amp; Shared Risks</t>
  </si>
  <si>
    <t>Are you sure you have identified all the risks surrounding the delivery of your tasks or service? Join these e-learning modules to get a practical understanding of Parliament’s risk management framework, covering key roles, concepts, and tools.</t>
  </si>
  <si>
    <t>https://eulearn.europa.eu/ilp/pages/description.jsf#/users/@self/catalogues/34290081/programmes/105461556/description</t>
  </si>
  <si>
    <t>https://eulearn.europa.eu/ils/data/program/Risk_Management_in_the_European_Parliament_105461259.png</t>
  </si>
  <si>
    <t xml:space="preserve">Strengthen your understanding of financial tools and regulations with a learning path covering essential roles in accounting, budgeting, procurement, and financial operations.
</t>
  </si>
  <si>
    <t>Strengthen your understanding of financial tools and regulations with a learning path covering essential roles in accounting, budgeting, procurement, and financial operations.</t>
  </si>
  <si>
    <t>https://eulearn.europa.eu/ilp/pages/catalogsearch.jsf?catalogId=115172&amp;fq%2B=subTreeIds:%221%2F0%2F115172%2F%22&amp;fq=%7B!tag%3DsubTreeIds%7D%20subTreeIds:(2%2F0%2F115172%2F34288577%2F)&amp;fq=%7B!tag%3DsubTreeIdsDirect%7D%20subTreeIdsDirect:(3%2F0%2F115172%2F34288781%2F34288788%2F)&amp;sidebarExpanded=true&amp;q=%7B!q.op%3DAND%7D%20*:*&amp;rows=9</t>
  </si>
  <si>
    <t xml:space="preserve">goFLUENT is an online platform, available 24/7, and accessible from any device, that will help you to accelerate your language learning. With goFLUENT, you will be driving your learning journey.
</t>
  </si>
  <si>
    <t>goFLUENT is an online language learning platform available 24/7 that will accelerate your learning journeys on any device.</t>
  </si>
  <si>
    <t>https://eulearn.europa.eu/ilp/pages/catalogsearch.jsf?catalogId=74789980&amp;sidebarExpanded=true&amp;q=*:*&amp;rows=4</t>
  </si>
  <si>
    <t>https://eulearn.europa.eu/ils/data/course/White_Logo_with_Tagline_72404144_75091855.jpg</t>
  </si>
  <si>
    <t>This 3-day residential seminar combines the historical and geographical approaches to increase the perception of the European project and its raison d’être. It also presents an in-depth History of the European Parliament (our House) and invites participants to position themselves in this context.</t>
  </si>
  <si>
    <t>A 3-day seminar on EU history, geography, and Parliament’s role that will make you reflect on the European project’s purpose.</t>
  </si>
  <si>
    <t>https://eulearn.europa.eu/ilp/pages/description.jsf#/users/@self/catalogues/56512543/coursetemplates/104559512/description</t>
  </si>
  <si>
    <t>https://eulearn.europa.eu/ils/data/course/EU_learn_JMA_Our_House_650x365_63881929.jpg</t>
  </si>
  <si>
    <t>Bazoches-sur-Guyonne (France)</t>
  </si>
  <si>
    <t>20h</t>
  </si>
  <si>
    <t>This newly designed 3-day residential seminar is an opportunity to reconnect with the origins of the European project and to reflect about the changes the last two decades have brought along in the Union. An experienced (retired) colleague from within the Parliament, as well as an inspirational speaker from outside the House, will provide “food for thought” and a “global perspective on the world we live in”. Participants will be able to share their stories and unique experience with a new generation of colleagues at the beginning of their career in the European Parliament.</t>
  </si>
  <si>
    <t>A 3-day seminar on EU origins, recent changes, and career inspiration. that features retired colleagues and external speakers.</t>
  </si>
  <si>
    <t>https://eulearn.europa.eu/ilp/pages/description.jsf#/users/@self/catalogues/56512543/coursetemplates/104559557/description</t>
  </si>
  <si>
    <t>https://eulearn.europa.eu/ils/data/course/EU_learn_JMA_Your_Story_650x365_63927431.jpg</t>
  </si>
  <si>
    <t>18h</t>
  </si>
  <si>
    <t>This 3-day residential seminar is an opportunity to reconnect with the origins of the European project, to get inspiration for a potential next career move and to create a network with peers after five years of career in the Parliament.</t>
  </si>
  <si>
    <t>A 3-day seminar for 5-year Parliament Administrators covering networking, career inspiration, and reconnecting with EU origins.</t>
  </si>
  <si>
    <t>https://eulearn.europa.eu/ilp/pages/description.jsf#/users/@self/catalogues/56512543/coursetemplates/104559589/description</t>
  </si>
  <si>
    <t>https://eulearn.europa.eu/ils/data/course/EU_learn_JMA_Perspectives_650x365_63927169.jpg</t>
  </si>
  <si>
    <t>A 3-day seminar for 5-year Parliament Assistants covering networking, career inspiration, and reconnecting with EU origins.</t>
  </si>
  <si>
    <t>https://eulearn.europa.eu/ilp/pages/description.jsf#/users/@self/catalogues/56512543/coursetemplates/104559622/description</t>
  </si>
  <si>
    <t>This 3-day residential seminar is the opportunity to exchange among peers on position change management in a changing House, to listen to Ellen Robson on Parliament’s administration challenges and to discover a tool at the service of our democracies with Sandra Laugier, Professor of Philosophy at the Sorbonne.</t>
  </si>
  <si>
    <t>A 3-day seminar on position change management, Parliament’s challenges, and democratic tools.</t>
  </si>
  <si>
    <t>https://eulearn.europa.eu/ilp/pages/description.jsf#/users/@self/catalogues/56512543/coursetemplates/104559662/description</t>
  </si>
  <si>
    <t>https://eulearn.europa.eu/ils/data/course/EU_learn_JMA_Amplitude_650x365_63522297.jpg</t>
  </si>
  <si>
    <t>The 3-day residential seminar is the opportunity to reflect on the European project, to look at best sources of inspiration from peers and to interview senior managers in an intimate setting allowing for in-depth exchanges.</t>
  </si>
  <si>
    <t>A 3-day seminar reflecting on the EU project, peer inspiration, and senior manager interviews.</t>
  </si>
  <si>
    <t>https://eulearn.europa.eu/ilp/pages/description.jsf#/users/@self/catalogues/56512543/coursetemplates/104559715/description</t>
  </si>
  <si>
    <t>This 3-day residential seminar is an opportunity to reconnect with the origins of the European project, to get inspiration from experienced colleagues and to create a network with peers also at the beginning of their EP career.</t>
  </si>
  <si>
    <t>A 3-day seminar for new colleagues. A chance to reconnect with EU origins and build peer networks.</t>
  </si>
  <si>
    <t>https://eulearn.europa.eu/ilp/pages/description.jsf#/users/@self/catalogues/56512543/coursetemplates/104559756/description</t>
  </si>
  <si>
    <t>https://eulearn.europa.eu/ils/data/course/EU_learn_JMA_Begin_650x365_63636773.jpg</t>
  </si>
  <si>
    <t>This 3-day residential seminar is an opportunity to reconnect with the origins of the European project, to get inspiration from experienced colleagues and to create a network with peers also at the beginning of their career in the Parliament.</t>
  </si>
  <si>
    <t>A 3-day seminar for new colleagues focused on career inspiration and networking with experienced peers.</t>
  </si>
  <si>
    <t>https://eulearn.europa.eu/ilp/pages/description.jsf#/users/@self/catalogues/56512543/coursetemplates/104559792/description</t>
  </si>
  <si>
    <t>This 3-day residential seminar is the opportunity to reflect on the European project with Luuk van Middelaar, to look at the managerial context and to work on strengthening the voice of managers and the central issue of authority.</t>
  </si>
  <si>
    <t>A 3-day seminar on EU project reflection, managerial context, and authority in leadership.</t>
  </si>
  <si>
    <t>https://eulearn.europa.eu/ilp/pages/description.jsf#/users/@self/catalogues/56512543/coursetemplates/110802987/description</t>
  </si>
  <si>
    <t>https://eulearn.europa.eu/ils/data/course/EU_learn_JMA_Exploration_650x365_63881592.jpg</t>
  </si>
  <si>
    <t>Open doors to new languages and opportunities with our language courses at the European Parliament. Designed for all levels, from beginner to advanced, they help you communicate with confidence in an international and multicultural environment.</t>
  </si>
  <si>
    <t>https://eulearn.europa.eu/ilp/pages/catalogsearch.jsf?catalogId=115172&amp;fq%2B=subTreeIds:%221%2F0%2F115172%2F%22&amp;fq=%7B!tag%3DsubTreeIds%7D%20subTreeIds:(2%2F0%2F115172%2F34288577%2F)&amp;fq=%7B!tag%3DsubTreeIdsDirect%7D%20subTreeIdsDirect:(2%2F0%2F115172%2F34288470%2F)&amp;sidebarExpanded=true&amp;q=*:*&amp;rows=25</t>
  </si>
  <si>
    <t>F:\COMMUNICATION\Course Thumbnails images\EU learn lingua thumbnails 650x365.png</t>
  </si>
  <si>
    <t>Explore leadership and management training covering people, self-management, information, relationships, and task delivery.</t>
  </si>
  <si>
    <t>https://eulearn.europa.eu/ilp/pages/catalogsearch.jsf?catalogId=115172&amp;fq%2B=subTreeIds:%221%2F0%2F115172%2F%22&amp;fq=%7B!tag%3DsubTreeIds%7D%20subTreeIds:(2%2F0%2F115172%2F34288577%2F)&amp;fq=%7B!tag%3DsubTreeIdsDirect%7D%20subTreeIdsDirect:(2%2F0%2F115172%2F34288717%2F)&amp;sidebarExpanded=true&amp;q=*:*&amp;rows=10</t>
  </si>
  <si>
    <t xml:space="preserve">Hello </t>
  </si>
  <si>
    <t>This mandatory training for all APAs covers a number of key subjects from financial rules and compliance, transparency and ethics, to harassment prevention and support.
For each session, there is at least one interview.  You can listen to the interviews at any time and watch them as many times as you need to.  After each of the sessions, there are approximately 10 multiple-choice questions to test your learning.  In order to pass the training, you must achieve a pass mark of 75% for each of the sessions.
All APAs, regardless of their length of time in the Parliament, must take this mandatory online training programme and must do this within the first six months of their contract.  Failure to complete this online module of the Induction training programme within the given timeframe will mean that APAs will not be able to enrol in further training until they have successfully passed the training.</t>
  </si>
  <si>
    <t>Mandatory training for APAs on financial rules, ethics, harassment prevention, and compliance.</t>
  </si>
  <si>
    <t>https://eulearn.europa.eu/ilp/pages/description.jsf#/users/@self/catalogues/115172/courses/85294573/description</t>
  </si>
  <si>
    <t>https://eulearn.europa.eu/ils/data/course/2_mandatory_training_84058887.png</t>
  </si>
  <si>
    <t>Discover the MEPs learning catalogue with courses in  work-related skills, languages, communication, research, and IT to support parliamentary work.</t>
  </si>
  <si>
    <t>https://epintranet.in.ep.europa.eu/files/live/sites/epintranet/files/learning/learn-mep/index.html</t>
  </si>
  <si>
    <t>https://eulearn.europa.eu/ils/data/tutorial/EU_learn_Learn_MEP_650x365_101850138.png</t>
  </si>
  <si>
    <t>This training course will last 3 days. The first day takes place in parallel in Brussels and Luxembourg. The second and third days take place in Brussels.
Please note that presence is required for the full duration of the programme (three full days).
Note: If you need a mission and accommodation in Brussels for attending this course, please note you will need to organise it individually. You can find more info in the course room, once you enrol.
This interactive and varied training course is designed for newcomers to gain useful information to get started in their roles and to understand how their job fits in the broader context of the European Parliament.  
In the first day you will learn about your rights and obligations, as well ethical guidelines in this institution.
The second day will be about exploring the institution’s history and parliamentary work. This will help you connect with the purpose of working for the European Parliament.
On the third day you will meet expert colleagues who will explain what their DG does and how it contributes to the functioning of this House.
The program also entails a one-day visit in Strasbourg during one of its plenary sessions, for colleagues whose job profiles do not foresee regular attendance to the Strasbourg plenary. During this visit, newcomers will have a guided tour of the building, participate to a plenary session and discuss with colleagues running the plenary.</t>
  </si>
  <si>
    <t xml:space="preserve">New to the EP? Don’t miss this interactive, informative, and inspiring course that helps you navigate your new environment, connect the dots, and see where you fit in the bigger picture. Your EP adventure starts here!
</t>
  </si>
  <si>
    <t>https://eulearn.europa.eu/ilp/pages/description.jsf#/users/@self/catalogues/34288815/coursetemplates/107790754/description</t>
  </si>
  <si>
    <t>https://eulearn.europa.eu/ils/data/course/ep_induction_programme_650x365__002__100092045.png</t>
  </si>
  <si>
    <t>3 days</t>
  </si>
  <si>
    <t xml:space="preserve">
The full list of courses in this learning package is set out in the Syllabus tab you will find after you Apply for this learning path. Any courses from the learning pack you may have followed already will be visible, but you can ‘Hide completed elements’ to reveal only those courses which remain.
The timeframe for completion of the modules is indicative; do discuss your priorities with your line manager. When you apply for the learning package, you will also gain access to the learning materials.
You can freely identify and follow the courses you may need to bridge any skills gap or to prepare a move to a new job.</t>
  </si>
  <si>
    <t>The Newcomers Learning Package offers key courses to support a successful onboarding experience, helping new colleagues develop key digital skills, understand the EP and gain awareness of its values, culture, and ethical standards.</t>
  </si>
  <si>
    <t>https://eulearn.europa.eu/ilp/pages/description.jsf#/users/@self/catalogues/34288815/programmes/78416429/description</t>
  </si>
  <si>
    <t>https://eulearn.europa.eu/ils/data/program/LP_Newcommer_ilustration_78416183.PNG</t>
  </si>
  <si>
    <t>You will get an insight into what Parliament is about, its core activities and who its main players are. The course will help you understand better the political and administrative motives, and the dynamics that shape the Institution. You will get answers to questions you may have as to why things work the way they do in the EP.
Which topics does the course cover?
Diversity in the EP (MEPs, categories of staff)
Role of political groups in a political institution
Tasks and responsibilities of the EP governing bodies  (Conference of Presidents, Bureau, Conference of committee chairs)
Legislative, budgetary, supervisory powers
Committees and coordinators
Journey of a legislative file
Organisation and role of the EP secretariat
Three places of work
Multilingualism</t>
  </si>
  <si>
    <t>Discover the Parliament: its core activities and main players. Understand better and get answers to your questions on the politics, administration, and dynamics that shape the Institution</t>
  </si>
  <si>
    <t>https://eulearn.europa.eu/ilp/pages/description.jsf#/users/@self/catalogues/34290099/coursetemplates/107772627/description</t>
  </si>
  <si>
    <t>https://eulearn.europa.eu/ils/data/course/10_things_you_need_to_know_74573671.png</t>
  </si>
  <si>
    <t>“We know who the fathers of the European integration process were. But who were the mothers? How did women contribute to building the European House? And which parts of the European Parliament did they built? You will get to know a bit more than a dozen of the pioneers who shaped Parliament. Who will you meet?
The woman who spent four years together with 77 men
The surrealist who was elected by men only – and who had to compete against a Marsupilami
The fighter for direct elections
The mother of the House of European History
The godmother of the Louise Weiss building
The woman who could explain what it means to be transgender
      And many others who shaped the European Parliament.”
The conference focuses on women who contributed to the development of the European Parliament, their native countries and the discourse in Europe.</t>
  </si>
  <si>
    <t>We know who the fathers of the European integration process were. But who were the mothers? The conference focuses on women who contributed to the development of the European Parliament, their native countries and the discourse in Europe.</t>
  </si>
  <si>
    <t>https://eulearn.europa.eu/ilp/pages/description.jsf#/users/@self/catalogues/34288815/coursetemplates/106541544/description</t>
  </si>
  <si>
    <t>https://eulearn.europa.eu/ils/data/course/EU_learn_Representation_650x365_87390653.png</t>
  </si>
  <si>
    <t>2,5h</t>
  </si>
  <si>
    <t>Start your new role with confidence through tailored onboarding learning paths designed to help you quickly develop the knowledge and skills needed for your position.</t>
  </si>
  <si>
    <t>https://eulearn.europa.eu/ilp/pages/catalogsearch.jsf?catalogId=90374928&amp;sidebarExpanded=true&amp;q=%7B!q.op%3DAND%7D%20*:*&amp;rows=10&amp;fq=%7B!tag%3DsubTreeIdsDirect%7D%20subTreeIdsDirect:(2%2F0%2F115172%2F90374928%2F)</t>
  </si>
  <si>
    <t>https://eulearn.europa.eu/ils/data/program/Mockup_83972026.png</t>
  </si>
  <si>
    <t>Tours</t>
  </si>
  <si>
    <t> Eager to navigate EP buildings and deepen your understanding of the EP? Join the EP guided tours and learn about EP history as well as practical tips about key spots for your daily work.</t>
  </si>
  <si>
    <t>https://eulearn.europa.eu/ilp/pages/catalogsearch.jsf?catalogId=115172&amp;fq%2B=subTreeIds:%221%2F0%2F115172%2F%22&amp;fq=%7B!tag%3DsubTreeIds%7D%20subTreeIds:(2%2F0%2F115172%2F34288577%2F)&amp;sidebarExpanded=true&amp;q=%7B!q.op%3DAND%7D%20tour&amp;rows=8</t>
  </si>
  <si>
    <t>https://eulearn.europa.eu/ils/data/course/20230316_EP_147095A_DEN_888__2__69792418.jpg</t>
  </si>
  <si>
    <t>In person</t>
  </si>
  <si>
    <t>The topics to be covered during this training course will be:
1. Ergonomics at the office and workstation
2. Practical exercises: organising and setting up a workstation with a display screen               
3. Ergonomics and teleworking                            
4. Practical exercises for stretching at work or at home to prevent musculoskeletal problems linked to sedentary work.    
All participants will receive a voucher for free access to one of the Sports Centres.</t>
  </si>
  <si>
    <t>Small changes, big benefits. Discover practical ways to improve your posture, reduce strain and boost your wellbeing during the working day.</t>
  </si>
  <si>
    <t>https://eulearn.europa.eu/ilp/pages/description.jsf#/users/@self/catalogues/100536427/coursetemplates/107499903/description</t>
  </si>
  <si>
    <t>https://eulearn.europa.eu/ils/data/course/Howtostayfitatyourdesk_ebrITWl0WdncWdCvGaUCzyZFBo_152682_thumb_84963447.jpg</t>
  </si>
  <si>
    <t>Mental health first aid course</t>
  </si>
  <si>
    <t>Cultivate a culture of compassion and support in your workplace with our 2-day comprehensive Mental Health First Aid course. In this engaging and interactive training, participants will gain practical knowledge and skills to identify, understand, and respond to signs of mental health issues such as depression, anxiety, substance abuse and psychosis.
Through a blend of theory, real-life scenarios, and role-playing exercises, participants will learn how to provide initial assistance to someone experiencing a mental health crisis or struggling with emotional distress. Our instructors will cover topics including risk factors, warning signs, and appropriate intervention strategies, equipping participants with the confidence and empathy to offer meaningful support.
Whether you are a manager, HR professional, or team member, this course will empower with solid and practical skillset to create a workplace environment that prioritizes mental wellness and fosters resilience. Join us on the journey to becoming Mental Health First Aider and make a positive difference in the lives of your colleagues and community.</t>
  </si>
  <si>
    <t xml:space="preserve">Learn how to support your colleagues facing mental health challenges and become part of our network of Mental Health First Aiders.
</t>
  </si>
  <si>
    <t>https://eulearn.europa.eu/ilp/pages/description.jsf#/users/@self/catalogues/100536427/coursetemplates/108642690/description</t>
  </si>
  <si>
    <t>https://eulearn.europa.eu/ils/data/course/Mental_health_First_Aid_95955956.png</t>
  </si>
  <si>
    <t>14h</t>
  </si>
  <si>
    <t>The definition of harassment in the workplace; a multi-facetted concept
Learning to recognise its different forms: sexual, moral and psychological harassment
Detecting and dealing with cases of harassment in the workplace
Critical analysis of the psychological and behavioural profile of harassers and victims of harassment.
Mediation;
The role, function and responsibilities of persons of confidence appointed to deal with and prevent cases of harassment
Understanding of the role of each service in handling the harassment complaints
Individual and organisational strategies to prevent harassment</t>
  </si>
  <si>
    <t>In this Harassment training  you will find out more about definitions, detection, mediation, and prevention strategies.</t>
  </si>
  <si>
    <t>https://eulearn.europa.eu/ilp/pages/description.jsf#/users/@self/catalogues/100536427/coursetemplates/108168801/description</t>
  </si>
  <si>
    <t>https://eulearn.europa.eu/ils/data/course/prevent_harrassment_94640291.png</t>
  </si>
  <si>
    <t>Boost your resilience and thrive under pressure</t>
  </si>
  <si>
    <t xml:space="preserve">Resilience is not about enduring or avoiding stress, it is about recovering from stress again and again. During this course you will learn some mental, physical and emotional regulation skills which will allow you to adapt to any situation.
</t>
  </si>
  <si>
    <t>Resilience isn’t just about enduring stress - it’s about building habits to perform at your best. Through self-assessments, expert-led workshops, and a dedicated course app, you’ll be able to stay focused and in control.</t>
  </si>
  <si>
    <t>https://eulearn.europa.eu/ilp/pages/description.jsf#/users/@self/catalogues/100536427/coursetemplates/106452796/description</t>
  </si>
  <si>
    <t>https://eulearn.europa.eu/ils/data/course/Resilience_at_Work_thumb_650x365_88056299.png</t>
  </si>
  <si>
    <t>Blended</t>
  </si>
  <si>
    <t>Brussels / Luxembourg / Online</t>
  </si>
  <si>
    <t>2 days</t>
  </si>
  <si>
    <t>Project management</t>
  </si>
  <si>
    <t>Build project management skills through courses covering essentials, methodologies, tools, techniques, as well as exam preparation and certification.</t>
  </si>
  <si>
    <t>https://eulearn.europa.eu/ilp/pages/catalogsearch.jsf?catalogId=34288614&amp;sidebarExpanded=true&amp;q=*:*&amp;rows=7</t>
  </si>
  <si>
    <t>https://eulearn.europa.eu/ils/data/course/Engage_PM_Certification_Exam_preparation_106909389.png</t>
  </si>
  <si>
    <t>Diplomatic protocol</t>
  </si>
  <si>
    <t>The course provides a practical introduction to diplomatic protocol and etiquette, helping participants feel confident when interacting with counterparts and high-ranking visitors. It aims to enable learners to quickly assess situations and apply appropriate behaviour, ensuring smooth, respectful and professionally conducted meetings and events.</t>
  </si>
  <si>
    <t>This training on EP protocol starts with a theory-focused morning about general rules and moves on to practical exercises in the afternoon, helping participants act confidently in formal meetings and events.</t>
  </si>
  <si>
    <t>https://eulearn.europa.eu/ilp/pages/description.jsf#/users/@self/catalogues/34288630/coursetemplates/109378527/description</t>
  </si>
  <si>
    <t>https://eulearn.europa.eu/ils/data/course/EU_learn_Protocol_650x365_1_108448254.png</t>
  </si>
  <si>
    <t xml:space="preserve">Introduction to Diversity &amp; Inclusion at work
</t>
  </si>
  <si>
    <t>Explore diversity matters, learn key concepts and best practices and contribute to an inclusive workplace culture.</t>
  </si>
  <si>
    <t>https://eulearn.europa.eu/ilp/pages/description.jsf#/users/@self/catalogues/34288630/coursetemplates/108272983/description</t>
  </si>
  <si>
    <t>https://eulearn.europa.eu/ils/data/course/EU_learn_thumb_Diversity_inclusion_650x365_88132879.png</t>
  </si>
  <si>
    <t>Classroom course</t>
  </si>
  <si>
    <t>Short text</t>
  </si>
  <si>
    <t>Implementing VAT rules, Parliament privileges, and VAT recovery in Member States. Preparation of VAT recovery files."</t>
  </si>
  <si>
    <t>Online language learning platform available 24/7. Accelerates learning journeys on any device</t>
  </si>
  <si>
    <t>3-day seminar on EU history, geography, and Parliament’s role. Reflects on the European project’s purpose.</t>
  </si>
  <si>
    <t>3-day seminar on EU origins, recent changes, and career inspiration. Features retired colleagues and external speakers.</t>
  </si>
  <si>
    <t>3-day seminar for 5-year Parliament veterans. Networking, career inspiration, and reconnecting with EU origins.</t>
  </si>
  <si>
    <t>REPEATED!</t>
  </si>
  <si>
    <t>3-day seminar on position change management, Parliament’s challenges, and democratic tools.</t>
  </si>
  <si>
    <t>3-day seminar reflecting on the EU project, peer inspiration, and senior manager interviews."</t>
  </si>
  <si>
    <t>3-day seminar for new colleagues. Reconnects with EU origins and builds peer networks.</t>
  </si>
  <si>
    <t>3-day seminar for new colleagues. Career inspiration and networking with experienced peers.</t>
  </si>
  <si>
    <t>3-day seminar on EU project reflection, managerial context, and authority in leadership.</t>
  </si>
  <si>
    <t>Learning package with flexible courses. Identify skill gaps and prepare for career moves.</t>
  </si>
  <si>
    <t>Harassment training: definitions, detection, mediation, and prevention strategies.</t>
  </si>
  <si>
    <t>1.5-hour hands-on session on EP digital tools and intranet navigation.</t>
  </si>
  <si>
    <t>Course on implementing Parliament’s budget, financial rules, and fraud detection.</t>
  </si>
  <si>
    <t>Report name: Tidy up catalogues</t>
  </si>
  <si>
    <t>Author: PHILIPP HENNINGSEN</t>
  </si>
  <si>
    <t>Created: Thursday, 21 May 2026 14:01</t>
  </si>
  <si>
    <t xml:space="preserve">Remarks: </t>
  </si>
  <si>
    <t>Query criteria:</t>
  </si>
  <si>
    <t xml:space="preserve">Catalogue filter: </t>
  </si>
  <si>
    <t>learn.EP catalogue   &lt;   Main catalogue, Newcomers &amp; mandatory courses   &lt;   learn.EP catalogue, MEP &amp; APA training   &lt;   learn.EP catalogue, Language courses   &lt;   learn.EP catalogue, Digital competencies   &lt;   learn.EP catalogue, EU policies &amp; EP core business   &lt;   learn.EP catalogue, Ethics &amp; data protection   &lt;   learn.EP catalogue, Communication competencies   &lt;   learn.EP catalogue, Finance tools &amp; regulations   &lt;   learn.EP catalogue, EP work tools &amp; rules   &lt;   learn.EP catalogue, Wellbeing   &lt;   learn.EP catalogue, Career Development   &lt;   learn.EP catalogue, Leadership &amp; management   &lt;   learn.EP catalogue, Collection per EP competence   &lt;   learn.EP catalogue, Onboarding learning paths   &lt;   learn.EP catalogue, EP Talks   &lt;   learn.EP catalogue, Coaching   &lt;   learn.EP catalogue, Jean Monnet Academy   &lt;   learn.EP catalogue, Events   &lt;   learn.EP catalogue, Test   &lt;   learn.EP catalogue, Excel   &lt;   learn.EP catalogue &gt; Digital competencies, Word   &lt;   learn.EP catalogue &gt; Digital competencies, PowerPoint   &lt;   learn.EP catalogue &gt; Digital competencies, Outlook   &lt;   learn.EP catalogue &gt; Digital competencies, Teams   &lt;   learn.EP catalogue &gt; Digital competencies, Adobe   &lt;   learn.EP catalogue &gt; Digital competencies, EP/EU applications   &lt;   learn.EP catalogue &gt; Digital competencies, Other applications   &lt;   learn.EP catalogue &gt; Digital competencies, IT security &amp; management   &lt;   learn.EP catalogue &gt; Digital competencies, Cloud   &lt;   learn.EP catalogue &gt; Digital competencies, Accessibility   &lt;   learn.EP catalogue &gt; Digital competencies, Artificial Intelligence   &lt;   learn.EP catalogue &gt; Digital competencies, AWS   &lt;   learn.EP catalogue &gt; Digital competencies &gt; Cloud, Azure   &lt;   learn.EP catalogue &gt; Digital competencies &gt; Cloud, Brussels   &lt;   learn.EP catalogue &gt; Language courses, Luxembourg   &lt;   learn.EP catalogue &gt; Language courses, Strasbourg   &lt;   learn.EP catalogue &gt; Language courses, TRAD seminars   &lt;   learn.EP catalogue &gt; Language courses, English   &lt;   learn.EP catalogue &gt; Language courses &gt; Brussels, French   &lt;   learn.EP catalogue &gt; Language courses &gt; Brussels, German   &lt;   learn.EP catalogue &gt; Language courses &gt; Brussels, Bulgarian   &lt;   learn.EP catalogue &gt; Language courses &gt; Brussels, Croatian   &lt;   learn.EP catalogue &gt; Language courses &gt; Brussels, Czech   &lt;   learn.EP catalogue &gt; Language courses &gt; Brussels, Danish   &lt;   learn.EP catalogue &gt; Language courses &gt; Brussels, Dutch   &lt;   learn.EP catalogue &gt; Language courses &gt; Brussels, Greek   &lt;   learn.EP catalogue &gt; Language courses &gt; Brussels, Estonian   &lt;   learn.EP catalogue &gt; Language courses &gt; Brussels, Finnish   &lt;   learn.EP catalogue &gt; Language courses &gt; Brussels, Irish   &lt;   learn.EP catalogue &gt; Language courses &gt; Brussels, Hungarian   &lt;   learn.EP catalogue &gt; Language courses &gt; Brussels, Italian   &lt;   learn.EP catalogue &gt; Language courses &gt; Brussels, Latvian   &lt;   learn.EP catalogue &gt; Language courses &gt; Brussels, Lithuanian   &lt;   learn.EP catalogue &gt; Language courses &gt; Brussels, Maltese   &lt;   learn.EP catalogue &gt; Language courses &gt; Brussels, Polish   &lt;   learn.EP catalogue &gt; Language courses &gt; Brussels, Portuguese   &lt;   learn.EP catalogue &gt; Language courses &gt; Brussels, Romanian   &lt;   learn.EP catalogue &gt; Language courses &gt; Brussels, Slovak   &lt;   learn.EP catalogue &gt; Language courses &gt; Brussels, Slovenian   &lt;   learn.EP catalogue &gt; Language courses &gt; Brussels, Spanish   &lt;   learn.EP catalogue &gt; Language courses &gt; Brussels, Swedish   &lt;   learn.EP catalogue &gt; Language courses &gt; Brussels, Arabic   &lt;   learn.EP catalogue &gt; Language courses &gt; Brussels, Chinese   &lt;   learn.EP catalogue &gt; Language courses &gt; Brussels, Russian   &lt;   learn.EP catalogue &gt; Language courses &gt; Brussels, Turkish   &lt;   learn.EP catalogue &gt; Language courses &gt; Brussels, English   &lt;   learn.EP catalogue &gt; Language courses &gt; Luxembourg, French   &lt;   learn.EP catalogue &gt; Language courses &gt; Luxembourg, German   &lt;   learn.EP catalogue &gt; Language courses &gt; Luxembourg, Bulgarian   &lt;   learn.EP catalogue &gt; Language courses &gt; Luxembourg, Croatian   &lt;   learn.EP catalogue &gt; Language courses &gt; Luxembourg, Czech   &lt;   learn.EP catalogue &gt; Language courses &gt; Luxembourg, Danish   &lt;   learn.EP catalogue &gt; Language courses &gt; Luxembourg, Dutch   &lt;   learn.EP catalogue &gt; Language courses &gt; Luxembourg, Greek   &lt;   learn.EP catalogue &gt; Language courses &gt; Luxembourg, Estonian   &lt;   learn.EP catalogue &gt; Language courses &gt; Luxembourg, Finnish   &lt;   learn.EP catalogue &gt; Language courses &gt; Luxembourg, Irish   &lt;   learn.EP catalogue &gt; Language courses &gt; Luxembourg, Hungarian   &lt;   learn.EP catalogue &gt; Language courses &gt; Luxembourg, Italian   &lt;   learn.EP catalogue &gt; Language courses &gt; Luxembourg, Latvian   &lt;   learn.EP catalogue &gt; Language courses &gt; Luxembourg, Lithuanian   &lt;   learn.EP catalogue &gt; Language courses &gt; Luxembourg, Maltese   &lt;   learn.EP catalogue &gt; Language courses &gt; Luxembourg, Polish   &lt;   learn.EP catalogue &gt; Language courses &gt; Luxembourg, Portuguese   &lt;   learn.EP catalogue &gt; Language courses &gt; Luxembourg, Romanian   &lt;   learn.EP catalogue &gt; Language courses &gt; Luxembourg, Slovak   &lt;   learn.EP catalogue &gt; Language courses &gt; Luxembourg, Slovenian   &lt;   learn.EP catalogue &gt; Language courses &gt; Luxembourg, Spanish   &lt;   learn.EP catalogue &gt; Language courses &gt; Luxembourg, Swedish   &lt;   learn.EP catalogue &gt; Language courses &gt; Luxembourg, Arabic   &lt;   learn.EP catalogue &gt; Language courses &gt; Luxembourg, Chinese   &lt;   learn.EP catalogue &gt; Language courses &gt; Luxembourg, Luxembourgish   &lt;   learn.EP catalogue &gt; Language courses &gt; Luxembourg, Russian   &lt;   learn.EP catalogue &gt; Language courses &gt; Luxembourg, Turkish   &lt;   learn.EP catalogue &gt; Language courses &gt; Luxembourg, English   &lt;   learn.EP catalogue &gt; Language courses &gt; Strasbourg, French   &lt;   learn.EP catalogue &gt; Language courses &gt; Strasbourg, German   &lt;   learn.EP catalogue &gt; Language courses &gt; Strasbourg, Powers   &lt;   learn.EP catalogue &gt; EU policies &amp; EP core business, Policies   &lt;   learn.EP catalogue &gt; EU policies &amp; EP core business, How the EP works   &lt;   learn.EP catalogue &gt; EU policies &amp; EP core business, Managing people   &lt;   learn.EP catalogue &gt; Leadership &amp; management, Managing self   &lt;   learn.EP catalogue &gt; Leadership &amp; management, Managing information   &lt;   learn.EP catalogue &gt; Leadership &amp; management, Managing relations   &lt;   learn.EP catalogue &gt; Leadership &amp; management, Managing tasks   &lt;   learn.EP catalogue &gt; Leadership &amp; management, Learning Paths by actors   &lt;   learn.EP catalogue &gt; Finance tools &amp; regulations, Videos - EP Finance Academy   &lt;   learn.EP catalogue &gt; Finance tools &amp; regulations, Miscellaneous   &lt;   learn.EP catalogue &gt; Finance tools &amp; regulations, Flash sessions   &lt;   learn.EP catalogue &gt; Finance tools &amp; regulations, Behaviour and Attitude at the Workplace   &lt;   learn.EP catalogue &gt; EP work tools &amp; rules, Administrative Skills and Tools   &lt;   learn.EP catalogue &gt; EP work tools &amp; rules, Retirement, unemployment, mobility   &lt;   learn.EP catalogue &gt; EP work tools &amp; rules, Project management   &lt;   learn.EP catalogue &gt; Career Development, Ethics   &lt;   learn.EP catalogue &gt; Ethics &amp; data protection, Data protection   &lt;   learn.EP catalogue &gt; Ethics &amp; data protection, SG EU Policymaking Hub   &lt;   learn.EP catalogue &gt; Events, Transversal   &lt;   learn.EP catalogue &gt; Collection per EP competence, Job specific   &lt;   learn.EP catalogue &gt; Collection per EP competence, Managerial    &lt;   learn.EP catalogue &gt; Collection per EP competence, Core   &lt;   learn.EP catalogue &gt; Collection per EP competence &gt; Transversal, Interpersonal   &lt;   learn.EP catalogue &gt; Collection per EP competence &gt; Transversal, Operational   &lt;   learn.EP catalogue &gt; Collection per EP competence &gt; Transversal, Systemic   &lt;   learn.EP catalogue &gt; Collection per EP competence &gt; Transversal, Digital   &lt;   learn.EP catalogue &gt; Collection per EP competence &gt; Transversal, Linguistic   &lt;   learn.EP catalogue &gt; Collection per EP competence &gt; Job specific, Information Technology    &lt;   learn.EP catalogue &gt; Collection per EP competence &gt; Job specific, Financial   &lt;   learn.EP catalogue &gt; Collection per EP competence &gt; Job specific, Parliamentary   &lt;   learn.EP catalogue &gt; Collection per EP competence &gt; Job specific, Administrative   &lt;   learn.EP catalogue &gt; Collection per EP competence &gt; Job specific, Strategic   &lt;   learn.EP catalogue &gt; Collection per EP competence &gt; Managerial , Facilitative   &lt;   learn.EP catalogue &gt; Collection per EP competence &gt; Managerial , Developmental   &lt;   learn.EP catalogue &gt; Collection per EP competence &gt; Managerial , LING   &lt;   learn.EP catalogue &gt; Onboarding learning paths, INF   &lt;   learn.EP catalogue &gt; Onboarding learning paths, PARL   &lt;   learn.EP catalogue &gt; Onboarding learning paths, FIN   &lt;   learn.EP catalogue &gt; Onboarding learning paths, ADM   &lt;   learn.EP catalogue &gt; Onboarding learning paths, MAN   &lt;   learn.EP catalogue &gt; Onboarding learning paths, COM   &lt;   learn.EP catalogue &gt; Onboarding learning paths, JURI   &lt;   learn.EP catalogue &gt; Onboarding learning paths, MAT   &lt;   learn.EP catalogue &gt; Onboarding learning paths, EP Talks - upcoming events   &lt;   learn.EP catalogue &gt; EP Talks, EP Talks - recordings   &lt;   learn.EP catalogue &gt; EP Talks</t>
  </si>
  <si>
    <t>Price if training centre is not your institution</t>
  </si>
  <si>
    <t>Main catalogue folder</t>
  </si>
  <si>
    <t>Career Days 2026 Luxembourg in-person</t>
  </si>
  <si>
    <t>072132-LUX GEN</t>
  </si>
  <si>
    <t>0.00 EUR</t>
  </si>
  <si>
    <t>Module 2 - How to Develop Professionally</t>
  </si>
  <si>
    <t>Recommended trainings to prepare mobility</t>
  </si>
  <si>
    <t>EP_006780</t>
  </si>
  <si>
    <t>Project Management - Exam Preparation</t>
  </si>
  <si>
    <t>Collection per EP competence &gt; Job specific &gt; Financial</t>
  </si>
  <si>
    <t>Ensure financial rules compliance</t>
  </si>
  <si>
    <t>EP_005920</t>
  </si>
  <si>
    <t>Manage accounting</t>
  </si>
  <si>
    <t>EP_006060</t>
  </si>
  <si>
    <t>Manage budget</t>
  </si>
  <si>
    <t>EP_006062</t>
  </si>
  <si>
    <t>Manage fin-tech</t>
  </si>
  <si>
    <t>EP_006063</t>
  </si>
  <si>
    <t>Manage procurement</t>
  </si>
  <si>
    <t>EP_006200</t>
  </si>
  <si>
    <t>Back to School and Back to University</t>
  </si>
  <si>
    <t>Clear language workshop for DG COMM’s Audiovisual Unit</t>
  </si>
  <si>
    <t>076780-EP</t>
  </si>
  <si>
    <t>076349-EP</t>
  </si>
  <si>
    <t>Protocol and etiquette</t>
  </si>
  <si>
    <t>076489-EP</t>
  </si>
  <si>
    <t>Digital competencies</t>
  </si>
  <si>
    <t>Accessible PDF (part 1)</t>
  </si>
  <si>
    <t>Accessible PDF (part 2)</t>
  </si>
  <si>
    <t xml:space="preserve">Copyright and use of stock images </t>
  </si>
  <si>
    <t>076561-EP</t>
  </si>
  <si>
    <t>Generative AI Advanced with EP GenAI Hub</t>
  </si>
  <si>
    <t>075286-EP</t>
  </si>
  <si>
    <t xml:space="preserve">Pre-existing rights, procurement and AI use by contractors  </t>
  </si>
  <si>
    <t>076560-EP</t>
  </si>
  <si>
    <t>264.00 EUR</t>
  </si>
  <si>
    <t xml:space="preserve">#All4Cyber Comes To You: Team investigations &amp; Interactive demonstrations </t>
  </si>
  <si>
    <t>078383-EP</t>
  </si>
  <si>
    <t>Strengthen your defence against phishing</t>
  </si>
  <si>
    <t>076401-EP-0001-EN-GB</t>
  </si>
  <si>
    <t>510.00 EUR</t>
  </si>
  <si>
    <t>765.00 EUR</t>
  </si>
  <si>
    <t xml:space="preserve">Cybersecurity workshop for IT first line support </t>
  </si>
  <si>
    <t>076500-EP</t>
  </si>
  <si>
    <t>Spy Game</t>
  </si>
  <si>
    <t>Electronic Signature - Alice in the Cipher World</t>
  </si>
  <si>
    <t>Power BI Desktop - Advanced</t>
  </si>
  <si>
    <t>Power BI Desktop - Introduction</t>
  </si>
  <si>
    <t>SharePoint for End Users</t>
  </si>
  <si>
    <t>SharePoint for Power Users</t>
  </si>
  <si>
    <t>MICROSOFT TEAMS Essential 1: Getting Started with Teams</t>
  </si>
  <si>
    <t>MICROSOFT TEAMS Essential 2: Taking Teams to the Next Level</t>
  </si>
  <si>
    <t>255.00 EUR</t>
  </si>
  <si>
    <t>EP Talks</t>
  </si>
  <si>
    <t>EP Talks: Disinformation and beyond - Information manipulation, information integrity and the role of the EU</t>
  </si>
  <si>
    <t>EP Talks: Own your Growth: what training fits you best in 2026?</t>
  </si>
  <si>
    <t>EP Talks: The Hidden Superpower: How to Speak and Listen like a Communicator</t>
  </si>
  <si>
    <t>EP Talks: Unlock Your Creative Mindset: Practical Tools for Everyday Innovation</t>
  </si>
  <si>
    <t>EP Talks &gt; EP Talks - upcoming events</t>
  </si>
  <si>
    <t>EP Talks: Two XX Chromosomes: A Journey in Science and Medicine</t>
  </si>
  <si>
    <t>058661-EP-0025-EN-GB</t>
  </si>
  <si>
    <t>EP Talks: Rewriting Your Story: how personal narratives contribute to happiness</t>
  </si>
  <si>
    <t>058661-EP-0022-EN-GB</t>
  </si>
  <si>
    <t>Document Management at the European Parliament (EN)</t>
  </si>
  <si>
    <t>075221-EP-0002-EN-GB</t>
  </si>
  <si>
    <t>EEAS - BASE (Basic Awareness in Security)</t>
  </si>
  <si>
    <t>May 9th 1950</t>
  </si>
  <si>
    <t>074613-EP</t>
  </si>
  <si>
    <t>Team workshop: working together in multigenerational teams</t>
  </si>
  <si>
    <t>078020-EP</t>
  </si>
  <si>
    <t>The EP team challenge</t>
  </si>
  <si>
    <t>078021-EP</t>
  </si>
  <si>
    <t>Ethics &amp; data protection &gt; Data protection</t>
  </si>
  <si>
    <t>ACT-PERDA  - data breach simulation scenario</t>
  </si>
  <si>
    <t>078128-EP</t>
  </si>
  <si>
    <t>DP in IT – Privacy by design and by default training</t>
  </si>
  <si>
    <t>066460-EP</t>
  </si>
  <si>
    <t>Data protection and HR</t>
  </si>
  <si>
    <t>Data protection in IT - Test Environment, Anonymization and Pseudonymization</t>
  </si>
  <si>
    <t>077902-EP</t>
  </si>
  <si>
    <t>Ethics &amp; data protection &gt; Ethics</t>
  </si>
  <si>
    <t xml:space="preserve">Misinformation and beyond </t>
  </si>
  <si>
    <t xml:space="preserve">Protection of Media and Independent Press </t>
  </si>
  <si>
    <t>076084-EP</t>
  </si>
  <si>
    <t>Asylum, Migration and Border Management Law</t>
  </si>
  <si>
    <t>125.00 EUR</t>
  </si>
  <si>
    <t>Security While Travelling Abroad</t>
  </si>
  <si>
    <t>077219-EP SAFE-0001-EN-GB</t>
  </si>
  <si>
    <t>Introduction to the Commission's decision-making process procedures</t>
  </si>
  <si>
    <t>002501-SG-0020-EN-GB</t>
  </si>
  <si>
    <t>Strategic planning and programming (e-learning)</t>
  </si>
  <si>
    <t>003180-SG-0012-EN-GB</t>
  </si>
  <si>
    <t xml:space="preserve"> Introduction to Strategic Foresight - Remote live training  </t>
  </si>
  <si>
    <t>022815-SG POLICY</t>
  </si>
  <si>
    <t>250.00 EUR</t>
  </si>
  <si>
    <t>Behavioural Insights Applied to Policymaking – A crash course for Managers and Directors - Remote live training</t>
  </si>
  <si>
    <t>024585-SG POLICY</t>
  </si>
  <si>
    <t>Behavioural Insights Applied to Policymaking – online-live introductory course</t>
  </si>
  <si>
    <t>022991-SG POLICY</t>
  </si>
  <si>
    <t>Better Regulation across the policy cycle - Introduction - Remote live training</t>
  </si>
  <si>
    <t>023327-SG POLICY</t>
  </si>
  <si>
    <t>127.50 EUR</t>
  </si>
  <si>
    <t xml:space="preserve">Delegated acts and new comitology - Remote live training </t>
  </si>
  <si>
    <t>022867-SG POLICY</t>
  </si>
  <si>
    <t>Foresight in better regulation</t>
  </si>
  <si>
    <t>051202-SG POLICY</t>
  </si>
  <si>
    <t>Futures Garden – Experiment with the future</t>
  </si>
  <si>
    <t>058960-SG POLICY</t>
  </si>
  <si>
    <t>How to design more user-centred polices: Deeper dive  (Remote live training)</t>
  </si>
  <si>
    <t>029915-SG POLICY</t>
  </si>
  <si>
    <t>How to design more user-centred policies: A taster (Remote live training)</t>
  </si>
  <si>
    <t>029914-SG POLICY</t>
  </si>
  <si>
    <t>Impact assessment - Remote live training</t>
  </si>
  <si>
    <t>022814-SG POLICY</t>
  </si>
  <si>
    <t>Impact assessment - classroom course</t>
  </si>
  <si>
    <t>068740-SG POLICY</t>
  </si>
  <si>
    <t>In-depth training on specific foresight tools: FuturGov Game - Classroom</t>
  </si>
  <si>
    <t>074888-SG POLICY</t>
  </si>
  <si>
    <t xml:space="preserve">In-depth training on specific foresight tools: Horizon scanning and trend analysis - Remote live training </t>
  </si>
  <si>
    <t>028161-SG POLICY</t>
  </si>
  <si>
    <t>In-depth training on specific foresight tools: Megatrends – engagement tool - Remote live training</t>
  </si>
  <si>
    <t>028160-SG POLICY</t>
  </si>
  <si>
    <t>In-depth training on specific foresight tools: Scenario exploration system (SES) - Classroom</t>
  </si>
  <si>
    <t>059523-SG POLICY</t>
  </si>
  <si>
    <t>In-depth training on specific foresight tools: Scenario planning - Remote live training</t>
  </si>
  <si>
    <t>028162-SG POLICY</t>
  </si>
  <si>
    <t>Internal and interinstitutional decision-making procedures - Classroom course</t>
  </si>
  <si>
    <t>000802-SG</t>
  </si>
  <si>
    <t xml:space="preserve">Internal and interinstitutional decision-making procedures - Introduction - Remote live training </t>
  </si>
  <si>
    <t>022810-SG POLICY</t>
  </si>
  <si>
    <t xml:space="preserve">Intervention logic, problem definition - Better regulation - Remote live training </t>
  </si>
  <si>
    <t>028660-SG POLICY</t>
  </si>
  <si>
    <t>Political Advice and Policy Communication Masterclass</t>
  </si>
  <si>
    <t>076660-SG POLICY</t>
  </si>
  <si>
    <t>Quantification and Monetisation - better regulation - Remote live training</t>
  </si>
  <si>
    <t>023573-SG POLICY</t>
  </si>
  <si>
    <t xml:space="preserve">Strategic Foresight in the Commission - Remote live training </t>
  </si>
  <si>
    <t>024766-SG POLICY</t>
  </si>
  <si>
    <t xml:space="preserve">Subsidiarity analysis and EU added value - better regulation - Remote live training </t>
  </si>
  <si>
    <t>022965-SG POLICY</t>
  </si>
  <si>
    <t xml:space="preserve">What`s new in Better Regulation? - Recorded EU Policy Making HUB e-talk series </t>
  </si>
  <si>
    <t>027597-SG POLICY</t>
  </si>
  <si>
    <t>FMS Management Reporting - SAP Analytics Cloud (SAC) basic</t>
  </si>
  <si>
    <t>077505-EP</t>
  </si>
  <si>
    <t>FMS gestion de l'inventaire et transactions spécifiques (ASI, MGT, CATAGAO)</t>
  </si>
  <si>
    <t>Financial statements relating to the missions of Committees and Delegations</t>
  </si>
  <si>
    <t>Introduction to Public Procurement - financial aspects</t>
  </si>
  <si>
    <t>Low and middle value contracts - how to manage negotiated procedures</t>
  </si>
  <si>
    <t>The Corporate eProcurement Invoice&amp;Payment solution</t>
  </si>
  <si>
    <t>WebContracts - Awards &amp; Legal Commitments</t>
  </si>
  <si>
    <t>078126-EP</t>
  </si>
  <si>
    <t>AV&amp;C-4 Fundamentals - Introduction to SCIC’s Framework Contract for Audiovisual and Conference Services</t>
  </si>
  <si>
    <t>076680-SCIC-0001-EN-GB</t>
  </si>
  <si>
    <t>BNT - Arabic - Level 01 A</t>
  </si>
  <si>
    <t>051517-Lang</t>
  </si>
  <si>
    <t>487.50 EUR</t>
  </si>
  <si>
    <t>BNT - Arabic - Level 01 B</t>
  </si>
  <si>
    <t>051669-Lang</t>
  </si>
  <si>
    <t>BNT - Arabic - Level 02A</t>
  </si>
  <si>
    <t>051631-Lang</t>
  </si>
  <si>
    <t>BNT - Arabic - Level 02B</t>
  </si>
  <si>
    <t>051702-Lang</t>
  </si>
  <si>
    <t>BNT - Arabic - Level 03A</t>
  </si>
  <si>
    <t>051685-Lang</t>
  </si>
  <si>
    <t>BNT - Arabic - Level 03B</t>
  </si>
  <si>
    <t>051693-Lang</t>
  </si>
  <si>
    <t>BNT - Arabic - Level 04A</t>
  </si>
  <si>
    <t>051705-Lang</t>
  </si>
  <si>
    <t>BNT - Arabic - Level 04B</t>
  </si>
  <si>
    <t>051706-Lang</t>
  </si>
  <si>
    <t>BNT - Arabic - Level 05A</t>
  </si>
  <si>
    <t>051708-Lang</t>
  </si>
  <si>
    <t>BNT - Arabic - Level 05B</t>
  </si>
  <si>
    <t>051698-Lang</t>
  </si>
  <si>
    <t>BNT - Arabic - Level 06A</t>
  </si>
  <si>
    <t>051720-Lang</t>
  </si>
  <si>
    <t>BNT - Arabic - Level 06B</t>
  </si>
  <si>
    <t>051722-Lang</t>
  </si>
  <si>
    <t>BNT - Arabic - Level 07</t>
  </si>
  <si>
    <t>051724-Lang</t>
  </si>
  <si>
    <t>BNT - Arabic - Level 08</t>
  </si>
  <si>
    <t>051712-Lang</t>
  </si>
  <si>
    <t xml:space="preserve">BNT - Bulgarian - Level 01 </t>
  </si>
  <si>
    <t>051480-Lang</t>
  </si>
  <si>
    <t>BNT - Bulgarian - Level 02</t>
  </si>
  <si>
    <t>051500-Lang</t>
  </si>
  <si>
    <t>BNT - Bulgarian - Level 03</t>
  </si>
  <si>
    <t>051490-Lang</t>
  </si>
  <si>
    <t>BNT - Bulgarian - Level 04</t>
  </si>
  <si>
    <t>051492-Lang</t>
  </si>
  <si>
    <t>BNT - Bulgarian - Level 05</t>
  </si>
  <si>
    <t>051495-Lang</t>
  </si>
  <si>
    <t>BNT - Bulgarian - Level 06</t>
  </si>
  <si>
    <t>051508-Lang</t>
  </si>
  <si>
    <t>BNT - Bulgarian - Level 07</t>
  </si>
  <si>
    <t>051498-Lang</t>
  </si>
  <si>
    <t>BNT - Bulgarian - Level 08</t>
  </si>
  <si>
    <t>051510-Lang</t>
  </si>
  <si>
    <t>BNT - Chinese - Level 01 A</t>
  </si>
  <si>
    <t>051740-Lang</t>
  </si>
  <si>
    <t>BNT - Chinese - Level 01 B</t>
  </si>
  <si>
    <t>051738-Lang</t>
  </si>
  <si>
    <t>BNT - Chinese - Level 02 A</t>
  </si>
  <si>
    <t>051741-Lang</t>
  </si>
  <si>
    <t>BNT - Chinese - Level 02 B</t>
  </si>
  <si>
    <t>051739-Lang</t>
  </si>
  <si>
    <t>BNT - Chinese - Level 03 A</t>
  </si>
  <si>
    <t>051760-Lang</t>
  </si>
  <si>
    <t>BNT - Chinese - Level 03 B</t>
  </si>
  <si>
    <t>051742-Lang</t>
  </si>
  <si>
    <t>BNT - Chinese - Level 04 A</t>
  </si>
  <si>
    <t>051761-Lang</t>
  </si>
  <si>
    <t>BNT - Chinese - Level 04 B</t>
  </si>
  <si>
    <t>051743-Lang</t>
  </si>
  <si>
    <t>BNT - Chinese - Level 05 A</t>
  </si>
  <si>
    <t>051762-Lang</t>
  </si>
  <si>
    <t>BNT - Chinese - Level 05 B</t>
  </si>
  <si>
    <t>051764-Lang</t>
  </si>
  <si>
    <t>BNT - Chinese - Level 06 A</t>
  </si>
  <si>
    <t>051744-Lang</t>
  </si>
  <si>
    <t>BNT - Chinese - Level 06 B</t>
  </si>
  <si>
    <t>051765-Lang</t>
  </si>
  <si>
    <t>BNT - Chinese - Level 07</t>
  </si>
  <si>
    <t>051766-Lang</t>
  </si>
  <si>
    <t>BNT - Chinese - Level 08</t>
  </si>
  <si>
    <t>051745-Lang</t>
  </si>
  <si>
    <t xml:space="preserve">BNT - Croatian - Level 01 </t>
  </si>
  <si>
    <t>051524-Lang</t>
  </si>
  <si>
    <t>BNT - Croatian - Level 02</t>
  </si>
  <si>
    <t>051525-Lang</t>
  </si>
  <si>
    <t>BNT - Croatian - Level 03</t>
  </si>
  <si>
    <t>051528-Lang</t>
  </si>
  <si>
    <t>BNT - Croatian - Level 04</t>
  </si>
  <si>
    <t>051541-Lang</t>
  </si>
  <si>
    <t>BNT - Croatian - Level 05</t>
  </si>
  <si>
    <t>051542-Lang</t>
  </si>
  <si>
    <t>BNT - Croatian - Level 06</t>
  </si>
  <si>
    <t>051544-Lang</t>
  </si>
  <si>
    <t>BNT - Croatian - Level 07</t>
  </si>
  <si>
    <t>051546-Lang</t>
  </si>
  <si>
    <t>BNT - Croatian - Level 08</t>
  </si>
  <si>
    <t>051531-Lang</t>
  </si>
  <si>
    <t xml:space="preserve">BNT - Czech - Level 01 </t>
  </si>
  <si>
    <t>051725-Lang</t>
  </si>
  <si>
    <t>BNT - Czech - Level 02</t>
  </si>
  <si>
    <t>051726-Lang</t>
  </si>
  <si>
    <t>BNT - Czech - Level 03</t>
  </si>
  <si>
    <t>051727-Lang</t>
  </si>
  <si>
    <t>BNT - Czech - Level 04</t>
  </si>
  <si>
    <t>051715-Lang</t>
  </si>
  <si>
    <t>BNT - Czech - Level 05</t>
  </si>
  <si>
    <t>051718-Lang</t>
  </si>
  <si>
    <t>BNT - Czech - Level 06</t>
  </si>
  <si>
    <t>051736-Lang</t>
  </si>
  <si>
    <t>BNT - Czech - Level 07</t>
  </si>
  <si>
    <t>051719-Lang</t>
  </si>
  <si>
    <t>BNT - Czech - Level 08</t>
  </si>
  <si>
    <t>051737-Lang</t>
  </si>
  <si>
    <t xml:space="preserve">BNT - Danish - Level 01 </t>
  </si>
  <si>
    <t>051455-Lang</t>
  </si>
  <si>
    <t>BNT - Danish - Level 02</t>
  </si>
  <si>
    <t>051478-Lang</t>
  </si>
  <si>
    <t>BNT - Danish - Level 03</t>
  </si>
  <si>
    <t>051483-Lang</t>
  </si>
  <si>
    <t>BNT - Danish - Level 04</t>
  </si>
  <si>
    <t>051491-Lang</t>
  </si>
  <si>
    <t>BNT - Danish - Level 05</t>
  </si>
  <si>
    <t>051540-Lang</t>
  </si>
  <si>
    <t>BNT - Danish - Level 06</t>
  </si>
  <si>
    <t>051529-Lang</t>
  </si>
  <si>
    <t>BNT - Danish - Level 07</t>
  </si>
  <si>
    <t>051532-Lang</t>
  </si>
  <si>
    <t>BNT - Danish - Level 08</t>
  </si>
  <si>
    <t>051549-Lang</t>
  </si>
  <si>
    <t>BNT - Dutch – Conversation Table - Level A2</t>
  </si>
  <si>
    <t>051754-Lang</t>
  </si>
  <si>
    <t>121.87 EUR</t>
  </si>
  <si>
    <t>BNT - Dutch – Conversation Table - Level B2</t>
  </si>
  <si>
    <t>051756-Lang</t>
  </si>
  <si>
    <t>182.81 EUR</t>
  </si>
  <si>
    <t xml:space="preserve">BNT - Dutch - Level 01 </t>
  </si>
  <si>
    <t>051454-Lang</t>
  </si>
  <si>
    <t>BNT - Dutch - Level 02</t>
  </si>
  <si>
    <t>051487-Lang</t>
  </si>
  <si>
    <t>BNT - Dutch - Level 03</t>
  </si>
  <si>
    <t>051502-Lang</t>
  </si>
  <si>
    <t>BNT - Dutch - Level 04</t>
  </si>
  <si>
    <t>051503-Lang</t>
  </si>
  <si>
    <t>BNT - Dutch - Level 05</t>
  </si>
  <si>
    <t>051493-Lang</t>
  </si>
  <si>
    <t>BNT - Dutch - Level 06</t>
  </si>
  <si>
    <t>051505-Lang</t>
  </si>
  <si>
    <t>BNT - Dutch - Level 07</t>
  </si>
  <si>
    <t>051496-Lang</t>
  </si>
  <si>
    <t>BNT - Dutch - Level 08</t>
  </si>
  <si>
    <t>051521-Lang</t>
  </si>
  <si>
    <t>BNT - English – Conversation Table - Level A2</t>
  </si>
  <si>
    <t>051777-Lang</t>
  </si>
  <si>
    <t>BNT - English – Conversation Table - Level B2</t>
  </si>
  <si>
    <t>051779-Lang</t>
  </si>
  <si>
    <t xml:space="preserve">BNT - English - Level 01 </t>
  </si>
  <si>
    <t>051458-Lang</t>
  </si>
  <si>
    <t>BNT - English - Level 02</t>
  </si>
  <si>
    <t>051481-Lang</t>
  </si>
  <si>
    <t>BNT - English - Level 03</t>
  </si>
  <si>
    <t>051485-Lang</t>
  </si>
  <si>
    <t>BNT - English - Level 04</t>
  </si>
  <si>
    <t>051501-Lang</t>
  </si>
  <si>
    <t>BNT - English - Level 05</t>
  </si>
  <si>
    <t>051488-Lang</t>
  </si>
  <si>
    <t>BNT - English - Level 06</t>
  </si>
  <si>
    <t>051489-Lang</t>
  </si>
  <si>
    <t>BNT - English - Level 07</t>
  </si>
  <si>
    <t>051504-Lang</t>
  </si>
  <si>
    <t>BNT - English - Level 08</t>
  </si>
  <si>
    <t>051506-Lang</t>
  </si>
  <si>
    <t>BNT - English - Level 09</t>
  </si>
  <si>
    <t>051497-Lang</t>
  </si>
  <si>
    <t>BNT - English - Level 10</t>
  </si>
  <si>
    <t>051520-Lang</t>
  </si>
  <si>
    <t>BNT - English - Level 11</t>
  </si>
  <si>
    <t>051512-Lang</t>
  </si>
  <si>
    <t>BNT - English - Level 12</t>
  </si>
  <si>
    <t>051522-Lang</t>
  </si>
  <si>
    <t xml:space="preserve">BNT - Estonian - Level 01 </t>
  </si>
  <si>
    <t>051537-Lang</t>
  </si>
  <si>
    <t>BNT - Estonian - Level 02</t>
  </si>
  <si>
    <t>051672-Lang</t>
  </si>
  <si>
    <t>BNT - Estonian - Level 03</t>
  </si>
  <si>
    <t>051673-Lang</t>
  </si>
  <si>
    <t>BNT - Estonian - Level 04</t>
  </si>
  <si>
    <t>051723-Lang</t>
  </si>
  <si>
    <t>BNT - Estonian - Level 05</t>
  </si>
  <si>
    <t>051675-Lang</t>
  </si>
  <si>
    <t>BNT - Estonian - Level 06</t>
  </si>
  <si>
    <t>051632-Lang</t>
  </si>
  <si>
    <t>BNT - Estonian - Level 07</t>
  </si>
  <si>
    <t>051636-Lang</t>
  </si>
  <si>
    <t>BNT - Estonian - Level 08</t>
  </si>
  <si>
    <t>051678-Lang</t>
  </si>
  <si>
    <t xml:space="preserve">BNT - Finnish - Level 01 </t>
  </si>
  <si>
    <t>051701-Lang</t>
  </si>
  <si>
    <t>BNT - Finnish - Level 02</t>
  </si>
  <si>
    <t>051684-Lang</t>
  </si>
  <si>
    <t>BNT - Finnish - Level 03</t>
  </si>
  <si>
    <t>051687-Lang</t>
  </si>
  <si>
    <t>BNT - Finnish - Level 04</t>
  </si>
  <si>
    <t>051695-Lang</t>
  </si>
  <si>
    <t>BNT - Finnish - Level 05</t>
  </si>
  <si>
    <t>051688-Lang</t>
  </si>
  <si>
    <t>BNT - Finnish - Level 06</t>
  </si>
  <si>
    <t>051691-Lang</t>
  </si>
  <si>
    <t>BNT - Finnish - Level 07</t>
  </si>
  <si>
    <t>051707-Lang</t>
  </si>
  <si>
    <t>BNT - Finnish - Level 08</t>
  </si>
  <si>
    <t>051709-Lang</t>
  </si>
  <si>
    <t>BNT - French – Conversation Table - Level A2</t>
  </si>
  <si>
    <t>051776-Lang</t>
  </si>
  <si>
    <t>BNT - French – Conversation Table - Level B2</t>
  </si>
  <si>
    <t>051782-Lang</t>
  </si>
  <si>
    <t xml:space="preserve">BNT - French - Level 01 </t>
  </si>
  <si>
    <t>051415-Lang</t>
  </si>
  <si>
    <t>BNT - French - Level 02</t>
  </si>
  <si>
    <t>051416-Lang</t>
  </si>
  <si>
    <t>BNT - French - Level 03</t>
  </si>
  <si>
    <t>051460-Lang</t>
  </si>
  <si>
    <t>BNT - French - Level 04</t>
  </si>
  <si>
    <t>051689-Lang</t>
  </si>
  <si>
    <t>BNT - French - Level 05</t>
  </si>
  <si>
    <t>051443-Lang</t>
  </si>
  <si>
    <t>BNT - French - Level 06</t>
  </si>
  <si>
    <t>051418-Lang</t>
  </si>
  <si>
    <t>BNT - French - Level 07</t>
  </si>
  <si>
    <t>051417-Lang</t>
  </si>
  <si>
    <t>BNT - French - Level 08</t>
  </si>
  <si>
    <t>051464-Lang</t>
  </si>
  <si>
    <t>BNT - French - Level 09</t>
  </si>
  <si>
    <t>051465-Lang</t>
  </si>
  <si>
    <t>BNT - French - Level 10</t>
  </si>
  <si>
    <t>051445-Lang</t>
  </si>
  <si>
    <t>BNT - French - Level 11</t>
  </si>
  <si>
    <t>051446-Lang</t>
  </si>
  <si>
    <t>BNT - French - Level 12</t>
  </si>
  <si>
    <t>051447-Lang</t>
  </si>
  <si>
    <t>BNT - German – Conversation Table - Level A2</t>
  </si>
  <si>
    <t>051753-Lang</t>
  </si>
  <si>
    <t>BNT - German – Conversation Table - Level B2</t>
  </si>
  <si>
    <t>051783-Lang</t>
  </si>
  <si>
    <t xml:space="preserve">BNT - German - Level 01 </t>
  </si>
  <si>
    <t>051507-Lang</t>
  </si>
  <si>
    <t>BNT - German - Level 02</t>
  </si>
  <si>
    <t>051509-Lang</t>
  </si>
  <si>
    <t>BNT - German - Level 03</t>
  </si>
  <si>
    <t>051514-Lang</t>
  </si>
  <si>
    <t>BNT - German - Level 04</t>
  </si>
  <si>
    <t>051515-Lang</t>
  </si>
  <si>
    <t>BNT - German - Level 05</t>
  </si>
  <si>
    <t>051545-Lang</t>
  </si>
  <si>
    <t>BNT - German - Level 06</t>
  </si>
  <si>
    <t>051547-Lang</t>
  </si>
  <si>
    <t>BNT - German - Level 07</t>
  </si>
  <si>
    <t>051535-Lang</t>
  </si>
  <si>
    <t>BNT - German - Level 08</t>
  </si>
  <si>
    <t>051539-Lang</t>
  </si>
  <si>
    <t>BNT - German - Level 09</t>
  </si>
  <si>
    <t>051560-Lang</t>
  </si>
  <si>
    <t>BNT - German - Level 10</t>
  </si>
  <si>
    <t>051562-Lang</t>
  </si>
  <si>
    <t>BNT - German - Level 11</t>
  </si>
  <si>
    <t>051564-Lang</t>
  </si>
  <si>
    <t>BNT - German - Level 12</t>
  </si>
  <si>
    <t>051566-Lang</t>
  </si>
  <si>
    <t xml:space="preserve">BNT - Greek - Level 01 </t>
  </si>
  <si>
    <t>051629-Lang</t>
  </si>
  <si>
    <t>BNT - Greek - Level 02</t>
  </si>
  <si>
    <t>051667-Lang</t>
  </si>
  <si>
    <t>BNT - Greek - Level 03</t>
  </si>
  <si>
    <t>051668-Lang</t>
  </si>
  <si>
    <t>BNT - Greek - Level 04</t>
  </si>
  <si>
    <t>051714-Lang</t>
  </si>
  <si>
    <t>BNT - Greek - Level 05</t>
  </si>
  <si>
    <t>051630-Lang</t>
  </si>
  <si>
    <t>BNT - Greek - Level 06</t>
  </si>
  <si>
    <t>051670-Lang</t>
  </si>
  <si>
    <t>BNT - Greek - Level 07</t>
  </si>
  <si>
    <t>051679-Lang</t>
  </si>
  <si>
    <t>BNT - Greek - Level 08</t>
  </si>
  <si>
    <t>051681-Lang</t>
  </si>
  <si>
    <t xml:space="preserve">BNT - Hungarian - Level 01 </t>
  </si>
  <si>
    <t>051729-Lang</t>
  </si>
  <si>
    <t>BNT - Hungarian - Level 02</t>
  </si>
  <si>
    <t>051730-Lang</t>
  </si>
  <si>
    <t>BNT - Hungarian - Level 03</t>
  </si>
  <si>
    <t>051731-Lang</t>
  </si>
  <si>
    <t>BNT - Hungarian - Level 04</t>
  </si>
  <si>
    <t>051717-Lang</t>
  </si>
  <si>
    <t>BNT - Hungarian - Level 05</t>
  </si>
  <si>
    <t>051732-Lang</t>
  </si>
  <si>
    <t>BNT - Hungarian - Level 06</t>
  </si>
  <si>
    <t>051733-Lang</t>
  </si>
  <si>
    <t>BNT - Hungarian - Level 07</t>
  </si>
  <si>
    <t>051734-Lang</t>
  </si>
  <si>
    <t>BNT - Hungarian - Level 08</t>
  </si>
  <si>
    <t>051735-Lang</t>
  </si>
  <si>
    <t xml:space="preserve">BNT - Irish - Level 01 </t>
  </si>
  <si>
    <t>051703-Lang</t>
  </si>
  <si>
    <t>BNT - Irish - Level 02</t>
  </si>
  <si>
    <t>051686-Lang</t>
  </si>
  <si>
    <t>BNT - Irish - Level 03</t>
  </si>
  <si>
    <t>051704-Lang</t>
  </si>
  <si>
    <t>BNT - Irish - Level 04</t>
  </si>
  <si>
    <t>051699-Lang</t>
  </si>
  <si>
    <t>BNT - Irish - Level 05</t>
  </si>
  <si>
    <t>051697-Lang</t>
  </si>
  <si>
    <t>BNT - Irish - Level 06</t>
  </si>
  <si>
    <t>051710-Lang</t>
  </si>
  <si>
    <t>BNT - Irish - Level 07</t>
  </si>
  <si>
    <t>051711-Lang</t>
  </si>
  <si>
    <t>BNT - Irish - Level 08</t>
  </si>
  <si>
    <t>051713-Lang</t>
  </si>
  <si>
    <t>BNT - Italian – Conversation Table - Level A2</t>
  </si>
  <si>
    <t>051752-Lang</t>
  </si>
  <si>
    <t>BNT - Italian – Conversation Table - Level B2</t>
  </si>
  <si>
    <t>051784-Lang</t>
  </si>
  <si>
    <t xml:space="preserve">BNT - Italian - Level 01 </t>
  </si>
  <si>
    <t>051596-Lang</t>
  </si>
  <si>
    <t>BNT - Italian - Level 02</t>
  </si>
  <si>
    <t>051620-Lang</t>
  </si>
  <si>
    <t>BNT - Italian - Level 03</t>
  </si>
  <si>
    <t>051621-Lang</t>
  </si>
  <si>
    <t>BNT - Italian - Level 04</t>
  </si>
  <si>
    <t>051728-Lang</t>
  </si>
  <si>
    <t>BNT - Italian - Level 05</t>
  </si>
  <si>
    <t>051654-Lang</t>
  </si>
  <si>
    <t>BNT - Italian - Level 06</t>
  </si>
  <si>
    <t>051625-Lang</t>
  </si>
  <si>
    <t>BNT - Italian - Level 07</t>
  </si>
  <si>
    <t>051660-Lang</t>
  </si>
  <si>
    <t>BNT - Italian - Level 08</t>
  </si>
  <si>
    <t>051661-Lang</t>
  </si>
  <si>
    <t xml:space="preserve">BNT - Latvian - Level 01 </t>
  </si>
  <si>
    <t>051634-Lang</t>
  </si>
  <si>
    <t>BNT - Latvian - Level 02</t>
  </si>
  <si>
    <t>051680-Lang</t>
  </si>
  <si>
    <t>BNT - Latvian - Level 03</t>
  </si>
  <si>
    <t>051700-Lang</t>
  </si>
  <si>
    <t>BNT - Latvian - Level 04</t>
  </si>
  <si>
    <t>051419-Lang</t>
  </si>
  <si>
    <t>BNT - Latvian - Level 05</t>
  </si>
  <si>
    <t>051683-Lang</t>
  </si>
  <si>
    <t>BNT - Latvian - Level 06</t>
  </si>
  <si>
    <t>051694-Lang</t>
  </si>
  <si>
    <t>BNT - Latvian - Level 07</t>
  </si>
  <si>
    <t>051696-Lang</t>
  </si>
  <si>
    <t>BNT - Latvian - Level 08</t>
  </si>
  <si>
    <t>051721-Lang</t>
  </si>
  <si>
    <t xml:space="preserve">BNT - Lithuanian - Level 01 </t>
  </si>
  <si>
    <t>051519-Lang</t>
  </si>
  <si>
    <t>BNT - Lithuanian - Level 02</t>
  </si>
  <si>
    <t>051530-Lang</t>
  </si>
  <si>
    <t>BNT - Lithuanian - Level 03</t>
  </si>
  <si>
    <t>051615-Lang</t>
  </si>
  <si>
    <t>BNT - Lithuanian - Level 04</t>
  </si>
  <si>
    <t>051642-Lang</t>
  </si>
  <si>
    <t>BNT - Lithuanian - Level 05</t>
  </si>
  <si>
    <t>051645-Lang</t>
  </si>
  <si>
    <t>BNT - Lithuanian - Level 06</t>
  </si>
  <si>
    <t>051647-Lang</t>
  </si>
  <si>
    <t>BNT - Lithuanian - Level 07</t>
  </si>
  <si>
    <t>051651-Lang</t>
  </si>
  <si>
    <t>BNT - Lithuanian - Level 08</t>
  </si>
  <si>
    <t>051626-Lang</t>
  </si>
  <si>
    <t xml:space="preserve">BNT - Maltese - Level 01 </t>
  </si>
  <si>
    <t>051457-Lang</t>
  </si>
  <si>
    <t>BNT - Maltese - Level 02</t>
  </si>
  <si>
    <t>051479-Lang</t>
  </si>
  <si>
    <t>BNT - Maltese - Level 03</t>
  </si>
  <si>
    <t>051459-Lang</t>
  </si>
  <si>
    <t>BNT - Maltese - Level 04</t>
  </si>
  <si>
    <t>051482-Lang</t>
  </si>
  <si>
    <t>BNT - Maltese - Level 05</t>
  </si>
  <si>
    <t>051554-Lang</t>
  </si>
  <si>
    <t>BNT - Maltese - Level 06</t>
  </si>
  <si>
    <t>051580-Lang</t>
  </si>
  <si>
    <t>BNT - Maltese - Level 07</t>
  </si>
  <si>
    <t>051581-Lang</t>
  </si>
  <si>
    <t>BNT - Maltese - Level 08</t>
  </si>
  <si>
    <t>051583-Lang</t>
  </si>
  <si>
    <t xml:space="preserve">BNT - Polish - Level 01 </t>
  </si>
  <si>
    <t>051584-Lang</t>
  </si>
  <si>
    <t>BNT - Polish - Level 02</t>
  </si>
  <si>
    <t>051555-Lang</t>
  </si>
  <si>
    <t>BNT - Polish - Level 03</t>
  </si>
  <si>
    <t>051586-Lang</t>
  </si>
  <si>
    <t>BNT - Polish - Level 04</t>
  </si>
  <si>
    <t>051587-Lang</t>
  </si>
  <si>
    <t>BNT - Polish - Level 05</t>
  </si>
  <si>
    <t>051588-Lang</t>
  </si>
  <si>
    <t>BNT - Polish - Level 06</t>
  </si>
  <si>
    <t>051601-Lang</t>
  </si>
  <si>
    <t>BNT - Polish - Level 07</t>
  </si>
  <si>
    <t>051589-Lang</t>
  </si>
  <si>
    <t>BNT - Polish - Level 08</t>
  </si>
  <si>
    <t>051591-Lang</t>
  </si>
  <si>
    <t xml:space="preserve">BNT - Portuguese - Level 01 </t>
  </si>
  <si>
    <t>051523-Lang</t>
  </si>
  <si>
    <t>BNT - Portuguese - Level 02</t>
  </si>
  <si>
    <t>051518-Lang</t>
  </si>
  <si>
    <t>BNT - Portuguese - Level 03</t>
  </si>
  <si>
    <t>051543-Lang</t>
  </si>
  <si>
    <t>BNT - Portuguese - Level 04</t>
  </si>
  <si>
    <t>051548-Lang</t>
  </si>
  <si>
    <t>BNT - Portuguese - Level 05</t>
  </si>
  <si>
    <t>051533-Lang</t>
  </si>
  <si>
    <t>BNT - Portuguese - Level 06</t>
  </si>
  <si>
    <t>051536-Lang</t>
  </si>
  <si>
    <t>BNT - Portuguese - Level 07</t>
  </si>
  <si>
    <t>051538-Lang</t>
  </si>
  <si>
    <t>BNT - Portuguese - Level 08</t>
  </si>
  <si>
    <t>051551-Lang</t>
  </si>
  <si>
    <t xml:space="preserve">BNT - Romanian - Level 01 </t>
  </si>
  <si>
    <t>051556-Lang</t>
  </si>
  <si>
    <t>BNT - Romanian - Level 02</t>
  </si>
  <si>
    <t>051557-Lang</t>
  </si>
  <si>
    <t>BNT - Romanian - Level 03</t>
  </si>
  <si>
    <t>051558-Lang</t>
  </si>
  <si>
    <t>BNT - Romanian - Level 04</t>
  </si>
  <si>
    <t>051600-Lang</t>
  </si>
  <si>
    <t>BNT - Romanian - Level 05</t>
  </si>
  <si>
    <t>051590-Lang</t>
  </si>
  <si>
    <t>BNT - Romanian - Level 06</t>
  </si>
  <si>
    <t>051603-Lang</t>
  </si>
  <si>
    <t>BNT - Romanian - Level 07</t>
  </si>
  <si>
    <t>051592-Lang</t>
  </si>
  <si>
    <t>BNT - Romanian - Level 08</t>
  </si>
  <si>
    <t>051604-Lang</t>
  </si>
  <si>
    <t xml:space="preserve">BNT - Russian - Level 01 </t>
  </si>
  <si>
    <t>051649-Lang</t>
  </si>
  <si>
    <t>BNT - Russian - Level 02</t>
  </si>
  <si>
    <t>051652-Lang</t>
  </si>
  <si>
    <t>BNT - Russian - Level 03</t>
  </si>
  <si>
    <t>051655-Lang</t>
  </si>
  <si>
    <t>BNT - Russian - Level 04</t>
  </si>
  <si>
    <t>051692-Lang</t>
  </si>
  <si>
    <t>BNT - Russian - Level 05</t>
  </si>
  <si>
    <t>051657-Lang</t>
  </si>
  <si>
    <t>BNT - Russian - Level 06</t>
  </si>
  <si>
    <t>051659-Lang</t>
  </si>
  <si>
    <t>BNT - Russian - Level 07</t>
  </si>
  <si>
    <t>051628-Lang</t>
  </si>
  <si>
    <t>BNT - Russian - Level 08</t>
  </si>
  <si>
    <t>051662-Lang</t>
  </si>
  <si>
    <t xml:space="preserve">BNT - Slovak - Level 01 </t>
  </si>
  <si>
    <t>051610-Lang</t>
  </si>
  <si>
    <t>BNT - Slovak - Level 02</t>
  </si>
  <si>
    <t>051612-Lang</t>
  </si>
  <si>
    <t>BNT - Slovak - Level 03</t>
  </si>
  <si>
    <t>051616-Lang</t>
  </si>
  <si>
    <t>BNT - Slovak - Level 04</t>
  </si>
  <si>
    <t>051619-Lang</t>
  </si>
  <si>
    <t>BNT - Slovak - Level 05</t>
  </si>
  <si>
    <t>051640-Lang</t>
  </si>
  <si>
    <t>BNT - Slovak - Level 06</t>
  </si>
  <si>
    <t>051623-Lang</t>
  </si>
  <si>
    <t>BNT - Slovak - Level 07</t>
  </si>
  <si>
    <t>051644-Lang</t>
  </si>
  <si>
    <t>BNT - Slovak - Level 08</t>
  </si>
  <si>
    <t>051646-Lang</t>
  </si>
  <si>
    <t xml:space="preserve">BNT - Slovenian - Level 01 </t>
  </si>
  <si>
    <t>051611-Lang</t>
  </si>
  <si>
    <t>BNT - Slovenian - Level 02</t>
  </si>
  <si>
    <t>051650-Lang</t>
  </si>
  <si>
    <t>BNT - Slovenian - Level 03</t>
  </si>
  <si>
    <t>051653-Lang</t>
  </si>
  <si>
    <t>BNT - Slovenian - Level 04</t>
  </si>
  <si>
    <t>051690-Lang</t>
  </si>
  <si>
    <t>BNT - Slovenian - Level 05</t>
  </si>
  <si>
    <t>051656-Lang</t>
  </si>
  <si>
    <t>BNT - Slovenian - Level 06</t>
  </si>
  <si>
    <t>051627-Lang</t>
  </si>
  <si>
    <t>BNT - Slovenian - Level 07</t>
  </si>
  <si>
    <t>051663-Lang</t>
  </si>
  <si>
    <t>BNT - Slovenian - Level 08</t>
  </si>
  <si>
    <t>051664-Lang</t>
  </si>
  <si>
    <t>BNT - Spanish – Conversation Table - Level A2</t>
  </si>
  <si>
    <t>051751-Lang</t>
  </si>
  <si>
    <t>BNT - Spanish – Conversation Table - Level B2</t>
  </si>
  <si>
    <t>051757-Lang</t>
  </si>
  <si>
    <t xml:space="preserve">BNT - Spanish - Level 01 </t>
  </si>
  <si>
    <t>051467-Lang</t>
  </si>
  <si>
    <t>BNT - Spanish - Level 02</t>
  </si>
  <si>
    <t>051471-Lang</t>
  </si>
  <si>
    <t>BNT - Spanish - Level 03</t>
  </si>
  <si>
    <t>051474-Lang</t>
  </si>
  <si>
    <t>BNT - Spanish - Level 04</t>
  </si>
  <si>
    <t>051452-Lang</t>
  </si>
  <si>
    <t>BNT - Spanish - Level 05</t>
  </si>
  <si>
    <t>051453-Lang</t>
  </si>
  <si>
    <t>BNT - Spanish - Level 06</t>
  </si>
  <si>
    <t>051476-Lang</t>
  </si>
  <si>
    <t>BNT - Spanish - Level 07</t>
  </si>
  <si>
    <t>051477-Lang</t>
  </si>
  <si>
    <t>BNT - Spanish - Level 08</t>
  </si>
  <si>
    <t>051456-Lang</t>
  </si>
  <si>
    <t xml:space="preserve">BNT - Swedish - Level 01 </t>
  </si>
  <si>
    <t>051486-Lang</t>
  </si>
  <si>
    <t>BNT - Swedish - Level 02</t>
  </si>
  <si>
    <t>051582-Lang</t>
  </si>
  <si>
    <t>BNT - Swedish - Level 03</t>
  </si>
  <si>
    <t>051585-Lang</t>
  </si>
  <si>
    <t>BNT - Swedish - Level 04</t>
  </si>
  <si>
    <t>051593-Lang</t>
  </si>
  <si>
    <t>BNT - Swedish - Level 05</t>
  </si>
  <si>
    <t>051607-Lang</t>
  </si>
  <si>
    <t>BNT - Swedish - Level 06</t>
  </si>
  <si>
    <t>051594-Lang</t>
  </si>
  <si>
    <t>BNT - Swedish - Level 07</t>
  </si>
  <si>
    <t>051595-Lang</t>
  </si>
  <si>
    <t>BNT - Swedish - Level 08</t>
  </si>
  <si>
    <t>051609-Lang</t>
  </si>
  <si>
    <t xml:space="preserve">BNT - Turkish - Level 01 </t>
  </si>
  <si>
    <t>051605-Lang</t>
  </si>
  <si>
    <t>BNT - Turkish - Level 02</t>
  </si>
  <si>
    <t>051606-Lang</t>
  </si>
  <si>
    <t>BNT - Turkish - Level 03</t>
  </si>
  <si>
    <t>051613-Lang</t>
  </si>
  <si>
    <t>BNT - Turkish - Level 04</t>
  </si>
  <si>
    <t>051597-Lang</t>
  </si>
  <si>
    <t>BNT - Turkish - Level 05</t>
  </si>
  <si>
    <t>051618-Lang</t>
  </si>
  <si>
    <t>BNT - Turkish - Level 06</t>
  </si>
  <si>
    <t>051598-Lang</t>
  </si>
  <si>
    <t>BNT - Turkish - Level 07</t>
  </si>
  <si>
    <t>051641-Lang</t>
  </si>
  <si>
    <t>BNT - Turkish - Level 08</t>
  </si>
  <si>
    <t>051624-Lang</t>
  </si>
  <si>
    <t xml:space="preserve">BNT - Ukrainian - Level 01 </t>
  </si>
  <si>
    <t>062800-Lang</t>
  </si>
  <si>
    <t>BNT - Ukrainian - Level 02</t>
  </si>
  <si>
    <t>062801-Lang</t>
  </si>
  <si>
    <t>BNT - Ukrainian - Level 03</t>
  </si>
  <si>
    <t>062802-Lang</t>
  </si>
  <si>
    <t>BNT - Ukrainian - Level 04</t>
  </si>
  <si>
    <t>062803-Lang</t>
  </si>
  <si>
    <t>BNT - Ukrainian - Level 05</t>
  </si>
  <si>
    <t>062804-Lang</t>
  </si>
  <si>
    <t>BNT - Ukrainian - Level 06</t>
  </si>
  <si>
    <t>062806-Lang</t>
  </si>
  <si>
    <t>BNT - Ukrainian - Level 07</t>
  </si>
  <si>
    <t>062807-Lang</t>
  </si>
  <si>
    <t>BNT - Ukrainian - Level 08</t>
  </si>
  <si>
    <t>062808-Lang</t>
  </si>
  <si>
    <t xml:space="preserve">BNT - Luxembourgish - Level 01 </t>
  </si>
  <si>
    <t>051614-Lang</t>
  </si>
  <si>
    <t>BNT - Luxembourgish - Level 02</t>
  </si>
  <si>
    <t>051617-Lang</t>
  </si>
  <si>
    <t>BNT - Luxembourgish - Level 03</t>
  </si>
  <si>
    <t>051599-Lang</t>
  </si>
  <si>
    <t>BNT - Luxembourgish - Level 04</t>
  </si>
  <si>
    <t>051643-Lang</t>
  </si>
  <si>
    <t>BNT - Luxembourgish - Level 05</t>
  </si>
  <si>
    <t>051648-Lang</t>
  </si>
  <si>
    <t>BNT - Luxembourgish - Level 06</t>
  </si>
  <si>
    <t>051674-Lang</t>
  </si>
  <si>
    <t>BNT - Luxembourgish - Level 07</t>
  </si>
  <si>
    <t>051676-Lang</t>
  </si>
  <si>
    <t>BNT - Luxembourgish - Level 08</t>
  </si>
  <si>
    <t>051677-Lang</t>
  </si>
  <si>
    <t xml:space="preserve"> EUR</t>
  </si>
  <si>
    <t>Unpacking international trade negotiations – an overview for APAs – the process, the players and the politics</t>
  </si>
  <si>
    <t>European Mental Health Week 2026</t>
  </si>
  <si>
    <t>070836-EP</t>
  </si>
  <si>
    <t>Velomai 2026</t>
  </si>
  <si>
    <t>070317-Be Well</t>
  </si>
  <si>
    <t>Created: Wednesday, 24 June 2026 10:15</t>
  </si>
  <si>
    <t>learn.EP catalogue   &lt;   Main catalogue, Newcomers &amp; mandatory courses   &lt;   learn.EP catalogue, MEP &amp; APA training   &lt;   learn.EP catalogue, Language courses   &lt;   learn.EP catalogue, Digital competencies   &lt;   learn.EP catalogue, EU policies &amp; EP core business   &lt;   learn.EP catalogue, Ethics &amp; data protection   &lt;   learn.EP catalogue, Communication competencies   &lt;   learn.EP catalogue, Finance tools &amp; regulations   &lt;   learn.EP catalogue, EP work tools &amp; rules   &lt;   learn.EP catalogue, Wellbeing   &lt;   learn.EP catalogue, Career Development   &lt;   learn.EP catalogue, Leadership &amp; management   &lt;   learn.EP catalogue, Collection per EP competence   &lt;   learn.EP catalogue, Onboarding learning paths   &lt;   learn.EP catalogue, EP Talks   &lt;   learn.EP catalogue, Coaching   &lt;   learn.EP catalogue, Jean Monnet Academy   &lt;   learn.EP catalogue, Events   &lt;   learn.EP catalogue, Test   &lt;   learn.EP catalogue, Artificial Intelligence   &lt;   learn.EP catalogue &gt; Digital competencies, Accessibility   &lt;   learn.EP catalogue &gt; Digital competencies, Cybersecurity   &lt;   learn.EP catalogue &gt; Digital competencies, Office 365   &lt;   learn.EP catalogue &gt; Digital competencies, Data analytics   &lt;   learn.EP catalogue &gt; Digital competencies, IT management   &lt;   learn.EP catalogue &gt; Digital competencies, Adobe   &lt;   learn.EP catalogue &gt; Digital competencies, EP/EU applications   &lt;   learn.EP catalogue &gt; Digital competencies, Cloud   &lt;   learn.EP catalogue &gt; Digital competencies, Other applications   &lt;   learn.EP catalogue &gt; Digital competencies, AWS   &lt;   learn.EP catalogue &gt; Digital competencies &gt; Cloud, Azure   &lt;   learn.EP catalogue &gt; Digital competencies &gt; Cloud, Brussels   &lt;   learn.EP catalogue &gt; Language courses, Luxembourg   &lt;   learn.EP catalogue &gt; Language courses, Strasbourg   &lt;   learn.EP catalogue &gt; Language courses, TRAD seminars   &lt;   learn.EP catalogue &gt; Language courses, English   &lt;   learn.EP catalogue &gt; Language courses &gt; Brussels, French   &lt;   learn.EP catalogue &gt; Language courses &gt; Brussels, German   &lt;   learn.EP catalogue &gt; Language courses &gt; Brussels, Bulgarian   &lt;   learn.EP catalogue &gt; Language courses &gt; Brussels, Croatian   &lt;   learn.EP catalogue &gt; Language courses &gt; Brussels, Czech   &lt;   learn.EP catalogue &gt; Language courses &gt; Brussels, Danish   &lt;   learn.EP catalogue &gt; Language courses &gt; Brussels, Dutch   &lt;   learn.EP catalogue &gt; Language courses &gt; Brussels, Greek   &lt;   learn.EP catalogue &gt; Language courses &gt; Brussels, Estonian   &lt;   learn.EP catalogue &gt; Language courses &gt; Brussels, Finnish   &lt;   learn.EP catalogue &gt; Language courses &gt; Brussels, Irish   &lt;   learn.EP catalogue &gt; Language courses &gt; Brussels, Hungarian   &lt;   learn.EP catalogue &gt; Language courses &gt; Brussels, Italian   &lt;   learn.EP catalogue &gt; Language courses &gt; Brussels, Latvian   &lt;   learn.EP catalogue &gt; Language courses &gt; Brussels, Lithuanian   &lt;   learn.EP catalogue &gt; Language courses &gt; Brussels, Maltese   &lt;   learn.EP catalogue &gt; Language courses &gt; Brussels, Polish   &lt;   learn.EP catalogue &gt; Language courses &gt; Brussels, Portuguese   &lt;   learn.EP catalogue &gt; Language courses &gt; Brussels, Romanian   &lt;   learn.EP catalogue &gt; Language courses &gt; Brussels, Slovak   &lt;   learn.EP catalogue &gt; Language courses &gt; Brussels, Slovenian   &lt;   learn.EP catalogue &gt; Language courses &gt; Brussels, Spanish   &lt;   learn.EP catalogue &gt; Language courses &gt; Brussels, Swedish   &lt;   learn.EP catalogue &gt; Language courses &gt; Brussels, Arabic   &lt;   learn.EP catalogue &gt; Language courses &gt; Brussels, Chinese   &lt;   learn.EP catalogue &gt; Language courses &gt; Brussels, Russian   &lt;   learn.EP catalogue &gt; Language courses &gt; Brussels, Turkish   &lt;   learn.EP catalogue &gt; Language courses &gt; Brussels, English   &lt;   learn.EP catalogue &gt; Language courses &gt; Luxembourg, French   &lt;   learn.EP catalogue &gt; Language courses &gt; Luxembourg, German   &lt;   learn.EP catalogue &gt; Language courses &gt; Luxembourg, Bulgarian   &lt;   learn.EP catalogue &gt; Language courses &gt; Luxembourg, Croatian   &lt;   learn.EP catalogue &gt; Language courses &gt; Luxembourg, Czech   &lt;   learn.EP catalogue &gt; Language courses &gt; Luxembourg, Danish   &lt;   learn.EP catalogue &gt; Language courses &gt; Luxembourg, Dutch   &lt;   learn.EP catalogue &gt; Language courses &gt; Luxembourg, Greek   &lt;   learn.EP catalogue &gt; Language courses &gt; Luxembourg, Estonian   &lt;   learn.EP catalogue &gt; Language courses &gt; Luxembourg, Finnish   &lt;   learn.EP catalogue &gt; Language courses &gt; Luxembourg, Irish   &lt;   learn.EP catalogue &gt; Language courses &gt; Luxembourg, Hungarian   &lt;   learn.EP catalogue &gt; Language courses &gt; Luxembourg, Italian   &lt;   learn.EP catalogue &gt; Language courses &gt; Luxembourg, Latvian   &lt;   learn.EP catalogue &gt; Language courses &gt; Luxembourg, Lithuanian   &lt;   learn.EP catalogue &gt; Language courses &gt; Luxembourg, Maltese   &lt;   learn.EP catalogue &gt; Language courses &gt; Luxembourg, Polish   &lt;   learn.EP catalogue &gt; Language courses &gt; Luxembourg, Portuguese   &lt;   learn.EP catalogue &gt; Language courses &gt; Luxembourg, Romanian   &lt;   learn.EP catalogue &gt; Language courses &gt; Luxembourg, Slovak   &lt;   learn.EP catalogue &gt; Language courses &gt; Luxembourg, Slovenian   &lt;   learn.EP catalogue &gt; Language courses &gt; Luxembourg, Spanish   &lt;   learn.EP catalogue &gt; Language courses &gt; Luxembourg, Swedish   &lt;   learn.EP catalogue &gt; Language courses &gt; Luxembourg, Arabic   &lt;   learn.EP catalogue &gt; Language courses &gt; Luxembourg, Chinese   &lt;   learn.EP catalogue &gt; Language courses &gt; Luxembourg, Luxembourgish   &lt;   learn.EP catalogue &gt; Language courses &gt; Luxembourg, Russian   &lt;   learn.EP catalogue &gt; Language courses &gt; Luxembourg, Turkish   &lt;   learn.EP catalogue &gt; Language courses &gt; Luxembourg, English   &lt;   learn.EP catalogue &gt; Language courses &gt; Strasbourg, French   &lt;   learn.EP catalogue &gt; Language courses &gt; Strasbourg, German   &lt;   learn.EP catalogue &gt; Language courses &gt; Strasbourg, Powers   &lt;   learn.EP catalogue &gt; EU policies &amp; EP core business, Policies   &lt;   learn.EP catalogue &gt; EU policies &amp; EP core business, How the EP works   &lt;   learn.EP catalogue &gt; EU policies &amp; EP core business, Managing people   &lt;   learn.EP catalogue &gt; Leadership &amp; management, Managing self   &lt;   learn.EP catalogue &gt; Leadership &amp; management, Managing information   &lt;   learn.EP catalogue &gt; Leadership &amp; management, Managing relations   &lt;   learn.EP catalogue &gt; Leadership &amp; management, Managing tasks   &lt;   learn.EP catalogue &gt; Leadership &amp; management, Learning Paths by actors   &lt;   learn.EP catalogue &gt; Finance tools &amp; regulations, Videos - EP Finance Academy   &lt;   learn.EP catalogue &gt; Finance tools &amp; regulations, Miscellaneous   &lt;   learn.EP catalogue &gt; Finance tools &amp; regulations, Flash sessions   &lt;   learn.EP catalogue &gt; Finance tools &amp; regulations, Behaviour and Attitude at the Workplace   &lt;   learn.EP catalogue &gt; EP work tools &amp; rules, Administrative Skills and Tools   &lt;   learn.EP catalogue &gt; EP work tools &amp; rules, Retirement, unemployment, mobility   &lt;   learn.EP catalogue &gt; EP work tools &amp; rules, Project management   &lt;   learn.EP catalogue &gt; Career Development, Ethics   &lt;   learn.EP catalogue &gt; Ethics &amp; data protection, Data protection   &lt;   learn.EP catalogue &gt; Ethics &amp; data protection, SG EU Policymaking Hub   &lt;   learn.EP catalogue &gt; Events, Transversal   &lt;   learn.EP catalogue &gt; Collection per EP competence, Job specific   &lt;   learn.EP catalogue &gt; Collection per EP competence, Managerial    &lt;   learn.EP catalogue &gt; Collection per EP competence, Core   &lt;   learn.EP catalogue &gt; Collection per EP competence &gt; Transversal, Interpersonal   &lt;   learn.EP catalogue &gt; Collection per EP competence &gt; Transversal, Operational   &lt;   learn.EP catalogue &gt; Collection per EP competence &gt; Transversal, Systemic   &lt;   learn.EP catalogue &gt; Collection per EP competence &gt; Transversal, Digital   &lt;   learn.EP catalogue &gt; Collection per EP competence &gt; Transversal, Linguistic   &lt;   learn.EP catalogue &gt; Collection per EP competence &gt; Job specific, Information Technology    &lt;   learn.EP catalogue &gt; Collection per EP competence &gt; Job specific, Financial   &lt;   learn.EP catalogue &gt; Collection per EP competence &gt; Job specific, Parliamentary   &lt;   learn.EP catalogue &gt; Collection per EP competence &gt; Job specific, Administrative   &lt;   learn.EP catalogue &gt; Collection per EP competence &gt; Job specific, Strategic   &lt;   learn.EP catalogue &gt; Collection per EP competence &gt; Managerial , Facilitative   &lt;   learn.EP catalogue &gt; Collection per EP competence &gt; Managerial , Developmental   &lt;   learn.EP catalogue &gt; Collection per EP competence &gt; Managerial , LING   &lt;   learn.EP catalogue &gt; Onboarding learning paths, INF   &lt;   learn.EP catalogue &gt; Onboarding learning paths, PARL   &lt;   learn.EP catalogue &gt; Onboarding learning paths, FIN   &lt;   learn.EP catalogue &gt; Onboarding learning paths, ADM   &lt;   learn.EP catalogue &gt; Onboarding learning paths, MAN   &lt;   learn.EP catalogue &gt; Onboarding learning paths, COM   &lt;   learn.EP catalogue &gt; Onboarding learning paths, JURI   &lt;   learn.EP catalogue &gt; Onboarding learning paths, MAT   &lt;   learn.EP catalogue &gt; Onboarding learning paths, EP Talks - upcoming events   &lt;   learn.EP catalogue &gt; EP Talks, EP Talks - recordings   &lt;   learn.EP catalogue &gt; EP Talks</t>
  </si>
  <si>
    <t>065101-EP-0009-EN-GB</t>
  </si>
  <si>
    <t>Negotiation Skills</t>
  </si>
  <si>
    <t>078528-EP</t>
  </si>
  <si>
    <t>EP_006960</t>
  </si>
  <si>
    <t>Digital competencies &gt; Cybersecurity</t>
  </si>
  <si>
    <t>Digital competencies &gt; Data analytics</t>
  </si>
  <si>
    <t>Digital competencies &gt; IT management</t>
  </si>
  <si>
    <t>Digital competencies &gt; Office 365</t>
  </si>
  <si>
    <t>EP Talks: Two XX Chromosomes: A Journey in Science and Medicine”</t>
  </si>
  <si>
    <t>EP talks: Rewriting your story: how personal narratives contribute to happiness</t>
  </si>
  <si>
    <t xml:space="preserve">Team activity - EP role play </t>
  </si>
  <si>
    <t>068962-EP</t>
  </si>
  <si>
    <t>Team activity - May 9th 1950</t>
  </si>
  <si>
    <t>Team activity - The EP challenge</t>
  </si>
  <si>
    <t xml:space="preserve">Team activity - Treasure Hunt at the Museum </t>
  </si>
  <si>
    <t>070651-EP</t>
  </si>
  <si>
    <t>Team workshop - working together in multigenerational teams</t>
  </si>
  <si>
    <t xml:space="preserve">Unconscious bias - going behind assumptions </t>
  </si>
  <si>
    <t>023231-EP</t>
  </si>
  <si>
    <t>Ethics Principles at the European Parliament</t>
  </si>
  <si>
    <t>Principes d'éthique au Parlement européen</t>
  </si>
  <si>
    <t>FMS flash session - Financial guarantees management</t>
  </si>
  <si>
    <t>078603-EP-0001-EN-GB</t>
  </si>
  <si>
    <t>FMS flash session - Regularisation of eligible costs</t>
  </si>
  <si>
    <t>078828-EP-0001-EN-GB</t>
  </si>
  <si>
    <t>SPANISH Placement Test</t>
  </si>
  <si>
    <t>European Parliament induction programme part 2- A day in Strasbourg</t>
  </si>
  <si>
    <t>073110-EP</t>
  </si>
  <si>
    <t>Onboarding for Intercultural and Language Professionals (Dir A)</t>
  </si>
  <si>
    <t>Summer course</t>
  </si>
  <si>
    <t>076682-EP</t>
  </si>
  <si>
    <t>Test course template - Philipp Henningsen</t>
  </si>
  <si>
    <t>064824-EP</t>
  </si>
  <si>
    <t>Test course template 100 slots in course available - Philipp Henningsen</t>
  </si>
  <si>
    <t>076803-EP</t>
  </si>
  <si>
    <t>Test course template no expression of interest- Philipp Henningsen</t>
  </si>
  <si>
    <t>076802-EP</t>
  </si>
  <si>
    <t>elearning test course (Kaja)</t>
  </si>
  <si>
    <t>077923-EP-0001-EN-GB</t>
  </si>
  <si>
    <t>Created: Tuesday, 14 July 2026 14:49</t>
  </si>
  <si>
    <t>learn.EP catalogue   &lt;   Main catalogue, Newcomers &amp; mandatory courses   &lt;   learn.EP catalogue, MEP &amp; APA training   &lt;   learn.EP catalogue, Language courses   &lt;   learn.EP catalogue, Digital competencies   &lt;   learn.EP catalogue, EU policies &amp; EP core business   &lt;   learn.EP catalogue, Ethics &amp; data protection   &lt;   learn.EP catalogue, Communication competencies   &lt;   learn.EP catalogue, Finance tools &amp; regulations   &lt;   learn.EP catalogue, EP work tools &amp; rules   &lt;   learn.EP catalogue, Wellbeing   &lt;   learn.EP catalogue, Career Development   &lt;   learn.EP catalogue, Leadership &amp; management   &lt;   learn.EP catalogue, Collection per EP competence   &lt;   learn.EP catalogue, Onboarding learning paths   &lt;   learn.EP catalogue, EP Talks   &lt;   learn.EP catalogue, Coaching   &lt;   learn.EP catalogue, Jean Monnet Academy   &lt;   learn.EP catalogue, Events   &lt;   learn.EP catalogue, Test   &lt;   learn.EP catalogue, Artificial Intelligence   &lt;   learn.EP catalogue &gt; Digital competencies, Accessibility   &lt;   learn.EP catalogue &gt; Digital competencies, Cybersecurity   &lt;   learn.EP catalogue &gt; Digital competencies, Office 365   &lt;   learn.EP catalogue &gt; Digital competencies, Data analytics   &lt;   learn.EP catalogue &gt; Digital competencies, IT management   &lt;   learn.EP catalogue &gt; Digital competencies, Adobe   &lt;   learn.EP catalogue &gt; Digital competencies, EP/EU applications   &lt;   learn.EP catalogue &gt; Digital competencies, Cloud   &lt;   learn.EP catalogue &gt; Digital competencies, Other applications   &lt;   learn.EP catalogue &gt; Digital competencies, AWS   &lt;   learn.EP catalogue &gt; Digital competencies &gt; Cloud, Azure   &lt;   learn.EP catalogue &gt; Digital competencies &gt; Cloud, Placement test   &lt;   learn.EP catalogue &gt; Language courses, Online   &lt;   learn.EP catalogue &gt; Language courses, Brussels   &lt;   learn.EP catalogue &gt; Language courses, Luxembourg   &lt;   learn.EP catalogue &gt; Language courses, Powers   &lt;   learn.EP catalogue &gt; EU policies &amp; EP core business, Policies   &lt;   learn.EP catalogue &gt; EU policies &amp; EP core business, How the EP works   &lt;   learn.EP catalogue &gt; EU policies &amp; EP core business, Managing people   &lt;   learn.EP catalogue &gt; Leadership &amp; management, Managing self   &lt;   learn.EP catalogue &gt; Leadership &amp; management, Managing information   &lt;   learn.EP catalogue &gt; Leadership &amp; management, Managing relations   &lt;   learn.EP catalogue &gt; Leadership &amp; management, Managing tasks   &lt;   learn.EP catalogue &gt; Leadership &amp; management, Learning Paths by actors   &lt;   learn.EP catalogue &gt; Finance tools &amp; regulations, Videos - EP Finance Academy   &lt;   learn.EP catalogue &gt; Finance tools &amp; regulations, Miscellaneous   &lt;   learn.EP catalogue &gt; Finance tools &amp; regulations, Flash sessions   &lt;   learn.EP catalogue &gt; Finance tools &amp; regulations, Behaviour and Attitude at the Workplace   &lt;   learn.EP catalogue &gt; EP work tools &amp; rules, Administrative Skills and Tools   &lt;   learn.EP catalogue &gt; EP work tools &amp; rules, Retirement, unemployment, mobility   &lt;   learn.EP catalogue &gt; EP work tools &amp; rules, Project management   &lt;   learn.EP catalogue &gt; Career Development, Ethics   &lt;   learn.EP catalogue &gt; Ethics &amp; data protection, Data protection   &lt;   learn.EP catalogue &gt; Ethics &amp; data protection, SG EU Policymaking Hub   &lt;   learn.EP catalogue &gt; Events, Transversal   &lt;   learn.EP catalogue &gt; Collection per EP competence, Job specific   &lt;   learn.EP catalogue &gt; Collection per EP competence, Managerial    &lt;   learn.EP catalogue &gt; Collection per EP competence, Core   &lt;   learn.EP catalogue &gt; Collection per EP competence &gt; Transversal, Interpersonal   &lt;   learn.EP catalogue &gt; Collection per EP competence &gt; Transversal, Operational   &lt;   learn.EP catalogue &gt; Collection per EP competence &gt; Transversal, Systemic   &lt;   learn.EP catalogue &gt; Collection per EP competence &gt; Transversal, Digital   &lt;   learn.EP catalogue &gt; Collection per EP competence &gt; Transversal, Linguistic   &lt;   learn.EP catalogue &gt; Collection per EP competence &gt; Job specific, Information Technology    &lt;   learn.EP catalogue &gt; Collection per EP competence &gt; Job specific, Financial   &lt;   learn.EP catalogue &gt; Collection per EP competence &gt; Job specific, Parliamentary   &lt;   learn.EP catalogue &gt; Collection per EP competence &gt; Job specific, Administrative   &lt;   learn.EP catalogue &gt; Collection per EP competence &gt; Job specific, Legal   &lt;   learn.EP catalogue &gt; Collection per EP competence &gt; Job specific, Strategic   &lt;   learn.EP catalogue &gt; Collection per EP competence &gt; Managerial , Facilitative   &lt;   learn.EP catalogue &gt; Collection per EP competence &gt; Managerial , Developmental   &lt;   learn.EP catalogue &gt; Collection per EP competence &gt; Managerial , LING   &lt;   learn.EP catalogue &gt; Onboarding learning paths, INF   &lt;   learn.EP catalogue &gt; Onboarding learning paths, PARL   &lt;   learn.EP catalogue &gt; Onboarding learning paths, FIN   &lt;   learn.EP catalogue &gt; Onboarding learning paths, ADM   &lt;   learn.EP catalogue &gt; Onboarding learning paths, MAN   &lt;   learn.EP catalogue &gt; Onboarding learning paths, COM   &lt;   learn.EP catalogue &gt; Onboarding learning paths, JURI   &lt;   learn.EP catalogue &gt; Onboarding learning paths, MAT   &lt;   learn.EP catalogue &gt; Onboarding learning paths, EP Talks - upcoming events   &lt;   learn.EP catalogue &gt; EP Talks, EP Talks - recordings   &lt;   learn.EP catalogue &gt; EP Talks</t>
  </si>
  <si>
    <t>Shortened template ID</t>
  </si>
  <si>
    <t>Likely responsible course manager</t>
  </si>
  <si>
    <t>Comment</t>
  </si>
  <si>
    <t>Decision</t>
  </si>
  <si>
    <t>000584-EC</t>
  </si>
  <si>
    <t>000723-DT</t>
  </si>
  <si>
    <t>EC-CYBERSECURITY@ec.europa.eu - EC CYBERSECURITY</t>
  </si>
  <si>
    <t>SG-EU-POLICYMAKING-HUB@ec.europa.eu - SG EU POLICYMAKING HUB</t>
  </si>
  <si>
    <t>001094-DT</t>
  </si>
  <si>
    <t>HR-DIGITAL-SKILLS@ec.europa.eu - HR DIGITAL SKILLS</t>
  </si>
  <si>
    <t>001842-GE</t>
  </si>
  <si>
    <t>HR-C4-COURS-FINANCES@ec.europa.eu - HR C4 COURS FINANCES</t>
  </si>
  <si>
    <t>002501-SG</t>
  </si>
  <si>
    <t>003180-SG</t>
  </si>
  <si>
    <t>011283-DT</t>
  </si>
  <si>
    <t>017440-GE</t>
  </si>
  <si>
    <t>Alina PACURAR</t>
  </si>
  <si>
    <t>020570-EP</t>
  </si>
  <si>
    <t>020588-EP</t>
  </si>
  <si>
    <t>020593-ES</t>
  </si>
  <si>
    <t>hr-lux-training@ec.europa.eu - HR LUX TRAINING</t>
  </si>
  <si>
    <t>020651-EP</t>
  </si>
  <si>
    <t>IOANNIS VIANNIS</t>
  </si>
  <si>
    <t>CARLOS ZANOLI</t>
  </si>
  <si>
    <t>Meliina KINNUNEN</t>
  </si>
  <si>
    <t>Check if it will be organised again</t>
  </si>
  <si>
    <t>022511-GE</t>
  </si>
  <si>
    <t>022810-SG</t>
  </si>
  <si>
    <t>022814-SG</t>
  </si>
  <si>
    <t>022815-SG</t>
  </si>
  <si>
    <t>022867-SG</t>
  </si>
  <si>
    <t>022964-SG</t>
  </si>
  <si>
    <t>022965-SG</t>
  </si>
  <si>
    <t>022991-SG</t>
  </si>
  <si>
    <t>VIKTORIYA KRASTEVA</t>
  </si>
  <si>
    <t xml:space="preserve">Unconscious bias - going beyond assumptions </t>
  </si>
  <si>
    <t>023327-SG</t>
  </si>
  <si>
    <t>023360-DI</t>
  </si>
  <si>
    <t>EC EPROCUREMENT TRAINING EC-EPROCUREMENT-TRAINING@ec.europa.eu</t>
  </si>
  <si>
    <t>JOANNA MAJCHRZYK</t>
  </si>
  <si>
    <t>Ana GALLEGO GONZALEZ</t>
  </si>
  <si>
    <t>023573-SG</t>
  </si>
  <si>
    <t>023743-EP</t>
  </si>
  <si>
    <t>024154-SG</t>
  </si>
  <si>
    <t>024273-SG</t>
  </si>
  <si>
    <t>024585-SG</t>
  </si>
  <si>
    <t>024628-EP</t>
  </si>
  <si>
    <t>024763-SG</t>
  </si>
  <si>
    <t>024764-SG</t>
  </si>
  <si>
    <t>024766-SG</t>
  </si>
  <si>
    <t>OP-DOMAIN-TRAINING -at- publications.europa.eu</t>
  </si>
  <si>
    <t>025027-DI</t>
  </si>
  <si>
    <t>025053-DT</t>
  </si>
  <si>
    <t>025274-DI</t>
  </si>
  <si>
    <t>025762-DT</t>
  </si>
  <si>
    <t>Stephanie CICARD</t>
  </si>
  <si>
    <t>025788-DT</t>
  </si>
  <si>
    <t>025789-DT</t>
  </si>
  <si>
    <t>025791-DT</t>
  </si>
  <si>
    <t>025805-DT</t>
  </si>
  <si>
    <t>026486-DI</t>
  </si>
  <si>
    <t>026488-DI</t>
  </si>
  <si>
    <t>Very low value procurement and requests for specific contract in PPMT: Preparation to awarding</t>
  </si>
  <si>
    <t>026489-DI</t>
  </si>
  <si>
    <t>GÉRALDINE BINARD</t>
  </si>
  <si>
    <t>026625-DI</t>
  </si>
  <si>
    <t>026626-DI</t>
  </si>
  <si>
    <t>027025-DI</t>
  </si>
  <si>
    <t>BENEDETTA BAVIERI</t>
  </si>
  <si>
    <t>VERONICA FALCIONE</t>
  </si>
  <si>
    <t>027597-SG</t>
  </si>
  <si>
    <t>028160-SG</t>
  </si>
  <si>
    <t>028161-SG</t>
  </si>
  <si>
    <t>028162-SG</t>
  </si>
  <si>
    <t>028290-DI</t>
  </si>
  <si>
    <t>Explore the buildings of the European Parliament in Strasbourg - Tour for APAs</t>
  </si>
  <si>
    <t>learn.EP@europarl.europa.eu - learn EP</t>
  </si>
  <si>
    <t>028660-SG</t>
  </si>
  <si>
    <t>028880-DI</t>
  </si>
  <si>
    <t>029914-SG</t>
  </si>
  <si>
    <t>029915-SG</t>
  </si>
  <si>
    <t>ALESSANDRA MARUCCIA</t>
  </si>
  <si>
    <t>ANGELA LOPEZ RIVAS</t>
  </si>
  <si>
    <t>031802-DI</t>
  </si>
  <si>
    <t>031803-DI</t>
  </si>
  <si>
    <t>033249-DT</t>
  </si>
  <si>
    <t>KAREN DILLON</t>
  </si>
  <si>
    <t>VESELINA GOLEMINOVA</t>
  </si>
  <si>
    <t>037661-SG</t>
  </si>
  <si>
    <t>ANNICA TORNERYD</t>
  </si>
  <si>
    <t>038664-GE</t>
  </si>
  <si>
    <t>038901-GE</t>
  </si>
  <si>
    <t>038920-GE</t>
  </si>
  <si>
    <t>049426-LT</t>
  </si>
  <si>
    <t>KLARA DANIAUD</t>
  </si>
  <si>
    <t>Raquel CORREIA</t>
  </si>
  <si>
    <t>049920-LU</t>
  </si>
  <si>
    <t>050082-EP</t>
  </si>
  <si>
    <t>ELODIE MACLER</t>
  </si>
  <si>
    <t>051202-SG</t>
  </si>
  <si>
    <t>052903-GE</t>
  </si>
  <si>
    <t>052918-GE</t>
  </si>
  <si>
    <t>052981-GE</t>
  </si>
  <si>
    <t>053424-DI</t>
  </si>
  <si>
    <t>VIVIANA CONTE</t>
  </si>
  <si>
    <t>Duplicate assignment</t>
  </si>
  <si>
    <t>Visual Thinking: Connect challenges to dynamic sketches</t>
  </si>
  <si>
    <t>057441-EP</t>
  </si>
  <si>
    <t>058420-DG</t>
  </si>
  <si>
    <t>KATRIN GABELEIN-PAEHLER</t>
  </si>
  <si>
    <t>058661-EP</t>
  </si>
  <si>
    <t>Webinar: Using AI at European Parliament</t>
  </si>
  <si>
    <t>058661-EP-0026-EN-GB</t>
  </si>
  <si>
    <t>EP Talks: Europe in the AI &amp; Quantum Era: Ready or Not?</t>
  </si>
  <si>
    <t>058661-EP-0027-EN-GB</t>
  </si>
  <si>
    <t>058960-SG</t>
  </si>
  <si>
    <t>059340-EP</t>
  </si>
  <si>
    <t>059523-SG</t>
  </si>
  <si>
    <t>Language courses &gt; Online</t>
  </si>
  <si>
    <t>ONLINE AUGUST - Dutch Level 01 - Group A: 8h30 - 12h45 - SUMMER 2026</t>
  </si>
  <si>
    <t>059685-Lang-0008-EN-GB</t>
  </si>
  <si>
    <t>059685-La</t>
  </si>
  <si>
    <t>María José ALCAIDE MURILLO</t>
  </si>
  <si>
    <t>ONLINE AUGUST - Dutch Level 01 - Group B: 13h30 - 17h45 - SUMMER 2026</t>
  </si>
  <si>
    <t>059685-Lang-0009-EN-GB</t>
  </si>
  <si>
    <t>IN-PERSON BXL AUGUST - Dutch Level 01 - Group A: 8h30 - 12h45 - SUMMER 2026</t>
  </si>
  <si>
    <t>059685-Lang-0010-EN-GB</t>
  </si>
  <si>
    <t>IN-PERSON BXL AUGUST - Dutch Level 01 - Group B: 13h30 - 17h45 - SUMMER 2026</t>
  </si>
  <si>
    <t>059685-Lang-0011-EN-GB</t>
  </si>
  <si>
    <t>060030-DI</t>
  </si>
  <si>
    <t>IN-PERSON BXL AUGUST - French Level 01 - Group A: 8h30 - 12h45 - SUMMER 2026</t>
  </si>
  <si>
    <t>060201-Lang-0010-EN-GB</t>
  </si>
  <si>
    <t>060201-La</t>
  </si>
  <si>
    <t>Alessandro SPASIANO</t>
  </si>
  <si>
    <t>ONLINE AUGUST - French Level 01 - Group A: 8h30 - 12h45 - SUMMER 2026</t>
  </si>
  <si>
    <t>060201-Lang-0011-EN-GB</t>
  </si>
  <si>
    <t>IN-PERSON BXL AUGUST - French Level 01 - Group B: 13h30 - 17h45 - SUMMER 2026</t>
  </si>
  <si>
    <t>060201-Lang-0012-EN-GB</t>
  </si>
  <si>
    <t>ONLINE AUGUST - French Level 01 - Group B: 8h30 - 12h45 - SUMMER 2026</t>
  </si>
  <si>
    <t>060201-Lang-0013-EN-GB</t>
  </si>
  <si>
    <t>ONLINE AUGUST - French Level 01 - Group C: 13h30 - 17h45 - SUMMER 2026</t>
  </si>
  <si>
    <t>060201-Lang-0014-EN-GB</t>
  </si>
  <si>
    <t>ONLINE AUGUST - French Level 01 - Group D: 13h30 - 17h45 - SUMMER 2026</t>
  </si>
  <si>
    <t>060201-Lang-0015-EN-GB</t>
  </si>
  <si>
    <t>IN-PERSON BXL AUGUST - French Level 04 - Group A: 8h30 - 12h45 - SUMMER 2026</t>
  </si>
  <si>
    <t>060203-Lang-0010-EN-GB</t>
  </si>
  <si>
    <t>060203-La</t>
  </si>
  <si>
    <t>ONLINE AUGUST - French Level 04 - Group A: 8h30 - 12h45 - SUMMER 2026</t>
  </si>
  <si>
    <t>060203-Lang-0011-EN-GB</t>
  </si>
  <si>
    <t>IN-PERSON BXL AUGUST - French Level 04 - Group B: 13h30 - 17:45 - SUMMER 2026</t>
  </si>
  <si>
    <t>060203-Lang-0012-EN-GB</t>
  </si>
  <si>
    <t>ONLINE AUGUST - French Level 04 - Group B: 8h30 - 12h45 - SUMMER 2026</t>
  </si>
  <si>
    <t>060203-Lang-0013-EN-GB</t>
  </si>
  <si>
    <t>ONLINE AUGUST - French Level 04 - Group C: 13h30 - 17h45 - SUMMER 2026</t>
  </si>
  <si>
    <t>060203-Lang-0014-EN-GB</t>
  </si>
  <si>
    <t>IN-PERSON BXL AUGUST - French Level 02 - Group A: 8h30 - 12h45 - SUMMER 2026</t>
  </si>
  <si>
    <t>060220-Lang-0007-EN-GB</t>
  </si>
  <si>
    <t>060220-La</t>
  </si>
  <si>
    <t>ONLINE AUGUST - French Level 02 - Group A: 8h30 - 12h45 - SUMMER 2026</t>
  </si>
  <si>
    <t>060220-Lang-0008-EN-GB</t>
  </si>
  <si>
    <t>ONLINE AUGUST - French Level 02 - Group B: 13h30 - 17h45 - SUMMER 2026</t>
  </si>
  <si>
    <t>060220-Lang-0009-EN-GB</t>
  </si>
  <si>
    <t>IN-PERSON BXL AUGUST - French Level 03 - Group A: 8h30 - 12h45 - SUMMER 2026</t>
  </si>
  <si>
    <t>060221-Lang-0007-EN-GB</t>
  </si>
  <si>
    <t>060221-La</t>
  </si>
  <si>
    <t>ONLINE AUGUST - French Level 03 - Group A: 8h30 - 12h45 - SUMMER 2026</t>
  </si>
  <si>
    <t>060221-Lang-0008-EN-GB</t>
  </si>
  <si>
    <t>IN-PERSON BXL AUGUST - French Level 03 - Group B: 13h30 - 17h45 - SUMMER 2026</t>
  </si>
  <si>
    <t>060221-Lang-0009-EN-GB</t>
  </si>
  <si>
    <t>ONLINE AUGUST - French Level 03 - Group B: 8h30 - 12h45 - SUMMER 2026</t>
  </si>
  <si>
    <t>060221-Lang-0010-EN-GB</t>
  </si>
  <si>
    <t>ONLINE AUGUST - French Level 03 - Group C: 13h30 - 17h45 - SUMMER 2026</t>
  </si>
  <si>
    <t>060221-Lang-0011-EN-GB</t>
  </si>
  <si>
    <t>IN-PERSON BXL AUGUST - French Level 05 - Group A: 8h30 - 12h45 - SUMMER 2026</t>
  </si>
  <si>
    <t>060222-Lang-0009-EN-GB</t>
  </si>
  <si>
    <t>060222-La</t>
  </si>
  <si>
    <t>ONLINE AUGUST - French Level 05 - Group A: 8h30 - 12h45 - SUMMER 2026</t>
  </si>
  <si>
    <t>060222-Lang-0011-EN-GB</t>
  </si>
  <si>
    <t>IN-PERSON BXL AUGUST - French Level 05 - Group B: 13h30 - 17h45 - SUMMER 2026</t>
  </si>
  <si>
    <t>060222-Lang-0016-EN-GB</t>
  </si>
  <si>
    <t>ONLINE AUGUST - French Level 05 - Group B: 8h30 - 12h45 - SUMMER 2026</t>
  </si>
  <si>
    <t>060222-Lang-0017-EN-GB</t>
  </si>
  <si>
    <t>ONLINE AUGUST - French Level 05 - Group C: 13h30 - 17h45 - SUMMER 2026</t>
  </si>
  <si>
    <t>060222-Lang-0018-EN-GB</t>
  </si>
  <si>
    <t>IN-PERSON BXL AUGUST - French Level 06 - Group A: 8h30 - 12h45 - SUMMER 2026</t>
  </si>
  <si>
    <t>060224-Lang-0009-EN-GB</t>
  </si>
  <si>
    <t>060224-La</t>
  </si>
  <si>
    <t>ONLINE AUGUST - French Level 06 - Group A: 8h30 - 12h45 - SUMMER 2026</t>
  </si>
  <si>
    <t>060224-Lang-0011-EN-GB</t>
  </si>
  <si>
    <t>ONLINE AUGUST - French Level 06 - Group B: 13h30 - 17h45 - SUMMER 2026</t>
  </si>
  <si>
    <t>060224-Lang-0016-EN-GB</t>
  </si>
  <si>
    <t>IN-PERSON BXL AUGUST - French Level 07 - Group A: 8h30 - 12h45 - SUMMER 2026</t>
  </si>
  <si>
    <t>060225-Lang-0011-EN-GB</t>
  </si>
  <si>
    <t>060225-La</t>
  </si>
  <si>
    <t>Estefania PEREZ PEREZ</t>
  </si>
  <si>
    <t>ONLINE AUGUST - French Level 07 - Group A: 8h30 - 12h45 - SUMMER 2026</t>
  </si>
  <si>
    <t>060225-Lang-0012-EN-GB</t>
  </si>
  <si>
    <t>ONLINE AUGUST - French Level 07 - Group C: 8h30 - 12h45 - SUMMER 2026</t>
  </si>
  <si>
    <t>060225-Lang-0013-EN-GB</t>
  </si>
  <si>
    <t>ONLINE AUGUST - French Level 07 - Group B: 13h30 - 17h45 - SUMMER 2026</t>
  </si>
  <si>
    <t>060225-Lang-0014-EN-GB</t>
  </si>
  <si>
    <t>IN-PERSON BXL AUGUST - French Level 07 - Group B: 13h30 - 17h45 - SUMMER 2026</t>
  </si>
  <si>
    <t>060225-Lang-0015-EN-GB</t>
  </si>
  <si>
    <t>ONLINE AUGUST - Dutch Level 02 - Group A: 8h30 - 12h45 - SUMMER 2026</t>
  </si>
  <si>
    <t>060260-Lang-0003-EN-GB</t>
  </si>
  <si>
    <t>060260-La</t>
  </si>
  <si>
    <t>ONLINE AUGUST - Dutch Level 03 - Group A: 13h30 - 17h45 - SUMMER 2026</t>
  </si>
  <si>
    <t>060267-Lang-0003-EN-GB</t>
  </si>
  <si>
    <t>060267-La</t>
  </si>
  <si>
    <t>ONLINE AUGUST - Dutch Level 04 - Group A: 8h30 - 12h45 - SUMMER 2026</t>
  </si>
  <si>
    <t>060268-Lang-0003-EN-GB</t>
  </si>
  <si>
    <t>060268-La</t>
  </si>
  <si>
    <t>ONLINE AUGUST - Dutch Level 07 - Group A: 13h30 - 17h45 - SUMMER 2026</t>
  </si>
  <si>
    <t>060271-Lang-0003-EN-GB</t>
  </si>
  <si>
    <t>060271-La</t>
  </si>
  <si>
    <t>ONLINE AUGUST - Italian Level 02 - Group A: 08h30 - 12h45 - SUMMER 2026</t>
  </si>
  <si>
    <t>060272-Lang-0006-EN-GB</t>
  </si>
  <si>
    <t>060272-La</t>
  </si>
  <si>
    <t>Kathleen CHRISTIAENS</t>
  </si>
  <si>
    <t>ONLINE AUGUST - Italian Level 03 - Group A: 13h30 - 17h45 - SUMMER 2026</t>
  </si>
  <si>
    <t>060273-Lang-0006-EN-GB</t>
  </si>
  <si>
    <t>060273-La</t>
  </si>
  <si>
    <t>ONLINE AUGUST - English Level 05 - Group A: 8h30 - 12h45 - SUMMER 2026</t>
  </si>
  <si>
    <t>060275-Lang-0003-EN-GB</t>
  </si>
  <si>
    <t>060275-La</t>
  </si>
  <si>
    <t>Leonidia PAPASTATHI</t>
  </si>
  <si>
    <t>ONLINE AUGUST - English Level 06 - Group A: 8h30 - 12h45 - SUMMER 2026</t>
  </si>
  <si>
    <t>060276-Lang-0003-EN-GB</t>
  </si>
  <si>
    <t>060276-La</t>
  </si>
  <si>
    <t>Judith MAIER</t>
  </si>
  <si>
    <t>ONLINE AUGUST - English Level 07 - Group A: 13h30 - 17h45 - SUMMER 2026</t>
  </si>
  <si>
    <t>060277-Lang-0005-EN-GB</t>
  </si>
  <si>
    <t>060277-La</t>
  </si>
  <si>
    <t>ONLINE AUGUST - English Level 09 - Group A: 13h30 - 17h45 - SUMMER 2026</t>
  </si>
  <si>
    <t>060278-Lang-0007-EN-GB</t>
  </si>
  <si>
    <t>060278-La</t>
  </si>
  <si>
    <t>ONLINE AUGUST - English Level 11 - Group A: 13h30 - 17h45 - SUMMER 2026</t>
  </si>
  <si>
    <t>060279-Lang-0004-EN-GB</t>
  </si>
  <si>
    <t>060279-La</t>
  </si>
  <si>
    <t>ONLINE AUGUST - Dutch Level 05 - Group A: 13h30 - 17h45 - SUMMER 2026</t>
  </si>
  <si>
    <t>060302-Lang-0003-EN-GB</t>
  </si>
  <si>
    <t>060302-La</t>
  </si>
  <si>
    <t>ONLINE AUGUST - Dutch Level 06 - Group A: 8h30 - 12h45 - SUMMER 2026</t>
  </si>
  <si>
    <t>060304-Lang-0003-EN-GB</t>
  </si>
  <si>
    <t>060304-La</t>
  </si>
  <si>
    <t>ONLINE AUGUST - Italian Level 01 - Group A: 8h30 - 12h45 - SUMMER 2026</t>
  </si>
  <si>
    <t>060306-Lang-0006-EN-GB</t>
  </si>
  <si>
    <t>060306-La</t>
  </si>
  <si>
    <t>ONLINE AUGUST - Italian Level 01 - Group B: 13h30 - 17h45 - SUMMER 2026</t>
  </si>
  <si>
    <t>060306-Lang-0007-EN-GB</t>
  </si>
  <si>
    <t>ONLINE AUGUST - Italian Level 04 - Group A: 08h30 - 12h45 - SUMMER 2026</t>
  </si>
  <si>
    <t>060308-Lang-0005-EN-GB</t>
  </si>
  <si>
    <t>060308-La</t>
  </si>
  <si>
    <t>ONLINE AUGUST - English Level 03 - Group A: 8h30 - 12h45 - SUMMER 2026</t>
  </si>
  <si>
    <t>060344-Lang-0001-EN-GB</t>
  </si>
  <si>
    <t>060344-La</t>
  </si>
  <si>
    <t>ONLINE AUGUST - English Level 08 - Group A: 8h30 - 12h45 - SUMMER 2026</t>
  </si>
  <si>
    <t>060345-Lang-0005-EN-GB</t>
  </si>
  <si>
    <t>060345-La</t>
  </si>
  <si>
    <t>ONLINE AUGUST - English Level 10 - Group A: 13h30 - 17h45 - SUMMER 2026</t>
  </si>
  <si>
    <t>060346-Lang-0005-EN-GB</t>
  </si>
  <si>
    <t>060346-La</t>
  </si>
  <si>
    <t>ONLINE AUGUST - Italian Level 05 - Group A: 13h30 - 17h45 - SUMMER 2026</t>
  </si>
  <si>
    <t>060357-Lang-0004-EN-GB</t>
  </si>
  <si>
    <t>060357-La</t>
  </si>
  <si>
    <t>ONLINE AUGUST - Italian Level 06 - Group A: 08h30 - 12h45 - SUMMER 2026</t>
  </si>
  <si>
    <t>060359-Lang-0004-EN-GB</t>
  </si>
  <si>
    <t>060359-La</t>
  </si>
  <si>
    <t>IN-PERSON BXL AUGUST - French Level 10 - Group A: 8h30 - 12h45 - SUMMER 2026</t>
  </si>
  <si>
    <t>060372-Lang-0012-EN-GB</t>
  </si>
  <si>
    <t>060372-La</t>
  </si>
  <si>
    <t>ONLINE AUGUST - French Level 10 - Group A: 8h30 - 12h45 - SUMMER 2026</t>
  </si>
  <si>
    <t>060372-Lang-0013-EN-GB</t>
  </si>
  <si>
    <t>ONLINE AUGUST - French Level 10 - Group B: 13h30 - 17h45 - SUMMER 2026</t>
  </si>
  <si>
    <t>060372-Lang-0014-EN-GB</t>
  </si>
  <si>
    <t>ONLINE AUGUST - French Level 10 - Group C: 13h30 - 17h45 - SUMMER 2026</t>
  </si>
  <si>
    <t>060372-Lang-0015-EN-GB</t>
  </si>
  <si>
    <t>IN-PERSON BXL AUGUST - French Level 12 - Group A: 8h30 - 12h45 - SUMMER 2026</t>
  </si>
  <si>
    <t>060374-Lang-0005-EN-GB</t>
  </si>
  <si>
    <t>060374-La</t>
  </si>
  <si>
    <t>ONLINE AUGUST - French Level 12 - Group A: 8h30 - 12h45 - SUMMER 2026</t>
  </si>
  <si>
    <t>060374-Lang-0006-EN-GB</t>
  </si>
  <si>
    <t>ONLINE AUGUST - Spanish Level 03 - Group A: 8h30 - 12h45 - SUMMER 2026</t>
  </si>
  <si>
    <t>060379-Lang-0006-EN-GB</t>
  </si>
  <si>
    <t>060379-La</t>
  </si>
  <si>
    <t>ONLINE AUGUST - Spanish Level 03 - Group B: 13h30 - 17h45 - SUMMER 2026</t>
  </si>
  <si>
    <t>060379-Lang-0007-EN-GB</t>
  </si>
  <si>
    <t>ONLINE AUGUST - Italian Level 07 - Group A: 13h30 - 17h45 - SUMMER 2026</t>
  </si>
  <si>
    <t>060380-Lang-0004-EN-GB</t>
  </si>
  <si>
    <t>060380-La</t>
  </si>
  <si>
    <t>ONLINE AUGUST - Italian Level 08 - Group A: 08h30 - 12h45 - SUMMER 2026</t>
  </si>
  <si>
    <t>060383-Lang-0004-EN-GB</t>
  </si>
  <si>
    <t>060383-La</t>
  </si>
  <si>
    <t>IN-PERSON BXL AUGUST - French Level 08 - Group A: 8h30 - 12h45 - SUMMER 2026</t>
  </si>
  <si>
    <t>060403-Lang-0011-EN-GB</t>
  </si>
  <si>
    <t>060403-La</t>
  </si>
  <si>
    <t>ONLINE AUGUST - French Level 08 - Group A: 8h30 - 12h45 - SUMMER 2026</t>
  </si>
  <si>
    <t>060403-Lang-0012-EN-GB</t>
  </si>
  <si>
    <t>ONLINE AUGUST - French Level 08 - Group C: 8h30 - 12h45 - SUMMER 2026</t>
  </si>
  <si>
    <t>060403-Lang-0013-EN-GB</t>
  </si>
  <si>
    <t>ONLINE AUGUST - French Level 08 - Group B: 13h30 - 17h45 - SUMMER 2026</t>
  </si>
  <si>
    <t>060403-Lang-0014-EN-GB</t>
  </si>
  <si>
    <t>IN-PERSON BXL AUGUST - French Level 08 - Group B: 13h30 - 17h45 - SUMMER 2026</t>
  </si>
  <si>
    <t>060403-Lang-0015-EN-GB</t>
  </si>
  <si>
    <t>IN-PERSON BXL AUGUST - French Level 09 - Group A: 8h30 - 12h45 - SUMMER 2026</t>
  </si>
  <si>
    <t>060422-Lang-0010-EN-GB</t>
  </si>
  <si>
    <t>060422-La</t>
  </si>
  <si>
    <t>ONLINE AUGUST - French Level 09 - Group A: 8h30 - 12h45 - SUMMER 2026</t>
  </si>
  <si>
    <t>060422-Lang-0011-EN-GB</t>
  </si>
  <si>
    <t>ONLINE AUGUST - French Level 09 - Group C: 8h30 - 12h45 - SUMMER 2026</t>
  </si>
  <si>
    <t>060422-Lang-0012-EN-GB</t>
  </si>
  <si>
    <t>ONLINE AUGUST - French Level 09 - Group B: 13h30 - 17h45 - SUMMER 2026</t>
  </si>
  <si>
    <t>060422-Lang-0013-EN-GB</t>
  </si>
  <si>
    <t>IN-PERSON BXL AUGUST - French Level 09 - Group B: 13h30 - 17h45 - SUMMER 2026</t>
  </si>
  <si>
    <t>060422-Lang-0014-EN-GB</t>
  </si>
  <si>
    <t>IN-PERSON BXL AUGUST - French Level 11 - Group A: 13h30 - 17h45 - SUMMER 2026</t>
  </si>
  <si>
    <t>060424-Lang-0006-EN-GB</t>
  </si>
  <si>
    <t>060424-La</t>
  </si>
  <si>
    <t>ONLINE AUGUST - French Level 11 - Group A: 8h30 - 12h45 - SUMMER 2026</t>
  </si>
  <si>
    <t>060424-Lang-0007-EN-GB</t>
  </si>
  <si>
    <t>ONLINE AUGUST - French Level 11 - Group B: 13h30 - 17h45 - SUMMER 2026</t>
  </si>
  <si>
    <t>060424-Lang-0008-EN-GB</t>
  </si>
  <si>
    <t>ONLINE AUGUST - Spanish Level 01 - Group A: 8h30 - 12h45 - SUMMER 2026</t>
  </si>
  <si>
    <t>060431-Lang-0008-EN-GB</t>
  </si>
  <si>
    <t>060431-La</t>
  </si>
  <si>
    <t>ONLINE AUGUST - Spanish Level 01 - Group B: 8h30 - 12h45 - SUMMER 2026</t>
  </si>
  <si>
    <t>060431-Lang-0009-EN-GB</t>
  </si>
  <si>
    <t>ONLINE AUGUST - Spanish Level 01 - Group C: 13h30 - 17h45 - SUMMER 2026</t>
  </si>
  <si>
    <t>060431-Lang-0010-EN-GB</t>
  </si>
  <si>
    <t>IN-PERSON BXL AUGUST - Spanish Level 01 - Group A: 8h30 - 12h45 - SUMMER 2026</t>
  </si>
  <si>
    <t>060431-Lang-0011-EN-GB</t>
  </si>
  <si>
    <t>ONLINE AUGUST - Spanish Level 02 - Group A: 8h30 - 12h45 - SUMMER 2026</t>
  </si>
  <si>
    <t>060432-Lang-0005-EN-GB</t>
  </si>
  <si>
    <t>060432-La</t>
  </si>
  <si>
    <t>ONLINE AUGUST - Spanish Level 02 - Group B: 13h30 - 17h45 - SUMMER 2026</t>
  </si>
  <si>
    <t>060432-Lang-0006-EN-GB</t>
  </si>
  <si>
    <t>ONLINE AUGUST - Spanish Level 04 - Group A: 8h30 - 12h45 - SUMMER 2026</t>
  </si>
  <si>
    <t>060435-Lang-0005-EN-GB</t>
  </si>
  <si>
    <t>060435-La</t>
  </si>
  <si>
    <t>ONLINE AUGUST - Spanish Level 04 - Group B: 13h30 - 17h45 - SUMMER 2026</t>
  </si>
  <si>
    <t>060435-Lang-0006-EN-GB</t>
  </si>
  <si>
    <t>ONLINE AUGUST - Spanish Level 06 - Group A: 8h30 - 12h45 - SUMMER 2026</t>
  </si>
  <si>
    <t>060437-Lang-0007-EN-GB</t>
  </si>
  <si>
    <t>060437-La</t>
  </si>
  <si>
    <t>ONLINE AUGUST - Spanish Level 06 - Group B: 13h30 - 17h45 - SUMMER 2026</t>
  </si>
  <si>
    <t>060437-Lang-0008-EN-GB</t>
  </si>
  <si>
    <t>ONLINE AUGUST - Spanish Level 08 - Group A: 8h30 - 12h45 - SUMMER 2026</t>
  </si>
  <si>
    <t>060438-Lang-0005-EN-GB</t>
  </si>
  <si>
    <t>060438-La</t>
  </si>
  <si>
    <t>ONLINE AUGUST - Spanish Level 08 - Group B: 13h30 - 17h45 - SUMMER 2026</t>
  </si>
  <si>
    <t>060438-Lang-0006-EN-GB</t>
  </si>
  <si>
    <t>ONLINE AUGUST - Spanish Level 05 - Group A: 8h30 - 12h45 - SUMMER 2026</t>
  </si>
  <si>
    <t>060440-Lang-0006-EN-GB</t>
  </si>
  <si>
    <t>060440-La</t>
  </si>
  <si>
    <t>ONLINE AUGUST - Spanish Level 05 - Group B: 13h30 - 17h45 - SUMMER 2026</t>
  </si>
  <si>
    <t>060440-Lang-0007-EN-GB</t>
  </si>
  <si>
    <t>ONLINE AUGUST - Spanish Level 07 - Group A: 8h30 - 12h45 - SUMMER 2026</t>
  </si>
  <si>
    <t>060441-Lang-0006-EN-GB</t>
  </si>
  <si>
    <t>060441-La</t>
  </si>
  <si>
    <t>ONLINE AUGUST - German Level 05 - Group A: 13h30 - 17h45 - SUMMER 2026</t>
  </si>
  <si>
    <t>060445-Lang-0003-EN-GB</t>
  </si>
  <si>
    <t>060445-La</t>
  </si>
  <si>
    <t>Anne LYHNE PETERSEN</t>
  </si>
  <si>
    <t>ONLINE AUGUST - German Level 06 - Group A: 8h30 - 12h45 - SUMMER 2026</t>
  </si>
  <si>
    <t>060446-Lang-0003-EN-GB</t>
  </si>
  <si>
    <t>060446-La</t>
  </si>
  <si>
    <t>ONLINE AUGUST - German Level 07 - Group A: 13h30 - 17h45 - SUMMER 2026</t>
  </si>
  <si>
    <t>060447-Lang-0003-EN-GB</t>
  </si>
  <si>
    <t>060447-La</t>
  </si>
  <si>
    <t>ONLINE AUGUST - German Level 09 - Group A: 13h30 - 17h45 - SUMMER 2026</t>
  </si>
  <si>
    <t>060448-Lang-0003-EN-GB</t>
  </si>
  <si>
    <t>060448-La</t>
  </si>
  <si>
    <t>ONLINE AUGUST - German Level 10 - Group A: 8h30 - 12h45 - SUMMER 2026</t>
  </si>
  <si>
    <t>060449-Lang-0002-EN-GB</t>
  </si>
  <si>
    <t>060449-La</t>
  </si>
  <si>
    <t>ONLINE AUGUST - German Level 01 - Group A: 8h30 - 12h45 - SUMMER 2026</t>
  </si>
  <si>
    <t>060466-Lang-0004-EN-GB</t>
  </si>
  <si>
    <t>060466-La</t>
  </si>
  <si>
    <t>ONLINE AUGUST - German Level 01 - Group B: 13h30 - 17h45 - SUMMER 2026</t>
  </si>
  <si>
    <t>060466-Lang-0005-EN-GB</t>
  </si>
  <si>
    <t>ONLINE AUGUST - German Level 02 - Group A: 8h30 - 12h45 - SUMMER 2026</t>
  </si>
  <si>
    <t>060467-Lang-0003-EN-GB</t>
  </si>
  <si>
    <t>060467-La</t>
  </si>
  <si>
    <t>IN-PERSON BXL AUGUST - German Level 02 - Group A: 8h30 - 12h45 - SUMMER 2026</t>
  </si>
  <si>
    <t>060467-Lang-0004-EN-GB</t>
  </si>
  <si>
    <t>ONLINE AUGUST - German Level 03 - Group A: 13h30 - 17h45 - SUMMER 2026</t>
  </si>
  <si>
    <t>060468-Lang-0003-EN-GB</t>
  </si>
  <si>
    <t>060468-La</t>
  </si>
  <si>
    <t>ONLINE AUGUST - German Level 04 - Group A: 8h30 - 12h45 - SUMMER 2026</t>
  </si>
  <si>
    <t>060469-Lang-0003-EN-GB</t>
  </si>
  <si>
    <t>060469-La</t>
  </si>
  <si>
    <t>ONLINE AUGUST - German Level 08 - Group A: 8h30 - 12h45 - SUMMER 2026</t>
  </si>
  <si>
    <t>060470-Lang-0003-EN-GB</t>
  </si>
  <si>
    <t>060470-La</t>
  </si>
  <si>
    <t>PHILIPP HENNINGSEN</t>
  </si>
  <si>
    <t>MARIA CAROLA CRISCUOLO</t>
  </si>
  <si>
    <t>062966-EP</t>
  </si>
  <si>
    <t>063081-EP</t>
  </si>
  <si>
    <t>064080-DT</t>
  </si>
  <si>
    <t>Sergio TOTARO</t>
  </si>
  <si>
    <t>KAJA ŠTIH</t>
  </si>
  <si>
    <t>FRANZISKA ISRAEL</t>
  </si>
  <si>
    <t>066005-EP</t>
  </si>
  <si>
    <t>066042-EU</t>
  </si>
  <si>
    <t>Epso-eusa-8 --AT-- ec.europa.eu</t>
  </si>
  <si>
    <t>066043-EU</t>
  </si>
  <si>
    <t>066080-SG</t>
  </si>
  <si>
    <t>Mariana</t>
  </si>
  <si>
    <t>066621-EP</t>
  </si>
  <si>
    <t>067441-EP</t>
  </si>
  <si>
    <t>Intensive financial training for newly appointed middle and senior managers</t>
  </si>
  <si>
    <t>068740-SG</t>
  </si>
  <si>
    <t>068960-SG</t>
  </si>
  <si>
    <t>069076-EP</t>
  </si>
  <si>
    <t>069085-EP</t>
  </si>
  <si>
    <t>069088-RE</t>
  </si>
  <si>
    <t>REA-TRAINING@ec.europa.eu - REA TRAINING</t>
  </si>
  <si>
    <t>069124-DI</t>
  </si>
  <si>
    <t>069225-RE</t>
  </si>
  <si>
    <t>069226-EP</t>
  </si>
  <si>
    <t>Cybersecurity training for IT Security Correspondents APA</t>
  </si>
  <si>
    <t>069421-EP</t>
  </si>
  <si>
    <t>E MEP</t>
  </si>
  <si>
    <t>069477-EP</t>
  </si>
  <si>
    <t>ALIX COEUDEVEZ</t>
  </si>
  <si>
    <t>CYBERSECURITY AWARENESS</t>
  </si>
  <si>
    <t>069831-SG</t>
  </si>
  <si>
    <t>070008-EP</t>
  </si>
  <si>
    <t>PAVLINA ZAVADILOVA</t>
  </si>
  <si>
    <t>070317-Be</t>
  </si>
  <si>
    <t>HR-BEWELL ec.europa.eu - HR BE WELL mailbox</t>
  </si>
  <si>
    <t>070477-SG</t>
  </si>
  <si>
    <t>070487-DI</t>
  </si>
  <si>
    <t>070503-EP</t>
  </si>
  <si>
    <t>070615-EP</t>
  </si>
  <si>
    <t>070616-EP</t>
  </si>
  <si>
    <t>070805-EP</t>
  </si>
  <si>
    <t>070841-SG</t>
  </si>
  <si>
    <t>070994-SG</t>
  </si>
  <si>
    <t>071019-DI</t>
  </si>
  <si>
    <t>071159-CO</t>
  </si>
  <si>
    <t>071194-OP</t>
  </si>
  <si>
    <t>071296-SG</t>
  </si>
  <si>
    <t>071427-EP</t>
  </si>
  <si>
    <t>071436-SG</t>
  </si>
  <si>
    <t>071439-GE</t>
  </si>
  <si>
    <t>071569-EP</t>
  </si>
  <si>
    <t>071975-DI</t>
  </si>
  <si>
    <t>071976-DI</t>
  </si>
  <si>
    <t>Language courses &gt; Placement test</t>
  </si>
  <si>
    <t>072087-La</t>
  </si>
  <si>
    <t/>
  </si>
  <si>
    <t>072840-SG</t>
  </si>
  <si>
    <t>074601-SG</t>
  </si>
  <si>
    <t>074602-SG</t>
  </si>
  <si>
    <t>074703-SG</t>
  </si>
  <si>
    <t>ANNA CHRONOPOULOU</t>
  </si>
  <si>
    <t>074888-SG</t>
  </si>
  <si>
    <t>076083-EP-0003-EN-GB</t>
  </si>
  <si>
    <t>076083-EP</t>
  </si>
  <si>
    <t>076401-EP</t>
  </si>
  <si>
    <t>076660-SG</t>
  </si>
  <si>
    <t>076680-SC</t>
  </si>
  <si>
    <t>Sita NEGI</t>
  </si>
  <si>
    <t>077219-EP</t>
  </si>
  <si>
    <t>ANNA MARIA DE BIASE</t>
  </si>
  <si>
    <t>INES MOREIRA DE OLIVEIRA MOUTINHO FERREIRA</t>
  </si>
  <si>
    <t>Negotiations Skills</t>
  </si>
  <si>
    <t>078603-EP</t>
  </si>
  <si>
    <t>AI initiatives and tools at the EP</t>
  </si>
  <si>
    <t>078820-EP</t>
  </si>
  <si>
    <t>All you need to create good videos for your MEP</t>
  </si>
  <si>
    <t>078821-EP</t>
  </si>
  <si>
    <t>Draft and schedule content on Social Media</t>
  </si>
  <si>
    <t>078822-EP</t>
  </si>
  <si>
    <t>Enhance your design skills with Canva</t>
  </si>
  <si>
    <t>078824-EP</t>
  </si>
  <si>
    <t>Enhance your video-editing skills with Clipchamp</t>
  </si>
  <si>
    <t>078826-EP</t>
  </si>
  <si>
    <t>Learn to collaborate on Canva</t>
  </si>
  <si>
    <t>078827-EP</t>
  </si>
  <si>
    <t>078828-EP</t>
  </si>
  <si>
    <t xml:space="preserve">Managing accesses and delegations on social media  </t>
  </si>
  <si>
    <t>078829-EP</t>
  </si>
  <si>
    <t>Master mobile video recording with your Android phone</t>
  </si>
  <si>
    <t>078865-EP</t>
  </si>
  <si>
    <t xml:space="preserve">Master mobile video recording with your iPhone  </t>
  </si>
  <si>
    <t>078866-EP</t>
  </si>
  <si>
    <t>Outlook tips to save you time</t>
  </si>
  <si>
    <t>078867-EP</t>
  </si>
  <si>
    <t>Secure the data on your private devices Android</t>
  </si>
  <si>
    <t>078868-EP</t>
  </si>
  <si>
    <t>Teams for collaboration</t>
  </si>
  <si>
    <t>078869-EP</t>
  </si>
  <si>
    <t>Tips and tricks for prompting with AI</t>
  </si>
  <si>
    <t>078870-EP</t>
  </si>
  <si>
    <t>Secure the data on your private devices iPhone</t>
  </si>
  <si>
    <t>078871-EP</t>
  </si>
  <si>
    <t>079070-EP</t>
  </si>
  <si>
    <t>FMS Flash Session: E-Invoicing Processes</t>
  </si>
  <si>
    <t>079151-EP</t>
  </si>
  <si>
    <t>EP SAFE_0</t>
  </si>
  <si>
    <t>FMS and WebContracts Learning Path</t>
  </si>
  <si>
    <t>EP_007000</t>
  </si>
  <si>
    <t>Procurement Learning Path</t>
  </si>
  <si>
    <t>EP_007001</t>
  </si>
  <si>
    <t>Collection per EP competence &gt; Job specific &gt; Legal</t>
  </si>
  <si>
    <t>Conduct legal analysis</t>
  </si>
  <si>
    <t>EP_007040</t>
  </si>
  <si>
    <t>Facilitate legal compliance</t>
  </si>
  <si>
    <t>EP_007060</t>
  </si>
  <si>
    <t>Count of Full catalogue path</t>
  </si>
  <si>
    <t>Row Labels</t>
  </si>
  <si>
    <t>Count of Object name</t>
  </si>
  <si>
    <t>Grand Total</t>
  </si>
  <si>
    <t>Drop down</t>
  </si>
  <si>
    <t>GTT</t>
  </si>
  <si>
    <t>Philipp - requested changes</t>
  </si>
  <si>
    <t>Keep</t>
  </si>
  <si>
    <t>Carlos</t>
  </si>
  <si>
    <t>Philipp - done</t>
  </si>
  <si>
    <t>Removed</t>
  </si>
  <si>
    <t>Out</t>
  </si>
  <si>
    <t>Message send</t>
  </si>
  <si>
    <t>Forward to generic collection catalogue folder</t>
  </si>
  <si>
    <t>Adeline</t>
  </si>
  <si>
    <t>In - only one</t>
  </si>
  <si>
    <t>Kaja</t>
  </si>
  <si>
    <t>Annica</t>
  </si>
  <si>
    <t>A&amp;A</t>
  </si>
  <si>
    <t>mixed</t>
  </si>
  <si>
    <t>only placement tests +goFlu</t>
  </si>
  <si>
    <t>JMA</t>
  </si>
  <si>
    <t>Judith</t>
  </si>
  <si>
    <t>Mixed</t>
  </si>
  <si>
    <t>P30</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</si>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</sst>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trike/>
      <sz val="11"/>
      <color theme="1"/>
      <name val="Calibri"/>
      <family val="2"/>
      <scheme val="minor"/>
    </font>
    <font>
      <sz val="8"/>
      <name val="Calibri"/>
      <family val="2"/>
      <scheme val="minor"/>
    </font>
    <font>
      <sz val="11"/>
      <color rgb="FF242424"/>
      <name val="Aptos Narrow"/>
      <charset val="1"/>
    </font>
    <font>
      <sz val="11"/>
      <color rgb="FF000000"/>
      <name val="Calibri"/>
      <family val="2"/>
      <scheme val="minor"/>
    </font>
    <font>
      <u/>
      <sz val="11"/>
      <color theme="10"/>
      <name val="Calibri"/>
      <family val="2"/>
      <scheme val="minor"/>
    </font>
    <font>
      <sz val="11"/>
      <color rgb="FF000000"/>
      <name val="Calibri"/>
      <scheme val="minor"/>
    </font>
    <font>
      <sz val="11"/>
      <color rgb="FF000000"/>
      <name val="Europea"/>
    </font>
    <font>
      <sz val="11"/>
      <color rgb="FF000000"/>
      <name val="Europea"/>
      <family val="2"/>
    </font>
    <font>
      <sz val="11"/>
      <color rgb="FF000000"/>
      <name val="Calibri"/>
      <family val="2"/>
    </font>
    <font>
      <sz val="12"/>
      <color rgb="FF000000"/>
      <name val="Calibri"/>
      <family val="2"/>
    </font>
    <font>
      <sz val="12"/>
      <color theme="1"/>
      <name val="Calibri"/>
      <family val="2"/>
    </font>
    <font>
      <u/>
      <sz val="11"/>
      <color theme="1"/>
      <name val="Calibri"/>
      <family val="2"/>
      <scheme val="minor"/>
    </font>
    <font>
      <sz val="12"/>
      <color rgb="FF548235"/>
      <name val="Calibri"/>
      <family val="2"/>
    </font>
    <font>
      <sz val="11"/>
      <color theme="1"/>
      <name val="Calibri"/>
      <family val="2"/>
    </font>
    <font>
      <sz val="12"/>
      <color rgb="FF000000"/>
      <name val="Calibri"/>
    </font>
    <font>
      <sz val="11"/>
      <color theme="5"/>
      <name val="Calibri"/>
      <family val="2"/>
      <scheme val="minor"/>
    </font>
    <font>
      <sz val="11"/>
      <color rgb="FF000000"/>
      <name val="Calibri"/>
    </font>
    <font>
      <sz val="11"/>
      <color theme="1"/>
      <name val="Europea"/>
      <charset val="1"/>
    </font>
    <font>
      <sz val="11"/>
      <color theme="1"/>
      <name val="Calibri"/>
    </font>
    <font>
      <u/>
      <sz val="11"/>
      <color theme="10"/>
      <name val="Calibri"/>
    </font>
    <font>
      <sz val="11"/>
      <color rgb="FF353559"/>
      <name val="Calibri"/>
    </font>
    <font>
      <strike/>
      <sz val="11"/>
      <color theme="1"/>
      <name val="Calibri"/>
    </font>
    <font>
      <sz val="12"/>
      <color rgb="FF45525E"/>
      <name val="Calibri"/>
    </font>
    <font>
      <sz val="11"/>
      <name val="Calibri"/>
    </font>
    <font>
      <u/>
      <sz val="11"/>
      <color theme="1"/>
      <name val="Calibri"/>
    </font>
    <font>
      <sz val="12"/>
      <color theme="1"/>
      <name val="Calibri"/>
    </font>
    <font>
      <b/>
      <sz val="11"/>
      <color rgb="FF000000"/>
      <name val="Calibri"/>
    </font>
    <font>
      <sz val="11"/>
      <color rgb="FF242424"/>
      <name val="Calibri"/>
    </font>
    <font>
      <sz val="9"/>
      <color rgb="FF0B57D0"/>
      <name val="Calibri"/>
    </font>
    <font>
      <sz val="12"/>
      <color rgb="FF353559"/>
      <name val="Calibri"/>
    </font>
    <font>
      <strike/>
      <sz val="11"/>
      <color rgb="FF000000"/>
      <name val="Europea"/>
    </font>
    <font>
      <strike/>
      <u/>
      <sz val="11"/>
      <color theme="10"/>
      <name val="Calibri"/>
      <family val="2"/>
      <scheme val="minor"/>
    </font>
    <font>
      <strike/>
      <sz val="11"/>
      <color theme="1"/>
      <name val="Calibri"/>
      <scheme val="minor"/>
    </font>
    <font>
      <strike/>
      <sz val="11"/>
      <color rgb="FF000000"/>
      <name val="Calibri"/>
      <family val="2"/>
    </font>
    <font>
      <strike/>
      <sz val="11"/>
      <color rgb="FF000000"/>
      <name val="Calibri"/>
      <family val="2"/>
      <scheme val="minor"/>
    </font>
    <font>
      <sz val="11"/>
      <color theme="5"/>
      <name val="Calibri"/>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8" tint="0.79998168889431442"/>
        <bgColor theme="8" tint="0.79998168889431442"/>
      </patternFill>
    </fill>
    <fill>
      <patternFill patternType="solid">
        <fgColor theme="0"/>
        <bgColor indexed="64"/>
      </patternFill>
    </fill>
    <fill>
      <patternFill patternType="solid">
        <fgColor rgb="FFFFFFFF"/>
        <bgColor rgb="FF000000"/>
      </patternFill>
    </fill>
    <fill>
      <patternFill patternType="solid">
        <fgColor rgb="FFFFFFFF"/>
        <bgColor rgb="FFD9E1F2"/>
      </patternFill>
    </fill>
    <fill>
      <patternFill patternType="solid">
        <fgColor theme="7" tint="0.59999389629810485"/>
        <bgColor indexed="64"/>
      </patternFill>
    </fill>
    <fill>
      <patternFill patternType="solid">
        <fgColor rgb="FFFFFFFF"/>
        <bgColor indexed="64"/>
      </patternFill>
    </fill>
    <fill>
      <patternFill patternType="solid">
        <fgColor rgb="FFC0E4F5"/>
        <bgColor rgb="FFC0E4F5"/>
      </patternFill>
    </fill>
    <fill>
      <patternFill patternType="solid">
        <fgColor theme="5" tint="0.59999389629810485"/>
        <bgColor indexed="64"/>
      </patternFill>
    </fill>
    <fill>
      <patternFill patternType="solid">
        <fgColor theme="8" tint="0.79998168889431442"/>
        <bgColor indexed="64"/>
      </patternFill>
    </fill>
    <fill>
      <patternFill patternType="solid">
        <fgColor rgb="FFE87D7D"/>
        <bgColor indexed="64"/>
      </patternFill>
    </fill>
    <fill>
      <patternFill patternType="solid">
        <fgColor theme="5" tint="0.79998168889431442"/>
        <bgColor indexed="64"/>
      </patternFill>
    </fill>
    <fill>
      <patternFill patternType="solid">
        <fgColor rgb="FF5E8DF2"/>
        <bgColor indexed="64"/>
      </patternFill>
    </fill>
    <fill>
      <patternFill patternType="solid">
        <fgColor theme="9" tint="0.59999389629810485"/>
        <bgColor indexed="64"/>
      </patternFill>
    </fill>
    <fill>
      <patternFill patternType="solid">
        <fgColor rgb="FFE4B1FA"/>
        <bgColor indexed="64"/>
      </patternFill>
    </fill>
    <fill>
      <patternFill patternType="solid">
        <fgColor rgb="FFFFD1E6"/>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8CD195"/>
        <bgColor indexed="64"/>
      </patternFill>
    </fill>
    <fill>
      <patternFill patternType="solid">
        <fgColor rgb="FFA4E0CC"/>
        <bgColor indexed="64"/>
      </patternFill>
    </fill>
    <fill>
      <patternFill patternType="solid">
        <fgColor theme="3" tint="0.79998168889431442"/>
        <bgColor indexed="64"/>
      </patternFill>
    </fill>
    <fill>
      <patternFill patternType="solid">
        <fgColor theme="4"/>
        <bgColor indexed="64"/>
      </patternFill>
    </fill>
    <fill>
      <patternFill patternType="solid">
        <fgColor rgb="FFFBFBA3"/>
        <bgColor indexed="64"/>
      </patternFill>
    </fill>
    <fill>
      <patternFill patternType="solid">
        <fgColor rgb="FFFDA1C8"/>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8"/>
      </left>
      <right style="thin">
        <color theme="8"/>
      </right>
      <top style="thin">
        <color theme="8"/>
      </top>
      <bottom style="thin">
        <color theme="8"/>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style="thin">
        <color rgb="FF43AEE2"/>
      </left>
      <right/>
      <top style="thin">
        <color rgb="FF43AEE2"/>
      </top>
      <bottom style="thin">
        <color rgb="FF43AEE2"/>
      </bottom>
      <diagonal/>
    </border>
    <border>
      <left/>
      <right/>
      <top style="thin">
        <color rgb="FF43AEE2"/>
      </top>
      <bottom style="thin">
        <color rgb="FF43AEE2"/>
      </bottom>
      <diagonal/>
    </border>
    <border>
      <left/>
      <right style="thin">
        <color rgb="FF8EA9DB"/>
      </right>
      <top style="thin">
        <color rgb="FF8EA9DB"/>
      </top>
      <bottom style="thin">
        <color rgb="FF8EA9DB"/>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3" fillId="0" borderId="0" applyNumberFormat="0" applyFill="0" applyBorder="0" applyAlignment="0" applyProtection="0"/>
  </cellStyleXfs>
  <cellXfs count="214">
    <xf numFmtId="0" fontId="0" fillId="0" borderId="0" xfId="0"/>
    <xf numFmtId="14" fontId="0" fillId="0" borderId="0" xfId="0" applyNumberFormat="1"/>
    <xf numFmtId="22" fontId="0" fillId="0" borderId="0" xfId="0" applyNumberFormat="1"/>
    <xf numFmtId="0" fontId="19" fillId="0" borderId="0" xfId="0" applyFont="1"/>
    <xf numFmtId="14" fontId="19" fillId="0" borderId="0" xfId="0" applyNumberFormat="1" applyFont="1"/>
    <xf numFmtId="0" fontId="0" fillId="0" borderId="0" xfId="0" pivotButton="1"/>
    <xf numFmtId="22" fontId="19" fillId="0" borderId="0" xfId="0" applyNumberFormat="1" applyFont="1"/>
    <xf numFmtId="0" fontId="21" fillId="0" borderId="0" xfId="0" applyFont="1"/>
    <xf numFmtId="0" fontId="22" fillId="0" borderId="0" xfId="0" applyFont="1"/>
    <xf numFmtId="0" fontId="0" fillId="0" borderId="0" xfId="0" applyAlignment="1">
      <alignment horizontal="left"/>
    </xf>
    <xf numFmtId="0" fontId="0" fillId="34" borderId="10" xfId="0" applyFill="1" applyBorder="1"/>
    <xf numFmtId="0" fontId="0" fillId="0" borderId="11" xfId="0" applyBorder="1"/>
    <xf numFmtId="0" fontId="0" fillId="0" borderId="10" xfId="0" applyBorder="1"/>
    <xf numFmtId="0" fontId="23" fillId="0" borderId="0" xfId="42" applyAlignment="1">
      <alignment vertical="top" wrapText="1"/>
    </xf>
    <xf numFmtId="0" fontId="0" fillId="0" borderId="0" xfId="0" applyAlignment="1">
      <alignment vertical="top" wrapText="1"/>
    </xf>
    <xf numFmtId="0" fontId="0" fillId="0" borderId="0" xfId="0" applyAlignment="1">
      <alignment wrapText="1"/>
    </xf>
    <xf numFmtId="0" fontId="0" fillId="35" borderId="0" xfId="0" applyFill="1"/>
    <xf numFmtId="0" fontId="0" fillId="35" borderId="0" xfId="0" applyFill="1" applyAlignment="1">
      <alignment vertical="top" wrapText="1"/>
    </xf>
    <xf numFmtId="0" fontId="19" fillId="35" borderId="0" xfId="0" applyFont="1" applyFill="1"/>
    <xf numFmtId="14" fontId="19" fillId="35" borderId="0" xfId="0" applyNumberFormat="1" applyFont="1" applyFill="1"/>
    <xf numFmtId="0" fontId="0" fillId="36" borderId="0" xfId="0" applyFill="1"/>
    <xf numFmtId="0" fontId="0" fillId="37" borderId="0" xfId="0" applyFill="1"/>
    <xf numFmtId="0" fontId="23" fillId="0" borderId="0" xfId="42" applyFill="1" applyAlignment="1">
      <alignment vertical="top" wrapText="1"/>
    </xf>
    <xf numFmtId="0" fontId="0" fillId="0" borderId="12" xfId="0" applyBorder="1"/>
    <xf numFmtId="0" fontId="19" fillId="0" borderId="10" xfId="0" applyFont="1" applyBorder="1"/>
    <xf numFmtId="0" fontId="23" fillId="0" borderId="0" xfId="42" applyAlignment="1">
      <alignment wrapText="1"/>
    </xf>
    <xf numFmtId="0" fontId="21" fillId="0" borderId="0" xfId="0" applyFont="1" applyAlignment="1">
      <alignment vertical="top" wrapText="1"/>
    </xf>
    <xf numFmtId="0" fontId="0" fillId="38" borderId="13" xfId="0" applyFill="1" applyBorder="1" applyAlignment="1">
      <alignment vertical="top" wrapText="1"/>
    </xf>
    <xf numFmtId="0" fontId="23" fillId="0" borderId="12" xfId="42" applyFill="1" applyBorder="1" applyAlignment="1">
      <alignment vertical="top" wrapText="1"/>
    </xf>
    <xf numFmtId="0" fontId="25" fillId="0" borderId="0" xfId="0" applyFont="1"/>
    <xf numFmtId="0" fontId="25" fillId="35" borderId="0" xfId="0" applyFont="1" applyFill="1"/>
    <xf numFmtId="0" fontId="23" fillId="0" borderId="0" xfId="42" applyFill="1" applyAlignment="1">
      <alignment horizontal="center" vertical="center" wrapText="1"/>
    </xf>
    <xf numFmtId="0" fontId="25" fillId="0" borderId="0" xfId="0" applyFont="1" applyAlignment="1">
      <alignment vertical="top" wrapText="1"/>
    </xf>
    <xf numFmtId="0" fontId="0" fillId="34" borderId="12" xfId="0" applyFill="1" applyBorder="1"/>
    <xf numFmtId="0" fontId="26" fillId="0" borderId="0" xfId="0" applyFont="1"/>
    <xf numFmtId="0" fontId="27" fillId="0" borderId="0" xfId="0" applyFont="1"/>
    <xf numFmtId="0" fontId="28" fillId="0" borderId="0" xfId="0" applyFont="1" applyAlignment="1">
      <alignment wrapText="1"/>
    </xf>
    <xf numFmtId="0" fontId="23" fillId="0" borderId="0" xfId="42" applyFill="1" applyBorder="1" applyAlignment="1">
      <alignment wrapText="1"/>
    </xf>
    <xf numFmtId="0" fontId="28" fillId="0" borderId="0" xfId="0" applyFont="1"/>
    <xf numFmtId="0" fontId="28" fillId="40" borderId="0" xfId="0" applyFont="1" applyFill="1"/>
    <xf numFmtId="0" fontId="29" fillId="0" borderId="0" xfId="0" applyFont="1" applyAlignment="1">
      <alignment wrapText="1"/>
    </xf>
    <xf numFmtId="0" fontId="30" fillId="0" borderId="0" xfId="42" applyFont="1" applyFill="1" applyBorder="1" applyAlignment="1">
      <alignment wrapText="1"/>
    </xf>
    <xf numFmtId="0" fontId="29" fillId="0" borderId="0" xfId="0" applyFont="1"/>
    <xf numFmtId="0" fontId="29" fillId="40" borderId="0" xfId="0" applyFont="1" applyFill="1"/>
    <xf numFmtId="0" fontId="30" fillId="40" borderId="0" xfId="42" applyFont="1" applyFill="1" applyBorder="1" applyAlignment="1">
      <alignment wrapText="1"/>
    </xf>
    <xf numFmtId="0" fontId="28" fillId="0" borderId="0" xfId="0" quotePrefix="1" applyFont="1"/>
    <xf numFmtId="0" fontId="31" fillId="0" borderId="0" xfId="0" applyFont="1"/>
    <xf numFmtId="0" fontId="27" fillId="0" borderId="0" xfId="0" applyFont="1" applyAlignment="1">
      <alignment wrapText="1"/>
    </xf>
    <xf numFmtId="0" fontId="27" fillId="0" borderId="15" xfId="0" applyFont="1" applyBorder="1" applyAlignment="1">
      <alignment wrapText="1"/>
    </xf>
    <xf numFmtId="0" fontId="32" fillId="41" borderId="15" xfId="0" applyFont="1" applyFill="1" applyBorder="1" applyAlignment="1">
      <alignment wrapText="1"/>
    </xf>
    <xf numFmtId="0" fontId="32" fillId="0" borderId="15" xfId="0" applyFont="1" applyBorder="1" applyAlignment="1">
      <alignment wrapText="1"/>
    </xf>
    <xf numFmtId="0" fontId="27" fillId="41" borderId="15" xfId="0" applyFont="1" applyFill="1" applyBorder="1" applyAlignment="1">
      <alignment wrapText="1"/>
    </xf>
    <xf numFmtId="0" fontId="27" fillId="40" borderId="15" xfId="0" applyFont="1" applyFill="1" applyBorder="1" applyAlignment="1">
      <alignment wrapText="1"/>
    </xf>
    <xf numFmtId="0" fontId="33" fillId="0" borderId="0" xfId="0" applyFont="1" applyAlignment="1">
      <alignment wrapText="1"/>
    </xf>
    <xf numFmtId="0" fontId="0" fillId="39" borderId="0" xfId="0" applyFill="1"/>
    <xf numFmtId="0" fontId="34" fillId="0" borderId="0" xfId="0" applyFont="1"/>
    <xf numFmtId="0" fontId="34" fillId="0" borderId="0" xfId="0" applyFont="1" applyAlignment="1">
      <alignment vertical="top" wrapText="1"/>
    </xf>
    <xf numFmtId="0" fontId="14" fillId="33" borderId="11" xfId="0" applyFont="1" applyFill="1" applyBorder="1" applyAlignment="1">
      <alignment horizontal="left" vertical="center"/>
    </xf>
    <xf numFmtId="0" fontId="14" fillId="33" borderId="10" xfId="0" applyFont="1" applyFill="1" applyBorder="1" applyAlignment="1">
      <alignment horizontal="left" vertical="center"/>
    </xf>
    <xf numFmtId="0" fontId="18" fillId="0" borderId="0" xfId="0" applyFont="1" applyAlignment="1">
      <alignment vertical="center"/>
    </xf>
    <xf numFmtId="0" fontId="35" fillId="0" borderId="0" xfId="0" applyFont="1" applyAlignment="1">
      <alignment wrapText="1"/>
    </xf>
    <xf numFmtId="0" fontId="0" fillId="0" borderId="0" xfId="0" applyAlignment="1">
      <alignment horizontal="center"/>
    </xf>
    <xf numFmtId="0" fontId="28" fillId="0" borderId="0" xfId="0" applyFont="1" applyAlignment="1">
      <alignment horizontal="center"/>
    </xf>
    <xf numFmtId="0" fontId="28" fillId="40" borderId="0" xfId="0" applyFont="1" applyFill="1" applyAlignment="1">
      <alignment horizontal="center"/>
    </xf>
    <xf numFmtId="0" fontId="29" fillId="0" borderId="0" xfId="0" applyFont="1" applyAlignment="1">
      <alignment horizontal="center"/>
    </xf>
    <xf numFmtId="0" fontId="29" fillId="40" borderId="0" xfId="0" applyFont="1" applyFill="1" applyAlignment="1">
      <alignment horizontal="center"/>
    </xf>
    <xf numFmtId="0" fontId="31" fillId="0" borderId="0" xfId="0" applyFont="1" applyAlignment="1">
      <alignment horizontal="center"/>
    </xf>
    <xf numFmtId="0" fontId="34" fillId="0" borderId="0" xfId="0" applyFont="1" applyAlignment="1">
      <alignment horizontal="center"/>
    </xf>
    <xf numFmtId="0" fontId="0" fillId="35" borderId="0" xfId="0" applyFill="1" applyAlignment="1">
      <alignment horizontal="center"/>
    </xf>
    <xf numFmtId="0" fontId="25" fillId="0" borderId="0" xfId="0" applyFont="1" applyAlignment="1">
      <alignment wrapText="1"/>
    </xf>
    <xf numFmtId="0" fontId="0" fillId="0" borderId="0" xfId="0" applyAlignment="1">
      <alignment vertical="top"/>
    </xf>
    <xf numFmtId="0" fontId="34" fillId="0" borderId="0" xfId="0" applyFont="1" applyAlignment="1">
      <alignment vertical="top"/>
    </xf>
    <xf numFmtId="0" fontId="17" fillId="0" borderId="0" xfId="0" applyFont="1" applyAlignment="1">
      <alignment vertical="top"/>
    </xf>
    <xf numFmtId="14" fontId="0" fillId="0" borderId="10" xfId="0" applyNumberFormat="1" applyBorder="1" applyAlignment="1">
      <alignment vertical="top"/>
    </xf>
    <xf numFmtId="0" fontId="14" fillId="33" borderId="10" xfId="0" applyFont="1" applyFill="1" applyBorder="1" applyAlignment="1">
      <alignment horizontal="center" vertical="top"/>
    </xf>
    <xf numFmtId="0" fontId="35" fillId="0" borderId="0" xfId="0" applyFont="1" applyAlignment="1">
      <alignment vertical="top"/>
    </xf>
    <xf numFmtId="0" fontId="28" fillId="0" borderId="0" xfId="0" applyFont="1" applyAlignment="1">
      <alignment vertical="top"/>
    </xf>
    <xf numFmtId="0" fontId="27" fillId="0" borderId="0" xfId="0" applyFont="1" applyAlignment="1">
      <alignment vertical="top"/>
    </xf>
    <xf numFmtId="0" fontId="24" fillId="0" borderId="0" xfId="0" applyFont="1" applyAlignment="1">
      <alignment vertical="top"/>
    </xf>
    <xf numFmtId="0" fontId="37" fillId="45" borderId="11" xfId="0" applyFont="1" applyFill="1" applyBorder="1" applyAlignment="1">
      <alignment vertical="center"/>
    </xf>
    <xf numFmtId="0" fontId="37" fillId="0" borderId="10" xfId="0" applyFont="1" applyBorder="1" applyAlignment="1">
      <alignment vertical="center"/>
    </xf>
    <xf numFmtId="0" fontId="37" fillId="0" borderId="10" xfId="0" applyFont="1" applyBorder="1"/>
    <xf numFmtId="0" fontId="37" fillId="0" borderId="0" xfId="0" applyFont="1" applyAlignment="1">
      <alignment vertical="top"/>
    </xf>
    <xf numFmtId="0" fontId="37" fillId="0" borderId="0" xfId="0" applyFont="1" applyAlignment="1">
      <alignment vertical="top" wrapText="1"/>
    </xf>
    <xf numFmtId="0" fontId="38" fillId="0" borderId="0" xfId="42" applyFont="1" applyAlignment="1">
      <alignment vertical="top" wrapText="1"/>
    </xf>
    <xf numFmtId="0" fontId="37" fillId="0" borderId="0" xfId="0" applyFont="1" applyAlignment="1">
      <alignment horizontal="center" vertical="top" wrapText="1"/>
    </xf>
    <xf numFmtId="0" fontId="37" fillId="0" borderId="0" xfId="0" applyFont="1" applyAlignment="1">
      <alignment horizontal="center" vertical="top"/>
    </xf>
    <xf numFmtId="0" fontId="35" fillId="39" borderId="0" xfId="0" applyFont="1" applyFill="1"/>
    <xf numFmtId="0" fontId="35" fillId="0" borderId="0" xfId="0" applyFont="1" applyAlignment="1">
      <alignment vertical="top" wrapText="1"/>
    </xf>
    <xf numFmtId="0" fontId="38" fillId="0" borderId="0" xfId="42" applyFont="1" applyAlignment="1">
      <alignment wrapText="1"/>
    </xf>
    <xf numFmtId="0" fontId="35" fillId="0" borderId="0" xfId="0" applyFont="1" applyAlignment="1">
      <alignment horizontal="center" wrapText="1"/>
    </xf>
    <xf numFmtId="0" fontId="37" fillId="0" borderId="17" xfId="0" applyFont="1" applyBorder="1" applyAlignment="1">
      <alignment wrapText="1"/>
    </xf>
    <xf numFmtId="0" fontId="35" fillId="0" borderId="0" xfId="0" quotePrefix="1" applyFont="1" applyAlignment="1">
      <alignment vertical="top"/>
    </xf>
    <xf numFmtId="0" fontId="35" fillId="39" borderId="17" xfId="0" applyFont="1" applyFill="1" applyBorder="1" applyAlignment="1">
      <alignment wrapText="1"/>
    </xf>
    <xf numFmtId="0" fontId="35" fillId="39" borderId="0" xfId="0" applyFont="1" applyFill="1" applyAlignment="1">
      <alignment vertical="top"/>
    </xf>
    <xf numFmtId="0" fontId="37" fillId="39" borderId="10" xfId="0" applyFont="1" applyFill="1" applyBorder="1"/>
    <xf numFmtId="0" fontId="37" fillId="39" borderId="0" xfId="0" applyFont="1" applyFill="1" applyAlignment="1">
      <alignment vertical="top"/>
    </xf>
    <xf numFmtId="0" fontId="37" fillId="39" borderId="0" xfId="0" applyFont="1" applyFill="1" applyAlignment="1">
      <alignment horizontal="center" vertical="top"/>
    </xf>
    <xf numFmtId="0" fontId="37" fillId="0" borderId="0" xfId="0" applyFont="1"/>
    <xf numFmtId="0" fontId="40" fillId="39" borderId="10" xfId="0" applyFont="1" applyFill="1" applyBorder="1"/>
    <xf numFmtId="0" fontId="38" fillId="0" borderId="0" xfId="42" applyFont="1" applyFill="1" applyAlignment="1">
      <alignment vertical="top" wrapText="1"/>
    </xf>
    <xf numFmtId="0" fontId="46" fillId="0" borderId="0" xfId="0" applyFont="1" applyAlignment="1">
      <alignment vertical="top" wrapText="1"/>
    </xf>
    <xf numFmtId="0" fontId="35" fillId="0" borderId="0" xfId="0" applyFont="1"/>
    <xf numFmtId="0" fontId="38" fillId="0" borderId="0" xfId="42" applyFont="1" applyBorder="1" applyAlignment="1">
      <alignment wrapText="1"/>
    </xf>
    <xf numFmtId="0" fontId="35" fillId="0" borderId="0" xfId="0" quotePrefix="1" applyFont="1"/>
    <xf numFmtId="0" fontId="35" fillId="0" borderId="0" xfId="0" applyFont="1" applyAlignment="1">
      <alignment horizontal="center"/>
    </xf>
    <xf numFmtId="0" fontId="37" fillId="0" borderId="12" xfId="0" applyFont="1" applyBorder="1" applyAlignment="1">
      <alignment vertical="center"/>
    </xf>
    <xf numFmtId="0" fontId="37" fillId="0" borderId="12" xfId="0" applyFont="1" applyBorder="1"/>
    <xf numFmtId="0" fontId="37" fillId="0" borderId="0" xfId="0" applyFont="1" applyAlignment="1">
      <alignment horizontal="center"/>
    </xf>
    <xf numFmtId="0" fontId="35" fillId="39" borderId="15" xfId="0" applyFont="1" applyFill="1" applyBorder="1"/>
    <xf numFmtId="0" fontId="35" fillId="39" borderId="15" xfId="0" applyFont="1" applyFill="1" applyBorder="1" applyAlignment="1">
      <alignment vertical="top"/>
    </xf>
    <xf numFmtId="0" fontId="47" fillId="43" borderId="0" xfId="0" applyFont="1" applyFill="1" applyAlignment="1">
      <alignment wrapText="1"/>
    </xf>
    <xf numFmtId="0" fontId="37" fillId="0" borderId="10" xfId="0" applyFont="1" applyBorder="1" applyAlignment="1">
      <alignment wrapText="1"/>
    </xf>
    <xf numFmtId="0" fontId="48" fillId="0" borderId="0" xfId="0" applyFont="1" applyAlignment="1">
      <alignment vertical="top" wrapText="1"/>
    </xf>
    <xf numFmtId="0" fontId="37" fillId="42" borderId="11" xfId="0" applyFont="1" applyFill="1" applyBorder="1" applyAlignment="1">
      <alignment vertical="center"/>
    </xf>
    <xf numFmtId="0" fontId="37" fillId="47" borderId="11" xfId="0" applyFont="1" applyFill="1" applyBorder="1" applyAlignment="1">
      <alignment vertical="center"/>
    </xf>
    <xf numFmtId="0" fontId="37" fillId="47" borderId="11" xfId="0" applyFont="1" applyFill="1" applyBorder="1" applyAlignment="1">
      <alignment vertical="center" wrapText="1"/>
    </xf>
    <xf numFmtId="0" fontId="35" fillId="0" borderId="15" xfId="0" applyFont="1" applyBorder="1" applyAlignment="1">
      <alignment vertical="center"/>
    </xf>
    <xf numFmtId="0" fontId="35" fillId="0" borderId="0" xfId="0" applyFont="1" applyAlignment="1">
      <alignment vertical="center"/>
    </xf>
    <xf numFmtId="0" fontId="35" fillId="0" borderId="0" xfId="0" applyFont="1" applyAlignment="1">
      <alignment vertical="center" wrapText="1"/>
    </xf>
    <xf numFmtId="0" fontId="38" fillId="0" borderId="0" xfId="42" applyFont="1" applyBorder="1" applyAlignment="1">
      <alignment vertical="center" wrapText="1"/>
    </xf>
    <xf numFmtId="0" fontId="37" fillId="48" borderId="11" xfId="0" applyFont="1" applyFill="1" applyBorder="1" applyAlignment="1">
      <alignment vertical="center"/>
    </xf>
    <xf numFmtId="0" fontId="0" fillId="49" borderId="11" xfId="0" applyFill="1" applyBorder="1" applyAlignment="1">
      <alignment vertical="center"/>
    </xf>
    <xf numFmtId="0" fontId="28" fillId="50" borderId="14" xfId="0" applyFont="1" applyFill="1" applyBorder="1" applyAlignment="1">
      <alignment vertical="center" wrapText="1"/>
    </xf>
    <xf numFmtId="0" fontId="29" fillId="50" borderId="14" xfId="0" applyFont="1" applyFill="1" applyBorder="1" applyAlignment="1">
      <alignment vertical="center" wrapText="1"/>
    </xf>
    <xf numFmtId="0" fontId="33" fillId="50" borderId="14" xfId="0" applyFont="1" applyFill="1" applyBorder="1" applyAlignment="1">
      <alignment vertical="center" wrapText="1"/>
    </xf>
    <xf numFmtId="0" fontId="0" fillId="51" borderId="11" xfId="0" applyFill="1" applyBorder="1" applyAlignment="1">
      <alignment vertical="center"/>
    </xf>
    <xf numFmtId="0" fontId="37" fillId="39" borderId="0" xfId="0" applyFont="1" applyFill="1" applyAlignment="1">
      <alignment vertical="center"/>
    </xf>
    <xf numFmtId="0" fontId="35" fillId="39" borderId="0" xfId="0" applyFont="1" applyFill="1" applyAlignment="1">
      <alignment vertical="center"/>
    </xf>
    <xf numFmtId="0" fontId="37" fillId="39" borderId="0" xfId="0" applyFont="1" applyFill="1" applyAlignment="1">
      <alignment horizontal="center" vertical="center"/>
    </xf>
    <xf numFmtId="0" fontId="19" fillId="0" borderId="0" xfId="0" applyFont="1" applyAlignment="1">
      <alignment vertical="top"/>
    </xf>
    <xf numFmtId="0" fontId="49" fillId="0" borderId="0" xfId="0" applyFont="1" applyAlignment="1">
      <alignment vertical="top" wrapText="1"/>
    </xf>
    <xf numFmtId="0" fontId="50" fillId="0" borderId="0" xfId="42" applyFont="1" applyFill="1" applyAlignment="1">
      <alignment vertical="top" wrapText="1"/>
    </xf>
    <xf numFmtId="0" fontId="50" fillId="0" borderId="0" xfId="42" applyFont="1" applyAlignment="1">
      <alignment vertical="top" wrapText="1"/>
    </xf>
    <xf numFmtId="0" fontId="19" fillId="0" borderId="0" xfId="0" applyFont="1" applyAlignment="1">
      <alignment horizontal="center"/>
    </xf>
    <xf numFmtId="0" fontId="19" fillId="0" borderId="11" xfId="0" applyFont="1" applyBorder="1" applyAlignment="1">
      <alignment vertical="center"/>
    </xf>
    <xf numFmtId="0" fontId="0" fillId="52" borderId="11" xfId="0" applyFill="1" applyBorder="1" applyAlignment="1">
      <alignment vertical="center"/>
    </xf>
    <xf numFmtId="0" fontId="37" fillId="0" borderId="0" xfId="0" applyFont="1" applyAlignment="1">
      <alignment vertical="center"/>
    </xf>
    <xf numFmtId="0" fontId="0" fillId="53" borderId="11" xfId="0" applyFill="1" applyBorder="1" applyAlignment="1">
      <alignment vertical="center"/>
    </xf>
    <xf numFmtId="0" fontId="0" fillId="54" borderId="11" xfId="0" applyFill="1" applyBorder="1" applyAlignment="1">
      <alignment vertical="center"/>
    </xf>
    <xf numFmtId="0" fontId="0" fillId="55" borderId="11" xfId="0" applyFill="1" applyBorder="1" applyAlignment="1">
      <alignment vertical="center"/>
    </xf>
    <xf numFmtId="0" fontId="0" fillId="56" borderId="11" xfId="0" applyFill="1" applyBorder="1"/>
    <xf numFmtId="0" fontId="0" fillId="57" borderId="11" xfId="0" applyFill="1" applyBorder="1" applyAlignment="1">
      <alignment vertical="center"/>
    </xf>
    <xf numFmtId="0" fontId="35" fillId="0" borderId="10" xfId="0" applyFont="1" applyBorder="1"/>
    <xf numFmtId="0" fontId="42" fillId="0" borderId="17" xfId="0" applyFont="1" applyBorder="1" applyAlignment="1">
      <alignment wrapText="1"/>
    </xf>
    <xf numFmtId="0" fontId="37" fillId="0" borderId="10" xfId="0" applyFont="1" applyBorder="1" applyAlignment="1">
      <alignment vertical="top"/>
    </xf>
    <xf numFmtId="0" fontId="36" fillId="0" borderId="0" xfId="0" applyFont="1"/>
    <xf numFmtId="0" fontId="0" fillId="0" borderId="10" xfId="0" applyBorder="1" applyAlignment="1">
      <alignment horizontal="left"/>
    </xf>
    <xf numFmtId="0" fontId="0" fillId="39" borderId="10" xfId="0" applyFill="1" applyBorder="1"/>
    <xf numFmtId="0" fontId="37" fillId="39" borderId="10" xfId="0" applyFont="1" applyFill="1" applyBorder="1" applyAlignment="1">
      <alignment vertical="top"/>
    </xf>
    <xf numFmtId="0" fontId="35" fillId="39" borderId="15" xfId="0" applyFont="1" applyFill="1" applyBorder="1" applyAlignment="1">
      <alignment vertical="center"/>
    </xf>
    <xf numFmtId="0" fontId="28" fillId="39" borderId="15" xfId="0" applyFont="1" applyFill="1" applyBorder="1" applyAlignment="1">
      <alignment wrapText="1"/>
    </xf>
    <xf numFmtId="0" fontId="29" fillId="39" borderId="15" xfId="0" applyFont="1" applyFill="1" applyBorder="1" applyAlignment="1">
      <alignment wrapText="1"/>
    </xf>
    <xf numFmtId="0" fontId="28" fillId="39" borderId="0" xfId="0" applyFont="1" applyFill="1" applyAlignment="1">
      <alignment wrapText="1"/>
    </xf>
    <xf numFmtId="0" fontId="28" fillId="39" borderId="0" xfId="0" applyFont="1" applyFill="1"/>
    <xf numFmtId="0" fontId="19" fillId="39" borderId="10" xfId="0" applyFont="1" applyFill="1" applyBorder="1"/>
    <xf numFmtId="0" fontId="34" fillId="39" borderId="0" xfId="0" applyFont="1" applyFill="1"/>
    <xf numFmtId="0" fontId="14" fillId="59" borderId="10" xfId="0" applyFont="1" applyFill="1" applyBorder="1" applyAlignment="1">
      <alignment horizontal="left" vertical="center"/>
    </xf>
    <xf numFmtId="0" fontId="28" fillId="0" borderId="0" xfId="0" applyFont="1" applyAlignment="1">
      <alignment vertical="top" wrapText="1"/>
    </xf>
    <xf numFmtId="0" fontId="29" fillId="0" borderId="0" xfId="0" applyFont="1" applyAlignment="1">
      <alignment vertical="top" wrapText="1"/>
    </xf>
    <xf numFmtId="0" fontId="38" fillId="0" borderId="18" xfId="42" applyFont="1" applyBorder="1" applyAlignment="1">
      <alignment vertical="top" wrapText="1"/>
    </xf>
    <xf numFmtId="0" fontId="38" fillId="0" borderId="0" xfId="42" applyFont="1" applyBorder="1" applyAlignment="1">
      <alignment vertical="top" wrapText="1"/>
    </xf>
    <xf numFmtId="0" fontId="18" fillId="39" borderId="0" xfId="0" applyFont="1" applyFill="1" applyAlignment="1">
      <alignment vertical="center"/>
    </xf>
    <xf numFmtId="0" fontId="35" fillId="47" borderId="16" xfId="0" applyFont="1" applyFill="1" applyBorder="1" applyAlignment="1">
      <alignment vertical="center" wrapText="1"/>
    </xf>
    <xf numFmtId="0" fontId="24" fillId="0" borderId="0" xfId="0" applyFont="1" applyAlignment="1">
      <alignment wrapText="1"/>
    </xf>
    <xf numFmtId="0" fontId="32" fillId="39" borderId="15" xfId="0" applyFont="1" applyFill="1" applyBorder="1" applyAlignment="1">
      <alignment wrapText="1"/>
    </xf>
    <xf numFmtId="0" fontId="32" fillId="0" borderId="0" xfId="0" applyFont="1" applyAlignment="1">
      <alignment vertical="top" wrapText="1"/>
    </xf>
    <xf numFmtId="0" fontId="32" fillId="0" borderId="0" xfId="0" applyFont="1" applyAlignment="1">
      <alignment wrapText="1"/>
    </xf>
    <xf numFmtId="0" fontId="32" fillId="0" borderId="0" xfId="0" applyFont="1"/>
    <xf numFmtId="0" fontId="32" fillId="0" borderId="0" xfId="0" applyFont="1" applyAlignment="1">
      <alignment horizontal="center"/>
    </xf>
    <xf numFmtId="0" fontId="19" fillId="58" borderId="11" xfId="0" applyFont="1" applyFill="1" applyBorder="1"/>
    <xf numFmtId="0" fontId="51" fillId="0" borderId="0" xfId="0" applyFont="1" applyAlignment="1">
      <alignment vertical="top" wrapText="1"/>
    </xf>
    <xf numFmtId="0" fontId="52" fillId="0" borderId="0" xfId="0" quotePrefix="1" applyFont="1"/>
    <xf numFmtId="0" fontId="19" fillId="0" borderId="0" xfId="0" applyFont="1" applyAlignment="1">
      <alignment vertical="top" wrapText="1"/>
    </xf>
    <xf numFmtId="0" fontId="53" fillId="0" borderId="0" xfId="0" applyFont="1"/>
    <xf numFmtId="0" fontId="19" fillId="0" borderId="0" xfId="0" applyFont="1" applyAlignment="1">
      <alignment wrapText="1"/>
    </xf>
    <xf numFmtId="0" fontId="15" fillId="0" borderId="10" xfId="0" applyFont="1" applyBorder="1" applyAlignment="1">
      <alignment wrapText="1"/>
    </xf>
    <xf numFmtId="0" fontId="15" fillId="0" borderId="10" xfId="0" applyFont="1" applyBorder="1" applyAlignment="1">
      <alignment horizontal="center" vertical="center"/>
    </xf>
    <xf numFmtId="0" fontId="54" fillId="0" borderId="0" xfId="0" applyFont="1" applyAlignment="1">
      <alignment wrapText="1"/>
    </xf>
    <xf numFmtId="0" fontId="24" fillId="0" borderId="0" xfId="0" applyFont="1"/>
    <xf numFmtId="0" fontId="14" fillId="33" borderId="10" xfId="0" applyFont="1" applyFill="1" applyBorder="1" applyAlignment="1">
      <alignment horizontal="center" vertical="center"/>
    </xf>
    <xf numFmtId="0" fontId="39" fillId="0" borderId="0" xfId="0" applyFont="1" applyAlignment="1">
      <alignment vertical="top"/>
    </xf>
    <xf numFmtId="0" fontId="38" fillId="0" borderId="0" xfId="42" applyFont="1" applyAlignment="1">
      <alignment vertical="top"/>
    </xf>
    <xf numFmtId="0" fontId="38" fillId="39" borderId="0" xfId="42" applyFont="1" applyFill="1" applyAlignment="1">
      <alignment vertical="center"/>
    </xf>
    <xf numFmtId="0" fontId="37" fillId="0" borderId="11" xfId="0" applyFont="1" applyBorder="1"/>
    <xf numFmtId="0" fontId="41" fillId="43" borderId="0" xfId="0" applyFont="1" applyFill="1" applyAlignment="1">
      <alignment vertical="top"/>
    </xf>
    <xf numFmtId="0" fontId="35" fillId="44" borderId="16" xfId="0" applyFont="1" applyFill="1" applyBorder="1" applyAlignment="1">
      <alignment vertical="center"/>
    </xf>
    <xf numFmtId="0" fontId="42" fillId="0" borderId="17" xfId="0" applyFont="1" applyBorder="1"/>
    <xf numFmtId="0" fontId="35" fillId="39" borderId="17" xfId="0" applyFont="1" applyFill="1" applyBorder="1"/>
    <xf numFmtId="0" fontId="38" fillId="0" borderId="0" xfId="42" applyFont="1" applyAlignment="1"/>
    <xf numFmtId="0" fontId="35" fillId="0" borderId="17" xfId="0" applyFont="1" applyBorder="1"/>
    <xf numFmtId="0" fontId="37" fillId="0" borderId="17" xfId="0" applyFont="1" applyBorder="1"/>
    <xf numFmtId="0" fontId="37" fillId="39" borderId="17" xfId="0" applyFont="1" applyFill="1" applyBorder="1"/>
    <xf numFmtId="0" fontId="43" fillId="0" borderId="0" xfId="42" applyFont="1" applyAlignment="1"/>
    <xf numFmtId="0" fontId="35" fillId="0" borderId="0" xfId="0" quotePrefix="1" applyFont="1" applyAlignment="1">
      <alignment horizontal="center" vertical="center"/>
    </xf>
    <xf numFmtId="0" fontId="38" fillId="39" borderId="0" xfId="42" applyFont="1" applyFill="1" applyAlignment="1"/>
    <xf numFmtId="0" fontId="35" fillId="39" borderId="0" xfId="0" quotePrefix="1" applyFont="1" applyFill="1" applyAlignment="1">
      <alignment horizontal="center" vertical="center"/>
    </xf>
    <xf numFmtId="0" fontId="35" fillId="39" borderId="0" xfId="0" applyFont="1" applyFill="1" applyAlignment="1">
      <alignment horizontal="center"/>
    </xf>
    <xf numFmtId="0" fontId="44" fillId="39" borderId="0" xfId="0" applyFont="1" applyFill="1" applyAlignment="1">
      <alignment vertical="top"/>
    </xf>
    <xf numFmtId="0" fontId="43" fillId="39" borderId="0" xfId="42" applyFont="1" applyFill="1" applyAlignment="1">
      <alignment vertical="top"/>
    </xf>
    <xf numFmtId="0" fontId="43" fillId="0" borderId="0" xfId="42" applyFont="1" applyAlignment="1">
      <alignment vertical="top"/>
    </xf>
    <xf numFmtId="0" fontId="23" fillId="0" borderId="0" xfId="42" applyAlignment="1">
      <alignment vertical="top"/>
    </xf>
    <xf numFmtId="0" fontId="35" fillId="44" borderId="16" xfId="0" applyFont="1" applyFill="1" applyBorder="1"/>
    <xf numFmtId="0" fontId="38" fillId="0" borderId="0" xfId="42" applyFont="1" applyFill="1" applyAlignment="1">
      <alignment vertical="top"/>
    </xf>
    <xf numFmtId="0" fontId="46" fillId="0" borderId="0" xfId="0" applyFont="1" applyAlignment="1">
      <alignment vertical="top"/>
    </xf>
    <xf numFmtId="0" fontId="35" fillId="0" borderId="0" xfId="0" applyFont="1" applyAlignment="1">
      <alignment horizontal="center" vertical="center"/>
    </xf>
    <xf numFmtId="0" fontId="37" fillId="0" borderId="12" xfId="0" applyFont="1" applyBorder="1" applyAlignment="1">
      <alignment vertical="top"/>
    </xf>
    <xf numFmtId="0" fontId="38" fillId="0" borderId="0" xfId="42" applyFont="1" applyFill="1" applyAlignment="1">
      <alignment horizontal="center" vertical="center"/>
    </xf>
    <xf numFmtId="0" fontId="37" fillId="46" borderId="11" xfId="0" applyFont="1" applyFill="1" applyBorder="1"/>
    <xf numFmtId="0" fontId="35" fillId="43" borderId="0" xfId="0" applyFont="1" applyFill="1" applyAlignment="1">
      <alignment vertical="center" wrapText="1"/>
    </xf>
    <xf numFmtId="0" fontId="0" fillId="60" borderId="0" xfId="0" applyFill="1"/>
    <xf numFmtId="0" fontId="0" fillId="61" borderId="0" xfId="0" applyFill="1"/>
    <xf numFmtId="0" fontId="1" fillId="0" borderId="0" xfId="0" applyFont="1" applyAlignment="1">
      <alignment vertical="top" wrapText="1"/>
    </xf>
    <xf numFmtId="0" fontId="1"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0" formatCode="General"/>
    </dxf>
    <dxf>
      <numFmt numFmtId="0" formatCode="General"/>
    </dxf>
    <dxf>
      <numFmt numFmtId="164" formatCode="dd/mm/yyyy"/>
    </dxf>
    <dxf>
      <numFmt numFmtId="165" formatCode="dd/mm/yyyy\ hh:mm"/>
    </dxf>
    <dxf>
      <numFmt numFmtId="165" formatCode="dd/mm/yyyy\ hh:mm"/>
    </dxf>
    <dxf>
      <fill>
        <patternFill>
          <bgColor theme="7" tint="0.79998168889431442"/>
        </patternFill>
      </fill>
    </dxf>
    <dxf>
      <font>
        <b val="0"/>
        <i val="0"/>
        <strike val="0"/>
        <condense val="0"/>
        <extend val="0"/>
        <outline val="0"/>
        <shadow val="0"/>
        <u val="none"/>
        <vertAlign val="baseline"/>
        <sz val="11"/>
        <color rgb="FF000000"/>
        <name val="Europe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numFmt numFmtId="164"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numFmt numFmtId="165" formatCode="dd/mm/yyyy\ hh:mm"/>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numFmt numFmtId="165" formatCode="dd/mm/yyyy\ hh:mm"/>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Europea"/>
        <family val="2"/>
        <scheme val="none"/>
      </font>
      <fill>
        <patternFill patternType="none">
          <fgColor indexed="64"/>
          <bgColor indexed="65"/>
        </patternFill>
      </fill>
      <alignment horizontal="general" vertical="bottom" textRotation="0" wrapText="0" indent="0" justifyLastLine="0" shrinkToFit="0" readingOrder="0"/>
    </dxf>
    <dxf>
      <numFmt numFmtId="0" formatCode="General"/>
    </dxf>
    <dxf>
      <numFmt numFmtId="164" formatCode="dd/mm/yyyy"/>
    </dxf>
    <dxf>
      <numFmt numFmtId="165" formatCode="dd/mm/yyyy\ hh:mm"/>
    </dxf>
    <dxf>
      <numFmt numFmtId="165" formatCode="dd/mm/yyyy\ hh:mm"/>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164" formatCode="dd/mm/yyyy"/>
    </dxf>
    <dxf>
      <numFmt numFmtId="165" formatCode="dd/mm/yyyy\ hh:mm"/>
    </dxf>
    <dxf>
      <numFmt numFmtId="164" formatCode="dd/mm/yyyy"/>
    </dxf>
    <dxf>
      <fill>
        <patternFill>
          <bgColor rgb="FFFFC7CE"/>
        </patternFill>
      </fill>
    </dxf>
    <dxf>
      <font>
        <color theme="1"/>
      </font>
      <fill>
        <patternFill>
          <bgColor rgb="FFC6EFCE"/>
        </patternFill>
      </fill>
    </dxf>
    <dxf>
      <numFmt numFmtId="0" formatCode="General"/>
    </dxf>
    <dxf>
      <numFmt numFmtId="0" formatCode="General"/>
    </dxf>
    <dxf>
      <numFmt numFmtId="164" formatCode="dd/mm/yyyy"/>
    </dxf>
    <dxf>
      <numFmt numFmtId="165" formatCode="dd/mm/yyyy\ hh:mm"/>
    </dxf>
    <dxf>
      <numFmt numFmtId="165" formatCode="dd/mm/yyyy\ hh:mm"/>
    </dxf>
    <dxf>
      <numFmt numFmtId="0" formatCode="General"/>
    </dxf>
    <dxf>
      <numFmt numFmtId="0" formatCode="General"/>
    </dxf>
  </dxfs>
  <tableStyles count="0" defaultTableStyle="TableStyleMedium2" defaultPivotStyle="PivotStyleLight16"/>
  <colors>
    <mruColors>
      <color rgb="FFFDA1C8"/>
      <color rgb="FFFBFBA3"/>
      <color rgb="FFE87DE8"/>
      <color rgb="FFE87DC6"/>
      <color rgb="FFE87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CF948801-0EAB-4CA4-B20B-92008F6234F1}">
    <Anchor>
      <Comment id="{3E29CBA7-52B7-4983-8BD8-678645D15189}"/>
    </Anchor>
    <History>
      <Event time="2026-02-04T09:56:49.32" id="{73983A33-CFA8-45EF-A8CF-509327F1E724}">
        <Attribution userId="S::adeline.chartol@ext.europarl.europa.eu::b3cd6b16-3849-4f4d-8c6c-36eee8177c05" userName="CHARTOL Adeline" userProvider="AD"/>
        <Anchor>
          <Comment id="{3E29CBA7-52B7-4983-8BD8-678645D15189}"/>
        </Anchor>
        <Create/>
      </Event>
      <Event time="2026-02-04T09:56:49.32" id="{3D2744B1-A03B-4091-970B-591E767C3A53}">
        <Attribution userId="S::adeline.chartol@ext.europarl.europa.eu::b3cd6b16-3849-4f4d-8c6c-36eee8177c05" userName="CHARTOL Adeline" userProvider="AD"/>
        <Anchor>
          <Comment id="{3E29CBA7-52B7-4983-8BD8-678645D15189}"/>
        </Anchor>
        <Assign userId="S::carlos.zanoli@europarl.europa.eu::67b254d1-751a-4cf0-975e-7a11bef1b7e1" userName="ZANOLI Carlos" userProvider="AD"/>
      </Event>
      <Event time="2026-02-04T09:56:49.32" id="{243A8C00-E06B-433B-8C22-557DE4CDB549}">
        <Attribution userId="S::adeline.chartol@ext.europarl.europa.eu::b3cd6b16-3849-4f4d-8c6c-36eee8177c05" userName="CHARTOL Adeline" userProvider="AD"/>
        <Anchor>
          <Comment id="{3E29CBA7-52B7-4983-8BD8-678645D15189}"/>
        </Anchor>
        <SetTitle title="@ZANOLI Carlos The course template needs a subtitle"/>
      </Event>
      <Event time="2026-02-12T15:48:28.35" id="{CCC15FDE-F36D-491F-811C-7D85AF988EA2}">
        <Attribution userId="S::carlos.zanoli@europarl.europa.eu::67b254d1-751a-4cf0-975e-7a11bef1b7e1" userName="ZANOLI Carlos" userProvider="AD"/>
        <Progress percentComplete="100"/>
      </Event>
    </History>
  </Task>
  <Task id="{A7CBB403-F9E7-4B41-B08C-81A661C3EA48}">
    <Anchor>
      <Comment id="{39D45C5B-EBCB-44B5-B65A-26001E9A9B0D}"/>
    </Anchor>
    <History>
      <Event time="2026-02-13T11:59:59.42" id="{D8ABC00A-4F92-4A7F-BCFF-C19F37D60C6F}">
        <Attribution userId="S::philipp.henningsen@europarl.europa.eu::c71fb78c-8e8a-4f3a-a419-4af985ccfba2" userName="HENNINGSEN Philipp Alexander" userProvider="AD"/>
        <Anchor>
          <Comment id="{39D45C5B-EBCB-44B5-B65A-26001E9A9B0D}"/>
        </Anchor>
        <Create/>
      </Event>
      <Event time="2026-02-13T11:59:59.42" id="{0DDC48C0-4F4B-45FB-83B7-62F5F320B74A}">
        <Attribution userId="S::philipp.henningsen@europarl.europa.eu::c71fb78c-8e8a-4f3a-a419-4af985ccfba2" userName="HENNINGSEN Philipp Alexander" userProvider="AD"/>
        <Anchor>
          <Comment id="{39D45C5B-EBCB-44B5-B65A-26001E9A9B0D}"/>
        </Anchor>
        <Assign userId="S::veselina.goleminova@europarl.europa.eu::d10f0c31-1772-4c33-b0e8-3398730f27e7" userName="GOLEMINOVA Veselina" userProvider="AD"/>
      </Event>
      <Event time="2026-02-13T11:59:59.42" id="{FAA57A6C-415E-4FFD-B3C2-874937366B22}">
        <Attribution userId="S::philipp.henningsen@europarl.europa.eu::c71fb78c-8e8a-4f3a-a419-4af985ccfba2" userName="HENNINGSEN Philipp Alexander" userProvider="AD"/>
        <Anchor>
          <Comment id="{39D45C5B-EBCB-44B5-B65A-26001E9A9B0D}"/>
        </Anchor>
        <SetTitle title="@GOLEMINOVA Veselina please update the subtitle and use learn.leard as CM. Will this course be organised again? if not, we could remove it from the catalogue."/>
      </Event>
      <Event time="2026-02-26T15:21:23.28" id="{6482352C-7374-4978-BB27-8EE0F3B45D55}">
        <Attribution userId="S::philipp.henningsen@europarl.europa.eu::c71fb78c-8e8a-4f3a-a419-4af985ccfba2" userName="HENNINGSEN Philipp Alexander" userProvider="AD"/>
        <Progress percentComplete="100"/>
      </Event>
    </History>
  </Task>
  <Task id="{2F662704-2696-414F-9B22-F198984A2692}">
    <Anchor>
      <Comment id="{A18E0A00-541A-484C-B391-F461D54CE686}"/>
    </Anchor>
    <History>
      <Event time="2026-02-13T11:44:39.25" id="{7C29374A-3972-4BA1-887E-F5C42F881044}">
        <Attribution userId="S::philipp.henningsen@europarl.europa.eu::c71fb78c-8e8a-4f3a-a419-4af985ccfba2" userName="HENNINGSEN Philipp Alexander" userProvider="AD"/>
        <Anchor>
          <Comment id="{A18E0A00-541A-484C-B391-F461D54CE686}"/>
        </Anchor>
        <Create/>
      </Event>
      <Event time="2026-02-13T11:44:39.25" id="{A833DF4B-1901-4100-A336-517A826BAA3B}">
        <Attribution userId="S::philipp.henningsen@europarl.europa.eu::c71fb78c-8e8a-4f3a-a419-4af985ccfba2" userName="HENNINGSEN Philipp Alexander" userProvider="AD"/>
        <Anchor>
          <Comment id="{A18E0A00-541A-484C-B391-F461D54CE686}"/>
        </Anchor>
        <Assign userId="S::veselina.goleminova@europarl.europa.eu::d10f0c31-1772-4c33-b0e8-3398730f27e7" userName="GOLEMINOVA Veselina" userProvider="AD"/>
      </Event>
      <Event time="2026-02-13T11:44:39.25" id="{503EE8E2-018C-4081-A6EA-412A6B20B371}">
        <Attribution userId="S::philipp.henningsen@europarl.europa.eu::c71fb78c-8e8a-4f3a-a419-4af985ccfba2" userName="HENNINGSEN Philipp Alexander" userProvider="AD"/>
        <Anchor>
          <Comment id="{A18E0A00-541A-484C-B391-F461D54CE686}"/>
        </Anchor>
        <SetTitle title="@GOLEMINOVA Veselina the french translation is missing. If you never organise it in French, please remove the language on the template. You could also consider updating the subtitle so it's in line with the other items published in the catalogue (…"/>
      </Event>
      <Event time="2026-02-26T15:17:51.64" id="{223DF06C-CD0C-4430-BA51-E692A4323804}">
        <Attribution userId="S::philipp.henningsen@europarl.europa.eu::c71fb78c-8e8a-4f3a-a419-4af985ccfba2" userName="HENNINGSEN Philipp Alexander" userProvider="AD"/>
        <Progress percentComplete="100"/>
      </Event>
    </History>
  </Task>
  <Task id="{42184A09-FE26-4FBF-94A2-7886CABCF4E3}">
    <Anchor>
      <Comment id="{8DD65BD4-87A7-46FB-8A5A-2E4CC6A5C871}"/>
    </Anchor>
    <History>
      <Event time="2026-02-12T09:08:35.11" id="{4ABFB5B9-89D3-44BA-A5EB-B6616DD083FC}">
        <Attribution userId="S::philipp.henningsen@europarl.europa.eu::c71fb78c-8e8a-4f3a-a419-4af985ccfba2" userName="HENNINGSEN Philipp Alexander" userProvider="AD"/>
        <Anchor>
          <Comment id="{56A6CB79-F04D-47BF-B7BF-EDC9630229F7}"/>
        </Anchor>
        <Create/>
      </Event>
      <Event time="2026-02-12T09:08:35.11" id="{77101779-744F-497D-BBBA-622F67A47E27}">
        <Attribution userId="S::philipp.henningsen@europarl.europa.eu::c71fb78c-8e8a-4f3a-a419-4af985ccfba2" userName="HENNINGSEN Philipp Alexander" userProvider="AD"/>
        <Anchor>
          <Comment id="{56A6CB79-F04D-47BF-B7BF-EDC9630229F7}"/>
        </Anchor>
        <Assign userId="S::viktoriya.krasteva@europarl.europa.eu::f10a207b-7d0f-44ad-bfb0-2ac6584b63f9" userName="KRASTEVA Viktoriya" userProvider="AD"/>
      </Event>
      <Event time="2026-02-12T09:08:35.11" id="{75A33137-05B1-46D3-9539-7C3B29DAA74D}">
        <Attribution userId="S::philipp.henningsen@europarl.europa.eu::c71fb78c-8e8a-4f3a-a419-4af985ccfba2" userName="HENNINGSEN Philipp Alexander" userProvider="AD"/>
        <Anchor>
          <Comment id="{56A6CB79-F04D-47BF-B7BF-EDC9630229F7}"/>
        </Anchor>
        <SetTitle title="@KRASTEVA Viktoriya please let me know if you need help"/>
      </Event>
      <Event time="2026-02-26T14:57:32.67" id="{D023A527-4E5A-4C75-BB71-C15E0B1B09B7}">
        <Attribution userId="S::philipp.henningsen@europarl.europa.eu::c71fb78c-8e8a-4f3a-a419-4af985ccfba2" userName="HENNINGSEN Philipp Alexander" userProvider="AD"/>
        <Progress percentComplete="100"/>
      </Event>
    </History>
  </Task>
  <Task id="{B733C809-BB1B-4475-87EC-F1040F0AC1D8}">
    <Anchor>
      <Comment id="{B275ED46-899F-4889-B536-92718C40F35F}"/>
    </Anchor>
    <History>
      <Event time="2026-02-04T09:11:05.44" id="{FB239658-E014-44D0-8F27-C8618BDF1FF4}">
        <Attribution userId="S::adeline.chartol@ext.europarl.europa.eu::b3cd6b16-3849-4f4d-8c6c-36eee8177c05" userName="CHARTOL Adeline" userProvider="AD"/>
        <Anchor>
          <Comment id="{B275ED46-899F-4889-B536-92718C40F35F}"/>
        </Anchor>
        <Create/>
      </Event>
      <Event time="2026-02-04T09:11:05.44" id="{23B885E1-587E-4AAF-A765-A2BF481B2AEA}">
        <Attribution userId="S::adeline.chartol@ext.europarl.europa.eu::b3cd6b16-3849-4f4d-8c6c-36eee8177c05" userName="CHARTOL Adeline" userProvider="AD"/>
        <Anchor>
          <Comment id="{B275ED46-899F-4889-B536-92718C40F35F}"/>
        </Anchor>
        <Assign userId="S::carlos.zanoli@europarl.europa.eu::67b254d1-751a-4cf0-975e-7a11bef1b7e1" userName="ZANOLI Carlos" userProvider="AD"/>
      </Event>
      <Event time="2026-02-04T09:11:05.44" id="{18442E87-E26E-4FB0-A7E9-91317A9AC118}">
        <Attribution userId="S::adeline.chartol@ext.europarl.europa.eu::b3cd6b16-3849-4f4d-8c6c-36eee8177c05" userName="CHARTOL Adeline" userProvider="AD"/>
        <Anchor>
          <Comment id="{B275ED46-899F-4889-B536-92718C40F35F}"/>
        </Anchor>
        <SetTitle title="@ZANOLI Carlos subtitle in template needs to be fixed"/>
      </Event>
      <Event time="2026-02-12T15:42:46.28" id="{03D20F3B-724A-47CF-B7EE-5E992CD0A75F}">
        <Attribution userId="S::carlos.zanoli@europarl.europa.eu::67b254d1-751a-4cf0-975e-7a11bef1b7e1" userName="ZANOLI Carlos" userProvider="AD"/>
        <Progress percentComplete="100"/>
      </Event>
    </History>
  </Task>
  <Task id="{9EC7330A-C62A-482E-85B2-30E1A299EC0A}">
    <Anchor>
      <Comment id="{9DFA333A-ACE8-426E-A58A-53EB924EA927}"/>
    </Anchor>
    <History>
      <Event time="2026-02-17T08:41:18.76" id="{420949F2-A553-488D-8886-41C72759D91A}">
        <Attribution userId="S::adeline.chartol@ext.europarl.europa.eu::b3cd6b16-3849-4f4d-8c6c-36eee8177c05" userName="CHARTOL Adeline" userProvider="AD"/>
        <Anchor>
          <Comment id="{9DFA333A-ACE8-426E-A58A-53EB924EA927}"/>
        </Anchor>
        <Create/>
      </Event>
      <Event time="2026-02-17T08:41:18.76" id="{EDF9F8B7-D0D5-484B-B86F-D241F3633D54}">
        <Attribution userId="S::adeline.chartol@ext.europarl.europa.eu::b3cd6b16-3849-4f4d-8c6c-36eee8177c05" userName="CHARTOL Adeline" userProvider="AD"/>
        <Anchor>
          <Comment id="{9DFA333A-ACE8-426E-A58A-53EB924EA927}"/>
        </Anchor>
        <Assign userId="S::viktoriya.krasteva@europarl.europa.eu::f10a207b-7d0f-44ad-bfb0-2ac6584b63f9" userName="KRASTEVA Viktoriya" userProvider="AD"/>
      </Event>
      <Event time="2026-02-17T08:41:18.76" id="{1F3F2B5E-E78B-43D2-BFA9-E4BCA835092E}">
        <Attribution userId="S::adeline.chartol@ext.europarl.europa.eu::b3cd6b16-3849-4f4d-8c6c-36eee8177c05" userName="CHARTOL Adeline" userProvider="AD"/>
        <Anchor>
          <Comment id="{9DFA333A-ACE8-426E-A58A-53EB924EA927}"/>
        </Anchor>
        <SetTitle title="@KRASTEVA Viktoriya there should be a subtitle for this template Brussels/Luxembourg"/>
      </Event>
      <Event time="2026-02-26T15:09:01.94" id="{1B18A408-4D02-41C6-B0C5-A21BC1904133}">
        <Attribution userId="S::philipp.henningsen@europarl.europa.eu::c71fb78c-8e8a-4f3a-a419-4af985ccfba2" userName="HENNINGSEN Philipp Alexander" userProvider="AD"/>
        <Progress percentComplete="100"/>
      </Event>
    </History>
  </Task>
  <Task id="{3DF87F0B-1D7F-4982-AE6C-C83F7A746A53}">
    <Anchor>
      <Comment id="{3C93F98E-7B1D-4230-A493-F27AAF12A6A6}"/>
    </Anchor>
    <History>
      <Event time="2026-02-13T12:01:27.13" id="{DABB3731-1ACE-4D0E-AB51-6361477F7BA4}">
        <Attribution userId="S::adeline.chartol@ext.europarl.europa.eu::b3cd6b16-3849-4f4d-8c6c-36eee8177c05" userName="CHARTOL Adeline" userProvider="AD"/>
        <Anchor>
          <Comment id="{E1C06DCA-B78A-4FD6-AB4F-3BBECE905949}"/>
        </Anchor>
        <Create/>
      </Event>
      <Event time="2026-02-13T12:01:27.13" id="{920F12D5-A89D-4E3F-BB9B-93961FA5BFF7}">
        <Attribution userId="S::adeline.chartol@ext.europarl.europa.eu::b3cd6b16-3849-4f4d-8c6c-36eee8177c05" userName="CHARTOL Adeline" userProvider="AD"/>
        <Anchor>
          <Comment id="{E1C06DCA-B78A-4FD6-AB4F-3BBECE905949}"/>
        </Anchor>
        <Assign userId="S::carlos.zanoli@europarl.europa.eu::67b254d1-751a-4cf0-975e-7a11bef1b7e1" userName="ZANOLI Carlos" userProvider="AD"/>
      </Event>
      <Event time="2026-02-13T12:01:27.13" id="{2F3548C4-8175-40E5-BC90-B85EBC61AF8E}">
        <Attribution userId="S::adeline.chartol@ext.europarl.europa.eu::b3cd6b16-3849-4f4d-8c6c-36eee8177c05" userName="CHARTOL Adeline" userProvider="AD"/>
        <Anchor>
          <Comment id="{E1C06DCA-B78A-4FD6-AB4F-3BBECE905949}"/>
        </Anchor>
        <SetTitle title="@ZANOLI Carlos would you mind if i fixed this?"/>
      </Event>
      <Event time="2026-02-16T08:43:52.35" id="{CDC567F1-D332-4727-A8F5-C3AEAEAD3050}">
        <Attribution userId="S::carlos.zanoli@europarl.europa.eu::67b254d1-751a-4cf0-975e-7a11bef1b7e1" userName="ZANOLI Carlos" userProvider="AD"/>
        <Progress percentComplete="100"/>
      </Event>
    </History>
  </Task>
  <Task id="{77A8410D-76EC-454E-87AB-641B51841826}">
    <Anchor>
      <Comment id="{1E4B20CA-AC91-425F-99B1-800763056FC0}"/>
    </Anchor>
    <History>
      <Event time="2026-02-16T08:22:47.20" id="{C4E5145D-33D5-42D8-94E8-6B7C29A45A29}">
        <Attribution userId="S::adeline.chartol@ext.europarl.europa.eu::b3cd6b16-3849-4f4d-8c6c-36eee8177c05" userName="CHARTOL Adeline" userProvider="AD"/>
        <Anchor>
          <Comment id="{1E4B20CA-AC91-425F-99B1-800763056FC0}"/>
        </Anchor>
        <Create/>
      </Event>
      <Event time="2026-02-16T08:22:47.20" id="{6A690BD8-AB80-454D-AD10-B15B18694835}">
        <Attribution userId="S::adeline.chartol@ext.europarl.europa.eu::b3cd6b16-3849-4f4d-8c6c-36eee8177c05" userName="CHARTOL Adeline" userProvider="AD"/>
        <Anchor>
          <Comment id="{1E4B20CA-AC91-425F-99B1-800763056FC0}"/>
        </Anchor>
        <Assign userId="S::carlos.zanoli@europarl.europa.eu::67b254d1-751a-4cf0-975e-7a11bef1b7e1" userName="ZANOLI Carlos" userProvider="AD"/>
      </Event>
      <Event time="2026-02-16T08:22:47.20" id="{664B66F0-F001-4D7C-82BD-DF3C73DD61A1}">
        <Attribution userId="S::adeline.chartol@ext.europarl.europa.eu::b3cd6b16-3849-4f4d-8c6c-36eee8177c05" userName="CHARTOL Adeline" userProvider="AD"/>
        <Anchor>
          <Comment id="{1E4B20CA-AC91-425F-99B1-800763056FC0}"/>
        </Anchor>
        <SetTitle title="@ZANOLI Carlos titles in the template do not match"/>
      </Event>
      <Event time="2026-02-16T08:42:49.79" id="{2286B128-3BCF-4CFF-AD90-926F8498F6B6}">
        <Attribution userId="S::carlos.zanoli@europarl.europa.eu::67b254d1-751a-4cf0-975e-7a11bef1b7e1" userName="ZANOLI Carlos" userProvider="AD"/>
        <Progress percentComplete="100"/>
      </Event>
    </History>
  </Task>
  <Task id="{E2F2980E-E943-45E4-9AD2-1619DBDB1D84}">
    <Anchor>
      <Comment id="{671A43D8-CDAB-4D21-8061-F6FDC4187E87}"/>
    </Anchor>
    <History>
      <Event time="2026-02-06T14:13:10.74" id="{1ACFBF9A-4945-424A-8488-BD78B5E32956}">
        <Attribution userId="S::philipp.henningsen@europarl.europa.eu::c71fb78c-8e8a-4f3a-a419-4af985ccfba2" userName="HENNINGSEN Philipp Alexander" userProvider="AD"/>
        <Anchor>
          <Comment id="{9CA20FCA-24D4-46A7-A3F5-893CA37712D1}"/>
        </Anchor>
        <Create/>
      </Event>
      <Event time="2026-02-06T14:13:10.74" id="{A8D2D808-03B2-45A1-8EB6-E58CF096B4B0}">
        <Attribution userId="S::philipp.henningsen@europarl.europa.eu::c71fb78c-8e8a-4f3a-a419-4af985ccfba2" userName="HENNINGSEN Philipp Alexander" userProvider="AD"/>
        <Anchor>
          <Comment id="{9CA20FCA-24D4-46A7-A3F5-893CA37712D1}"/>
        </Anchor>
        <Assign userId="S::viktoriya.krasteva@europarl.europa.eu::f10a207b-7d0f-44ad-bfb0-2ac6584b63f9" userName="KRASTEVA Viktoriya" userProvider="AD"/>
      </Event>
      <Event time="2026-02-06T14:13:10.74" id="{A9268374-5F11-4223-8858-C9D0E9B7581F}">
        <Attribution userId="S::philipp.henningsen@europarl.europa.eu::c71fb78c-8e8a-4f3a-a419-4af985ccfba2" userName="HENNINGSEN Philipp Alexander" userProvider="AD"/>
        <Anchor>
          <Comment id="{9CA20FCA-24D4-46A7-A3F5-893CA37712D1}"/>
        </Anchor>
        <SetTitle title="I don't understand the comment, sorry!@KRASTEVA Viktoriya the template still exists: 072491-EP. Do you want to have it assigned to the catalogue folder &quot;communication competencies&quot;?"/>
      </Event>
      <Event time="2026-02-11T15:06:48.33" id="{D997B85C-41F0-4A5B-B069-E90741511A6B}">
        <Attribution userId="S::philipp.henningsen@europarl.europa.eu::c71fb78c-8e8a-4f3a-a419-4af985ccfba2" userName="HENNINGSEN Philipp Alexander" userProvider="AD"/>
        <Progress percentComplete="100"/>
      </Event>
    </History>
  </Task>
  <Task id="{A000B00F-3CD0-43F3-8B5A-B55525E36CCF}">
    <Anchor>
      <Comment id="{F4964608-5179-4FBF-8103-D788DB55AC79}"/>
    </Anchor>
    <History>
      <Event time="2026-02-04T11:09:00.58" id="{B0F98DC0-B4C3-47DA-94AF-320C5D315167}">
        <Attribution userId="S::adeline.chartol@ext.europarl.europa.eu::b3cd6b16-3849-4f4d-8c6c-36eee8177c05" userName="CHARTOL Adeline" userProvider="AD"/>
        <Anchor>
          <Comment id="{F4964608-5179-4FBF-8103-D788DB55AC79}"/>
        </Anchor>
        <Create/>
      </Event>
      <Event time="2026-02-04T11:09:00.58" id="{730AA484-EF35-4092-87A8-3BE35FE8B794}">
        <Attribution userId="S::adeline.chartol@ext.europarl.europa.eu::b3cd6b16-3849-4f4d-8c6c-36eee8177c05" userName="CHARTOL Adeline" userProvider="AD"/>
        <Anchor>
          <Comment id="{F4964608-5179-4FBF-8103-D788DB55AC79}"/>
        </Anchor>
        <Assign userId="S::carlos.zanoli@europarl.europa.eu::67b254d1-751a-4cf0-975e-7a11bef1b7e1" userName="ZANOLI Carlos" userProvider="AD"/>
      </Event>
      <Event time="2026-02-04T11:09:00.58" id="{237188E9-3604-4B34-9800-7DC7A0AB0F99}">
        <Attribution userId="S::adeline.chartol@ext.europarl.europa.eu::b3cd6b16-3849-4f4d-8c6c-36eee8177c05" userName="CHARTOL Adeline" userProvider="AD"/>
        <Anchor>
          <Comment id="{F4964608-5179-4FBF-8103-D788DB55AC79}"/>
        </Anchor>
        <SetTitle title="@ZANOLI Carlos subtitles are not correct in some of the courses and in the template. also titles are not correct in template."/>
      </Event>
      <Event time="2026-02-12T16:04:33.52" id="{7722984E-43FD-48BF-8370-0FF6EB552800}">
        <Attribution userId="S::carlos.zanoli@europarl.europa.eu::67b254d1-751a-4cf0-975e-7a11bef1b7e1" userName="ZANOLI Carlos" userProvider="AD"/>
        <Progress percentComplete="100"/>
      </Event>
    </History>
  </Task>
  <Task id="{1E00D00F-A72B-4BCB-8E1A-524F8B0D832A}">
    <Anchor>
      <Comment id="{91E42EFF-6283-4945-AA1D-E8EC24CD7EE4}"/>
    </Anchor>
    <History>
      <Event time="2026-02-12T10:38:22.56" id="{B7A64410-B8BD-44F3-AF60-4684A765A865}">
        <Attribution userId="S::philipp.henningsen@europarl.europa.eu::c71fb78c-8e8a-4f3a-a419-4af985ccfba2" userName="HENNINGSEN Philipp Alexander" userProvider="AD"/>
        <Anchor>
          <Comment id="{91E42EFF-6283-4945-AA1D-E8EC24CD7EE4}"/>
        </Anchor>
        <Create/>
      </Event>
      <Event time="2026-02-12T10:38:22.56" id="{2A43F237-EB8C-4EF2-85C6-57C50EFF4D69}">
        <Attribution userId="S::philipp.henningsen@europarl.europa.eu::c71fb78c-8e8a-4f3a-a419-4af985ccfba2" userName="HENNINGSEN Philipp Alexander" userProvider="AD"/>
        <Anchor>
          <Comment id="{91E42EFF-6283-4945-AA1D-E8EC24CD7EE4}"/>
        </Anchor>
        <Assign userId="S::katrin.gabelein@europarl.europa.eu::5ae54039-f750-4f1d-a5fd-e1b305f012f8" userName="GABELEIN-PAEHLER Katrin" userProvider="AD"/>
      </Event>
      <Event time="2026-02-12T10:38:22.56" id="{8FE011C0-E304-4A59-ACA7-223DEE11B56A}">
        <Attribution userId="S::philipp.henningsen@europarl.europa.eu::c71fb78c-8e8a-4f3a-a419-4af985ccfba2" userName="HENNINGSEN Philipp Alexander" userProvider="AD"/>
        <Anchor>
          <Comment id="{91E42EFF-6283-4945-AA1D-E8EC24CD7EE4}"/>
        </Anchor>
        <SetTitle title="@GABELEIN-PAEHLER Katrin please update subtitle to the location &quot;Brussels&quot; and use learn.lead as CM on the template"/>
      </Event>
      <Event time="2026-02-12T13:53:53.61" id="{6301DECD-905A-4C63-A45C-88033E9956AF}">
        <Attribution userId="S::kaja.stih@europarl.europa.eu::51fda843-ea10-4b80-9330-effdc0ee0af4" userName="ŠTIH Kaja" userProvider="AD"/>
        <Progress percentComplete="100"/>
      </Event>
    </History>
  </Task>
  <Task id="{7A5B8111-69ED-4466-92B1-349510906873}">
    <Anchor>
      <Comment id="{423893F2-9D2E-46C5-A483-FF31B66D5C02}"/>
    </Anchor>
    <History>
      <Event time="2026-02-12T09:30:34.17" id="{CD8EE837-6F19-46B7-89FE-9EA400802944}">
        <Attribution userId="S::philipp.henningsen@europarl.europa.eu::c71fb78c-8e8a-4f3a-a419-4af985ccfba2" userName="HENNINGSEN Philipp Alexander" userProvider="AD"/>
        <Anchor>
          <Comment id="{423893F2-9D2E-46C5-A483-FF31B66D5C02}"/>
        </Anchor>
        <Create/>
      </Event>
      <Event time="2026-02-12T09:30:34.17" id="{782CEEC5-8DAD-4BA6-BB14-A3043F530EEF}">
        <Attribution userId="S::philipp.henningsen@europarl.europa.eu::c71fb78c-8e8a-4f3a-a419-4af985ccfba2" userName="HENNINGSEN Philipp Alexander" userProvider="AD"/>
        <Anchor>
          <Comment id="{423893F2-9D2E-46C5-A483-FF31B66D5C02}"/>
        </Anchor>
        <Assign userId="S::carlos.zanoli@europarl.europa.eu::67b254d1-751a-4cf0-975e-7a11bef1b7e1" userName="ZANOLI Carlos" userProvider="AD"/>
      </Event>
      <Event time="2026-02-12T09:30:34.17" id="{92ABC570-F321-40AB-A40E-FECF52286E7A}">
        <Attribution userId="S::philipp.henningsen@europarl.europa.eu::c71fb78c-8e8a-4f3a-a419-4af985ccfba2" userName="HENNINGSEN Philipp Alexander" userProvider="AD"/>
        <Anchor>
          <Comment id="{423893F2-9D2E-46C5-A483-FF31B66D5C02}"/>
        </Anchor>
        <SetTitle title="@ZANOLI Carlos can we remove this? not organised since 2024"/>
      </Event>
      <Event time="2026-02-13T11:17:39.78" id="{709C5948-804B-41D9-9CAB-4E920986A2BB}">
        <Attribution userId="S::adeline.chartol@ext.europarl.europa.eu::b3cd6b16-3849-4f4d-8c6c-36eee8177c05" userName="CHARTOL Adeline" userProvider="AD"/>
        <Progress percentComplete="100"/>
      </Event>
    </History>
  </Task>
  <Task id="{A3A00E14-349C-4AE8-9BC2-50FDE9A04558}">
    <Anchor>
      <Comment id="{50F97BC3-0B32-4910-B691-71323795F7AD}"/>
    </Anchor>
    <History>
      <Event time="2026-02-17T08:31:46.94" id="{01C55B88-9934-4814-8AEB-7382F1BB00FB}">
        <Attribution userId="S::adeline.chartol@ext.europarl.europa.eu::b3cd6b16-3849-4f4d-8c6c-36eee8177c05" userName="CHARTOL Adeline" userProvider="AD"/>
        <Anchor>
          <Comment id="{50F97BC3-0B32-4910-B691-71323795F7AD}"/>
        </Anchor>
        <Create/>
      </Event>
      <Event time="2026-02-17T08:31:46.94" id="{C8440174-6D99-422D-969B-05C2466E016B}">
        <Attribution userId="S::adeline.chartol@ext.europarl.europa.eu::b3cd6b16-3849-4f4d-8c6c-36eee8177c05" userName="CHARTOL Adeline" userProvider="AD"/>
        <Anchor>
          <Comment id="{50F97BC3-0B32-4910-B691-71323795F7AD}"/>
        </Anchor>
        <Assign userId="S::annica.torneryd@europarl.europa.eu::81585dee-6f6c-4017-af65-2c3ebcebf001" userName="TORNERYD Annica" userProvider="AD"/>
      </Event>
      <Event time="2026-02-17T08:31:46.94" id="{5FF42FEA-2E2F-4A8D-BFD7-731BB9CA63F1}">
        <Attribution userId="S::adeline.chartol@ext.europarl.europa.eu::b3cd6b16-3849-4f4d-8c6c-36eee8177c05" userName="CHARTOL Adeline" userProvider="AD"/>
        <Anchor>
          <Comment id="{50F97BC3-0B32-4910-B691-71323795F7AD}"/>
        </Anchor>
        <SetTitle title="@TORNERYD Annica We are doing a catalogue cleanup for all courses in the Learn.EP catalogue. In this course, the subtitle should be &quot;Brussels/Luxembourg&quot; instead of &quot;City (Brussels/Luxembourg)&quot;. Thanks!"/>
      </Event>
      <Event time="2026-02-26T15:06:47.22" id="{98C6C293-96B4-456A-996C-B155CA50E83A}">
        <Attribution userId="S::philipp.henningsen@europarl.europa.eu::c71fb78c-8e8a-4f3a-a419-4af985ccfba2" userName="HENNINGSEN Philipp Alexander" userProvider="AD"/>
        <Progress percentComplete="100"/>
      </Event>
    </History>
  </Task>
  <Task id="{57DD131D-10DA-4FA1-9AB4-57DD60149ABD}">
    <Anchor>
      <Comment id="{D7678F09-70CE-4F12-AE19-7D4619AC2258}"/>
    </Anchor>
    <History>
      <Event time="2026-02-05T09:30:23.87" id="{07790485-7B31-496D-9E6F-D75FE856716B}">
        <Attribution userId="S::philipp.henningsen@europarl.europa.eu::c71fb78c-8e8a-4f3a-a419-4af985ccfba2" userName="HENNINGSEN Philipp Alexander" userProvider="AD"/>
        <Anchor>
          <Comment id="{D7678F09-70CE-4F12-AE19-7D4619AC2258}"/>
        </Anchor>
        <Create/>
      </Event>
      <Event time="2026-02-05T09:30:23.87" id="{B7BB35C6-1B6F-456B-B8D9-755FBCFB4349}">
        <Attribution userId="S::philipp.henningsen@europarl.europa.eu::c71fb78c-8e8a-4f3a-a419-4af985ccfba2" userName="HENNINGSEN Philipp Alexander" userProvider="AD"/>
        <Anchor>
          <Comment id="{D7678F09-70CE-4F12-AE19-7D4619AC2258}"/>
        </Anchor>
        <Assign userId="S::elodie.macler@europarl.europa.eu::bcd004a1-3db2-4e06-bbd8-69a91cd4236b" userName="MACLER Elodie" userProvider="AD"/>
      </Event>
      <Event time="2026-02-05T09:30:23.87" id="{C046F16A-7CCD-4542-A0A9-A09BC5E99839}">
        <Attribution userId="S::philipp.henningsen@europarl.europa.eu::c71fb78c-8e8a-4f3a-a419-4af985ccfba2" userName="HENNINGSEN Philipp Alexander" userProvider="AD"/>
        <Anchor>
          <Comment id="{D7678F09-70CE-4F12-AE19-7D4619AC2258}"/>
        </Anchor>
        <SetTitle title="@MACLER Elodie @KRAJCOVA Mariana Is this recording still relevant? Should it stay published in our catalogue?"/>
      </Event>
      <Event time="2026-02-05T11:18:41.16" id="{D9A02669-AB52-4A5D-88C9-A0E2006C054C}">
        <Attribution userId="S::philipp.henningsen@europarl.europa.eu::c71fb78c-8e8a-4f3a-a419-4af985ccfba2" userName="HENNINGSEN Philipp Alexander" userProvider="AD"/>
        <Progress percentComplete="100"/>
      </Event>
    </History>
  </Task>
  <Task id="{64D7C81E-B3F3-4F26-AE96-84FC3D53832F}">
    <Anchor>
      <Comment id="{1BE14E5F-A286-4D5F-90E5-2FAAC152AC77}"/>
    </Anchor>
    <History>
      <Event time="2026-02-10T15:12:07.87" id="{AEDC38C1-F0BE-4B85-AC6A-822EA57B97E1}">
        <Attribution userId="S::philipp.henningsen@europarl.europa.eu::c71fb78c-8e8a-4f3a-a419-4af985ccfba2" userName="HENNINGSEN Philipp Alexander" userProvider="AD"/>
        <Anchor>
          <Comment id="{1BE14E5F-A286-4D5F-90E5-2FAAC152AC77}"/>
        </Anchor>
        <Create/>
      </Event>
      <Event time="2026-02-10T15:12:07.87" id="{3C63CDD8-B362-4C9B-86C0-5C1D530A23E5}">
        <Attribution userId="S::philipp.henningsen@europarl.europa.eu::c71fb78c-8e8a-4f3a-a419-4af985ccfba2" userName="HENNINGSEN Philipp Alexander" userProvider="AD"/>
        <Anchor>
          <Comment id="{1BE14E5F-A286-4D5F-90E5-2FAAC152AC77}"/>
        </Anchor>
        <Assign userId="S::carlos.zanoli@europarl.europa.eu::67b254d1-751a-4cf0-975e-7a11bef1b7e1" userName="ZANOLI Carlos" userProvider="AD"/>
      </Event>
      <Event time="2026-02-10T15:12:07.87" id="{12C128FC-DAD1-4193-8837-062845D321EC}">
        <Attribution userId="S::philipp.henningsen@europarl.europa.eu::c71fb78c-8e8a-4f3a-a419-4af985ccfba2" userName="HENNINGSEN Philipp Alexander" userProvider="AD"/>
        <Anchor>
          <Comment id="{1BE14E5F-A286-4D5F-90E5-2FAAC152AC77}"/>
        </Anchor>
        <SetTitle title="@ZANOLI Carlos please use same name in Description and Course description. Please update subtitle"/>
      </Event>
      <Event time="2026-02-12T15:38:00.68" id="{7D395791-93A9-4A09-9A56-04D6B344BD8F}">
        <Attribution userId="S::carlos.zanoli@europarl.europa.eu::67b254d1-751a-4cf0-975e-7a11bef1b7e1" userName="ZANOLI Carlos" userProvider="AD"/>
        <Progress percentComplete="100"/>
      </Event>
    </History>
  </Task>
  <Task id="{239FF21E-536C-4423-84A2-3D0AD9B6D956}">
    <Anchor>
      <Comment id="{33ABB151-B615-4753-8EEA-40F21D80ED1A}"/>
    </Anchor>
    <History>
      <Event time="2026-02-06T09:54:57.70" id="{2499E371-FBEC-40BC-80B2-77EA33C66FE6}">
        <Attribution userId="S::kaja.stih@europarl.europa.eu::51fda843-ea10-4b80-9330-effdc0ee0af4" userName="ŠTIH Kaja" userProvider="AD"/>
        <Anchor>
          <Comment id="{33ABB151-B615-4753-8EEA-40F21D80ED1A}"/>
        </Anchor>
        <Create/>
      </Event>
      <Event time="2026-02-06T09:54:57.70" id="{A2D9B834-2AA3-4A6F-8670-506C91D7406C}">
        <Attribution userId="S::kaja.stih@europarl.europa.eu::51fda843-ea10-4b80-9330-effdc0ee0af4" userName="ŠTIH Kaja" userProvider="AD"/>
        <Anchor>
          <Comment id="{33ABB151-B615-4753-8EEA-40F21D80ED1A}"/>
        </Anchor>
        <Assign userId="S::ana.gallegogonzalez@ext.europarl.europa.eu::16b489f8-e8ac-47a0-b303-8735cf45cfcc" userName="GALLEGO GONZALEZ Ana" userProvider="AD"/>
      </Event>
      <Event time="2026-02-06T09:54:57.70" id="{95A1F3AA-2C2D-4406-B7E6-2A95A22180BA}">
        <Attribution userId="S::kaja.stih@europarl.europa.eu::51fda843-ea10-4b80-9330-effdc0ee0af4" userName="ŠTIH Kaja" userProvider="AD"/>
        <Anchor>
          <Comment id="{33ABB151-B615-4753-8EEA-40F21D80ED1A}"/>
        </Anchor>
        <SetTitle title="@GALLEGO GONZALEZ Ana subtitles are missing. Can you add &quot;Brussels/Luxembourg&quot; to the template and &quot;Brussels&quot; or &quot;Luxembourg&quot; to courses? I have disabled automatic updates already."/>
      </Event>
      <Event time="2026-02-06T16:41:13.67" id="{93D31E36-3BCF-4DC6-BF0A-AA7AA196559A}">
        <Attribution userId="S::ana.gallegogonzalez@ext.europarl.europa.eu::16b489f8-e8ac-47a0-b303-8735cf45cfcc" userName="GALLEGO GONZALEZ Ana" userProvider="AD"/>
        <Progress percentComplete="100"/>
      </Event>
      <Event time="2026-03-09T11:12:07.41" id="{F6606A58-EA5E-4883-B0F0-6BA126920972}">
        <Attribution userId="S::philipp.henningsen@europarl.europa.eu::c71fb78c-8e8a-4f3a-a419-4af985ccfba2" userName="HENNINGSEN Philipp Alexander" userProvider="AD"/>
        <Progress percentComplete="0"/>
      </Event>
      <Event time="2026-03-09T11:12:23.31" id="{61620F65-6043-49DA-8906-A5AB8C79F54D}">
        <Attribution userId="S::philipp.henningsen@europarl.europa.eu::c71fb78c-8e8a-4f3a-a419-4af985ccfba2" userName="HENNINGSEN Philipp Alexander" userProvider="AD"/>
        <Progress percentComplete="100"/>
      </Event>
    </History>
  </Task>
  <Task id="{C0861629-8881-4C33-BD27-12081850D254}">
    <Anchor>
      <Comment id="{1FFAD08A-80DC-4EBC-A102-1E8023256F35}"/>
    </Anchor>
    <History>
      <Event time="2026-02-04T09:28:04.65" id="{4A61A371-BCF7-4B35-B14A-163519063C47}">
        <Attribution userId="S::adeline.chartol@ext.europarl.europa.eu::b3cd6b16-3849-4f4d-8c6c-36eee8177c05" userName="CHARTOL Adeline" userProvider="AD"/>
        <Anchor>
          <Comment id="{1FFAD08A-80DC-4EBC-A102-1E8023256F35}"/>
        </Anchor>
        <Create/>
      </Event>
      <Event time="2026-02-04T09:28:04.65" id="{76E777BB-42FA-4897-943D-1EA9C19596C4}">
        <Attribution userId="S::adeline.chartol@ext.europarl.europa.eu::b3cd6b16-3849-4f4d-8c6c-36eee8177c05" userName="CHARTOL Adeline" userProvider="AD"/>
        <Anchor>
          <Comment id="{1FFAD08A-80DC-4EBC-A102-1E8023256F35}"/>
        </Anchor>
        <Assign userId="S::ioannis.viannis@europarl.europa.eu::1c1319b3-7c42-4b7d-99c7-62e6e68d4407" userName="VIANNIS Ioannis" userProvider="AD"/>
      </Event>
      <Event time="2026-02-04T09:28:04.65" id="{BC157B76-6DE6-49D6-9A2F-68A5BB14473B}">
        <Attribution userId="S::adeline.chartol@ext.europarl.europa.eu::b3cd6b16-3849-4f4d-8c6c-36eee8177c05" userName="CHARTOL Adeline" userProvider="AD"/>
        <Anchor>
          <Comment id="{1FFAD08A-80DC-4EBC-A102-1E8023256F35}"/>
        </Anchor>
        <SetTitle title="@VIANNIS Ioannis Should this course still be in the catalogue? If so, can you add a subtitle?"/>
      </Event>
      <Event time="2026-02-04T15:33:28.53" id="{771B7CAF-B820-4218-B64A-EA807F246D7B}">
        <Attribution userId="S::ioannis.viannis@europarl.europa.eu::1c1319b3-7c42-4b7d-99c7-62e6e68d4407" userName="VIANNIS Ioannis" userProvider="AD"/>
        <Anchor>
          <Comment id="{19609628-FE75-4851-A4C3-8A68A3643DCC}"/>
        </Anchor>
        <UnassignAll/>
      </Event>
      <Event time="2026-02-04T15:33:28.53" id="{22B1296F-6A01-4D23-BDA3-6D12A84DF461}">
        <Attribution userId="S::ioannis.viannis@europarl.europa.eu::1c1319b3-7c42-4b7d-99c7-62e6e68d4407" userName="VIANNIS Ioannis" userProvider="AD"/>
        <Anchor>
          <Comment id="{19609628-FE75-4851-A4C3-8A68A3643DCC}"/>
        </Anchor>
        <Assign userId="S::adelinemargueriterose.chartol@europarl.europa.eu::b3cd6b16-3849-4f4d-8c6c-36eee8177c05" userName="CHARTOL Adeline Marguerite Rose" userProvider="AD"/>
      </Event>
      <Event time="2026-02-13T11:13:40.45" id="{D91EBE88-7115-445D-A125-CA90EF5F0B36}">
        <Attribution userId="S::adeline.chartol@ext.europarl.europa.eu::b3cd6b16-3849-4f4d-8c6c-36eee8177c05" userName="CHARTOL Adeline" userProvider="AD"/>
        <Progress percentComplete="100"/>
      </Event>
    </History>
  </Task>
  <Task id="{F97E0B33-02A2-4276-B00C-7F04D3C31417}">
    <Anchor>
      <Comment id="{AB66EA2D-F84A-42C0-A1B7-7B40429FCE50}"/>
    </Anchor>
    <History>
      <Event time="2026-02-04T10:58:29.97" id="{F60396CE-52B2-46BF-B0F4-9730A9D4261B}">
        <Attribution userId="S::adeline.chartol@ext.europarl.europa.eu::b3cd6b16-3849-4f4d-8c6c-36eee8177c05" userName="CHARTOL Adeline" userProvider="AD"/>
        <Anchor>
          <Comment id="{AB66EA2D-F84A-42C0-A1B7-7B40429FCE50}"/>
        </Anchor>
        <Create/>
      </Event>
      <Event time="2026-02-04T10:58:29.97" id="{71546862-7C97-4CFA-828A-462FA27B5EFD}">
        <Attribution userId="S::adeline.chartol@ext.europarl.europa.eu::b3cd6b16-3849-4f4d-8c6c-36eee8177c05" userName="CHARTOL Adeline" userProvider="AD"/>
        <Anchor>
          <Comment id="{AB66EA2D-F84A-42C0-A1B7-7B40429FCE50}"/>
        </Anchor>
        <Assign userId="S::carlos.zanoli@europarl.europa.eu::67b254d1-751a-4cf0-975e-7a11bef1b7e1" userName="ZANOLI Carlos" userProvider="AD"/>
      </Event>
      <Event time="2026-02-04T10:58:29.97" id="{BED831F2-4338-4CB9-907C-EE673E2879AF}">
        <Attribution userId="S::adeline.chartol@ext.europarl.europa.eu::b3cd6b16-3849-4f4d-8c6c-36eee8177c05" userName="CHARTOL Adeline" userProvider="AD"/>
        <Anchor>
          <Comment id="{AB66EA2D-F84A-42C0-A1B7-7B40429FCE50}"/>
        </Anchor>
        <SetTitle title="@ZANOLI Carlos the template needs a subtitle"/>
      </Event>
      <Event time="2026-02-12T16:00:48.55" id="{3143838F-2DCC-44FB-9531-9003C7A94381}">
        <Attribution userId="S::carlos.zanoli@europarl.europa.eu::67b254d1-751a-4cf0-975e-7a11bef1b7e1" userName="ZANOLI Carlos" userProvider="AD"/>
        <Progress percentComplete="100"/>
      </Event>
    </History>
  </Task>
  <Task id="{6C4B8433-8BA8-439B-8952-744ADE0AB292}">
    <Anchor>
      <Comment id="{F352E79A-F8C2-4F5A-8DB8-102DBE8F740D}"/>
    </Anchor>
    <History>
      <Event time="2026-02-03T15:42:44.82" id="{1AE8A4FA-E863-4628-B19A-56F03433DAE3}">
        <Attribution userId="S::philipp.henningsen@europarl.europa.eu::c71fb78c-8e8a-4f3a-a419-4af985ccfba2" userName="HENNINGSEN Philipp Alexander" userProvider="AD"/>
        <Anchor>
          <Comment id="{F352E79A-F8C2-4F5A-8DB8-102DBE8F740D}"/>
        </Anchor>
        <Create/>
      </Event>
      <Event time="2026-02-03T15:42:44.82" id="{51A6C284-C7C7-4C36-A26D-64E74EE34E97}">
        <Attribution userId="S::philipp.henningsen@europarl.europa.eu::c71fb78c-8e8a-4f3a-a419-4af985ccfba2" userName="HENNINGSEN Philipp Alexander" userProvider="AD"/>
        <Anchor>
          <Comment id="{F352E79A-F8C2-4F5A-8DB8-102DBE8F740D}"/>
        </Anchor>
        <Assign userId="S::katrin.gabelein@europarl.europa.eu::5ae54039-f750-4f1d-a5fd-e1b305f012f8" userName="GABELEIN-PAEHLER Katrin" userProvider="AD"/>
      </Event>
      <Event time="2026-02-03T15:42:44.82" id="{4CC6CDC3-D8C2-4DB8-9F10-4245FF2CE2D6}">
        <Attribution userId="S::philipp.henningsen@europarl.europa.eu::c71fb78c-8e8a-4f3a-a419-4af985ccfba2" userName="HENNINGSEN Philipp Alexander" userProvider="AD"/>
        <Anchor>
          <Comment id="{F352E79A-F8C2-4F5A-8DB8-102DBE8F740D}"/>
        </Anchor>
        <SetTitle title="@GABELEIN-PAEHLER Katrin can this item (Peer learning: prepare for your next job in the EP) be removed from the catalogue?"/>
      </Event>
      <Event time="2026-02-04T08:19:34.86" id="{DDAED424-3FE1-4827-9C8F-B37BC75A9E69}">
        <Attribution userId="S::philipp.henningsen@europarl.europa.eu::c71fb78c-8e8a-4f3a-a419-4af985ccfba2" userName="HENNINGSEN Philipp Alexander" userProvider="AD"/>
        <Progress percentComplete="100"/>
      </Event>
    </History>
  </Task>
  <Task id="{14D0BD33-6E55-4C92-AB52-0BE85F269EAB}">
    <Anchor>
      <Comment id="{F64CFA8C-41D4-442D-B70C-FE986583F51B}"/>
    </Anchor>
    <History>
      <Event time="2026-02-12T09:32:41.69" id="{8954AF4A-AA71-43F6-848A-93BB76248BF5}">
        <Attribution userId="S::philipp.henningsen@europarl.europa.eu::c71fb78c-8e8a-4f3a-a419-4af985ccfba2" userName="HENNINGSEN Philipp Alexander" userProvider="AD"/>
        <Anchor>
          <Comment id="{F64CFA8C-41D4-442D-B70C-FE986583F51B}"/>
        </Anchor>
        <Create/>
      </Event>
      <Event time="2026-02-12T09:32:41.69" id="{A06C312C-EF41-49CE-B3E6-F8638A1D26AD}">
        <Attribution userId="S::philipp.henningsen@europarl.europa.eu::c71fb78c-8e8a-4f3a-a419-4af985ccfba2" userName="HENNINGSEN Philipp Alexander" userProvider="AD"/>
        <Anchor>
          <Comment id="{F64CFA8C-41D4-442D-B70C-FE986583F51B}"/>
        </Anchor>
        <Assign userId="S::carlos.zanoli@europarl.europa.eu::67b254d1-751a-4cf0-975e-7a11bef1b7e1" userName="ZANOLI Carlos" userProvider="AD"/>
      </Event>
      <Event time="2026-02-12T09:32:41.69" id="{DE2EE55C-141C-497C-912A-FDE9385FFBEC}">
        <Attribution userId="S::philipp.henningsen@europarl.europa.eu::c71fb78c-8e8a-4f3a-a419-4af985ccfba2" userName="HENNINGSEN Philipp Alexander" userProvider="AD"/>
        <Anchor>
          <Comment id="{F64CFA8C-41D4-442D-B70C-FE986583F51B}"/>
        </Anchor>
        <SetTitle title="@ZANOLI Carlos can we remove this? Not organised since 2025"/>
      </Event>
      <Event time="2026-02-12T16:06:35.96" id="{BBDDA29C-FC64-42F5-ADC8-6989F2AB270F}">
        <Attribution userId="S::carlos.zanoli@europarl.europa.eu::67b254d1-751a-4cf0-975e-7a11bef1b7e1" userName="ZANOLI Carlos" userProvider="AD"/>
        <Progress percentComplete="100"/>
      </Event>
    </History>
  </Task>
  <Task id="{162A0839-2054-4579-8508-B6DA27737100}">
    <Anchor>
      <Comment id="{10BE6C5D-AA0C-4D41-9F89-78C68E00304E}"/>
    </Anchor>
    <History>
      <Event time="2026-02-04T10:11:18.62" id="{70220363-607E-4FCC-ACDE-430522C76944}">
        <Attribution userId="S::philipp.henningsen@europarl.europa.eu::c71fb78c-8e8a-4f3a-a419-4af985ccfba2" userName="HENNINGSEN Philipp Alexander" userProvider="AD"/>
        <Anchor>
          <Comment id="{10BE6C5D-AA0C-4D41-9F89-78C68E00304E}"/>
        </Anchor>
        <Create/>
      </Event>
      <Event time="2026-02-04T10:11:18.62" id="{B10D3FFD-3188-4D8E-95A4-AFB77E1F3C24}">
        <Attribution userId="S::philipp.henningsen@europarl.europa.eu::c71fb78c-8e8a-4f3a-a419-4af985ccfba2" userName="HENNINGSEN Philipp Alexander" userProvider="AD"/>
        <Anchor>
          <Comment id="{10BE6C5D-AA0C-4D41-9F89-78C68E00304E}"/>
        </Anchor>
        <Assign userId="S::angela.lopezrivas@europarl.europa.eu::e30b3983-1aa6-4641-959c-945c017e970e" userName="LÓPEZ RIVAS Ángela" userProvider="AD"/>
      </Event>
      <Event time="2026-02-04T10:11:18.62" id="{ACC91163-A03A-43B3-947B-36434382DECE}">
        <Attribution userId="S::philipp.henningsen@europarl.europa.eu::c71fb78c-8e8a-4f3a-a419-4af985ccfba2" userName="HENNINGSEN Philipp Alexander" userProvider="AD"/>
        <Anchor>
          <Comment id="{10BE6C5D-AA0C-4D41-9F89-78C68E00304E}"/>
        </Anchor>
        <SetTitle title="@LÓPEZ RIVAS Ángela please check the names of the template. Currently Online :&quot;Clear language essentials: Introduction to clear language principles and guidelines&quot; and offline &quot;Clear language essentials&quot;. Also update subtitle of offline template to &quot;…"/>
      </Event>
      <Event time="2026-02-06T16:31:17.75" id="{630F31D8-517B-4553-A0E6-DB42500F8501}">
        <Attribution userId="S::philipp.henningsen@europarl.europa.eu::c71fb78c-8e8a-4f3a-a419-4af985ccfba2" userName="HENNINGSEN Philipp Alexander" userProvider="AD"/>
        <Progress percentComplete="100"/>
      </Event>
      <Event time="2026-03-09T14:41:56.44" id="{61330BF1-0BAD-41EE-B39B-FDF22396DEB2}">
        <Attribution userId="S::philipp.henningsen@europarl.europa.eu::c71fb78c-8e8a-4f3a-a419-4af985ccfba2" userName="HENNINGSEN Philipp Alexander" userProvider="AD"/>
        <Progress percentComplete="0"/>
      </Event>
      <Event time="2026-03-09T14:42:15.76" id="{23082C08-D81D-4FEB-8389-E03EDE573202}">
        <Attribution userId="S::philipp.henningsen@europarl.europa.eu::c71fb78c-8e8a-4f3a-a419-4af985ccfba2" userName="HENNINGSEN Philipp Alexander" userProvider="AD"/>
        <Progress percentComplete="100"/>
      </Event>
    </History>
  </Task>
  <Task id="{66D81539-2B29-4D5C-9837-D64B907726A6}">
    <Anchor>
      <Comment id="{1629D82C-694C-4D32-9F25-9852D5C80EDA}"/>
    </Anchor>
    <History>
      <Event time="2026-02-13T11:54:19.19" id="{02655A75-DEB0-454D-82AA-4901941015B6}">
        <Attribution userId="S::philipp.henningsen@europarl.europa.eu::c71fb78c-8e8a-4f3a-a419-4af985ccfba2" userName="HENNINGSEN Philipp Alexander" userProvider="AD"/>
        <Anchor>
          <Comment id="{1629D82C-694C-4D32-9F25-9852D5C80EDA}"/>
        </Anchor>
        <Create/>
      </Event>
      <Event time="2026-02-13T11:54:19.19" id="{61EFF5A3-ED68-4B95-9A91-2DB9783EAAEF}">
        <Attribution userId="S::philipp.henningsen@europarl.europa.eu::c71fb78c-8e8a-4f3a-a419-4af985ccfba2" userName="HENNINGSEN Philipp Alexander" userProvider="AD"/>
        <Anchor>
          <Comment id="{1629D82C-694C-4D32-9F25-9852D5C80EDA}"/>
        </Anchor>
        <Assign userId="S::veselina.goleminova@europarl.europa.eu::d10f0c31-1772-4c33-b0e8-3398730f27e7" userName="GOLEMINOVA Veselina" userProvider="AD"/>
      </Event>
      <Event time="2026-02-13T11:54:19.19" id="{3B99A480-633E-4B1B-BB5D-FCDD854B4A65}">
        <Attribution userId="S::philipp.henningsen@europarl.europa.eu::c71fb78c-8e8a-4f3a-a419-4af985ccfba2" userName="HENNINGSEN Philipp Alexander" userProvider="AD"/>
        <Anchor>
          <Comment id="{1629D82C-694C-4D32-9F25-9852D5C80EDA}"/>
        </Anchor>
        <SetTitle title="@GOLEMINOVA Veselina please update subtitle of the template to &quot;Brussels/Luxembourg&quot; and use learn.lead as cm."/>
      </Event>
      <Event time="2026-02-26T15:19:35.60" id="{998BE94D-0001-4AD6-AC2B-49BC24F11C4C}">
        <Attribution userId="S::philipp.henningsen@europarl.europa.eu::c71fb78c-8e8a-4f3a-a419-4af985ccfba2" userName="HENNINGSEN Philipp Alexander" userProvider="AD"/>
        <Progress percentComplete="100"/>
      </Event>
    </History>
  </Task>
  <Task id="{182A9839-F6B3-4527-AD1E-74DB311063E7}">
    <Anchor>
      <Comment id="{8EFABD88-0951-4931-9F3F-94481FAC734D}"/>
    </Anchor>
    <History>
      <Event time="2026-02-04T09:02:10.52" id="{B4727B9B-6F22-484B-8483-BA480EE56D56}">
        <Attribution userId="S::adeline.chartol@ext.europarl.europa.eu::b3cd6b16-3849-4f4d-8c6c-36eee8177c05" userName="CHARTOL Adeline" userProvider="AD"/>
        <Anchor>
          <Comment id="{8EFABD88-0951-4931-9F3F-94481FAC734D}"/>
        </Anchor>
        <Create/>
      </Event>
      <Event time="2026-02-04T09:02:10.52" id="{6A09E1E6-3A64-4F7F-B30A-25920BE72F60}">
        <Attribution userId="S::adeline.chartol@ext.europarl.europa.eu::b3cd6b16-3849-4f4d-8c6c-36eee8177c05" userName="CHARTOL Adeline" userProvider="AD"/>
        <Anchor>
          <Comment id="{8EFABD88-0951-4931-9F3F-94481FAC734D}"/>
        </Anchor>
        <Assign userId="S::carlos.zanoli@europarl.europa.eu::67b254d1-751a-4cf0-975e-7a11bef1b7e1" userName="ZANOLI Carlos" userProvider="AD"/>
      </Event>
      <Event time="2026-02-04T09:02:10.52" id="{54F88EA3-EF66-40F5-9F4C-92EA2DB911AA}">
        <Attribution userId="S::adeline.chartol@ext.europarl.europa.eu::b3cd6b16-3849-4f4d-8c6c-36eee8177c05" userName="CHARTOL Adeline" userProvider="AD"/>
        <Anchor>
          <Comment id="{8EFABD88-0951-4931-9F3F-94481FAC734D}"/>
        </Anchor>
        <SetTitle title="@ZANOLI Carlos courses assigned to this template need their subtitles changed to delivery mode. template is good."/>
      </Event>
      <Event time="2026-02-13T11:07:56.54" id="{029850B0-19C7-4A96-8ED6-B1431C8BBCD1}">
        <Attribution userId="S::adeline.chartol@ext.europarl.europa.eu::b3cd6b16-3849-4f4d-8c6c-36eee8177c05" userName="CHARTOL Adeline" userProvider="AD"/>
        <Progress percentComplete="100"/>
      </Event>
    </History>
  </Task>
  <Task id="{9EB6FE39-DCC9-415A-A8F3-6426F0D34B4D}">
    <Anchor>
      <Comment id="{006376DE-439F-4EBC-865A-F5708452BF79}"/>
    </Anchor>
    <History>
      <Event time="2026-02-04T12:48:28.21" id="{601DC556-E90E-4AB0-A8D9-99ADF2C4CE76}">
        <Attribution userId="S::adeline.chartol@ext.europarl.europa.eu::b3cd6b16-3849-4f4d-8c6c-36eee8177c05" userName="CHARTOL Adeline" userProvider="AD"/>
        <Anchor>
          <Comment id="{006376DE-439F-4EBC-865A-F5708452BF79}"/>
        </Anchor>
        <Create/>
      </Event>
      <Event time="2026-02-04T12:48:28.21" id="{17C58E41-C2F1-4B9E-85CD-22A58932F4D4}">
        <Attribution userId="S::adeline.chartol@ext.europarl.europa.eu::b3cd6b16-3849-4f4d-8c6c-36eee8177c05" userName="CHARTOL Adeline" userProvider="AD"/>
        <Anchor>
          <Comment id="{006376DE-439F-4EBC-865A-F5708452BF79}"/>
        </Anchor>
        <Assign userId="S::carlos.zanoli@europarl.europa.eu::67b254d1-751a-4cf0-975e-7a11bef1b7e1" userName="ZANOLI Carlos" userProvider="AD"/>
      </Event>
      <Event time="2026-02-04T12:48:28.21" id="{DCA57D09-0127-4087-8355-0E11437764FA}">
        <Attribution userId="S::adeline.chartol@ext.europarl.europa.eu::b3cd6b16-3849-4f4d-8c6c-36eee8177c05" userName="CHARTOL Adeline" userProvider="AD"/>
        <Anchor>
          <Comment id="{006376DE-439F-4EBC-865A-F5708452BF79}"/>
        </Anchor>
        <SetTitle title="@ZANOLI Carlos subtitle needs to be fixed"/>
      </Event>
      <Event time="2026-02-13T11:58:09.56" id="{48339D3E-60D5-460B-887D-50946A668FB0}">
        <Attribution userId="S::adeline.chartol@ext.europarl.europa.eu::b3cd6b16-3849-4f4d-8c6c-36eee8177c05" userName="CHARTOL Adeline" userProvider="AD"/>
        <Progress percentComplete="100"/>
      </Event>
    </History>
  </Task>
  <Task id="{A395273A-DBBD-4EA3-A9FB-3FF328A544D3}">
    <Anchor>
      <Comment id="{25A6A555-7A65-47D7-97C0-6BE456904DA6}"/>
    </Anchor>
    <History>
      <Event time="2026-02-06T09:25:42.49" id="{A456B7F5-C731-414E-A343-0391D57A6278}">
        <Attribution userId="S::kaja.stih@europarl.europa.eu::51fda843-ea10-4b80-9330-effdc0ee0af4" userName="ŠTIH Kaja" userProvider="AD"/>
        <Anchor>
          <Comment id="{6FAB696D-A07D-4A6D-9BD0-A32324D41573}"/>
        </Anchor>
        <Create/>
      </Event>
      <Event time="2026-02-06T09:25:42.49" id="{88599F2C-6B7F-403E-BE8E-1D83B19A3D79}">
        <Attribution userId="S::kaja.stih@europarl.europa.eu::51fda843-ea10-4b80-9330-effdc0ee0af4" userName="ŠTIH Kaja" userProvider="AD"/>
        <Anchor>
          <Comment id="{6FAB696D-A07D-4A6D-9BD0-A32324D41573}"/>
        </Anchor>
        <Assign userId="S::angela.lopezrivas@europarl.europa.eu::e30b3983-1aa6-4641-959c-945c017e970e" userName="LÓPEZ RIVAS Ángela" userProvider="AD"/>
      </Event>
      <Event time="2026-02-06T09:25:42.49" id="{3518C026-04E2-48E6-B3FA-9E9C97FF6E00}">
        <Attribution userId="S::kaja.stih@europarl.europa.eu::51fda843-ea10-4b80-9330-effdc0ee0af4" userName="ŠTIH Kaja" userProvider="AD"/>
        <Anchor>
          <Comment id="{6FAB696D-A07D-4A6D-9BD0-A32324D41573}"/>
        </Anchor>
        <SetTitle title="@LÓPEZ RIVAS Ángela can you remove this course from the catalogue? The one that took place today and was assigned to the catalogue as a separate course."/>
      </Event>
      <Event time="2026-02-06T10:44:56.18" id="{B031C9C7-F3E7-46A1-A34B-1FD722CB8B8C}">
        <Attribution userId="S::kaja.stih@europarl.europa.eu::51fda843-ea10-4b80-9330-effdc0ee0af4" userName="ŠTIH Kaja" userProvider="AD"/>
        <Progress percentComplete="100"/>
      </Event>
    </History>
  </Task>
  <Task id="{4C37383A-29B0-416F-B0D3-9EED531EF1D1}">
    <Anchor>
      <Comment id="{DD04188A-96F9-45A2-B379-274A398AE2E7}"/>
    </Anchor>
    <History>
      <Event time="2026-02-05T09:21:26.22" id="{1D2F75A3-1B39-49ED-902C-F926BAD03ECA}">
        <Attribution userId="S::philipp.henningsen@europarl.europa.eu::c71fb78c-8e8a-4f3a-a419-4af985ccfba2" userName="HENNINGSEN Philipp Alexander" userProvider="AD"/>
        <Anchor>
          <Comment id="{DD04188A-96F9-45A2-B379-274A398AE2E7}"/>
        </Anchor>
        <Create/>
      </Event>
      <Event time="2026-02-05T09:21:26.22" id="{418D3F4E-6264-4D65-AB01-061F563E4B1D}">
        <Attribution userId="S::philipp.henningsen@europarl.europa.eu::c71fb78c-8e8a-4f3a-a419-4af985ccfba2" userName="HENNINGSEN Philipp Alexander" userProvider="AD"/>
        <Anchor>
          <Comment id="{DD04188A-96F9-45A2-B379-274A398AE2E7}"/>
        </Anchor>
        <Assign userId="S::elodie.macler@europarl.europa.eu::bcd004a1-3db2-4e06-bbd8-69a91cd4236b" userName="MACLER Elodie" userProvider="AD"/>
      </Event>
      <Event time="2026-02-05T09:21:26.22" id="{EB88DD17-D981-4366-B67B-585F133F780D}">
        <Attribution userId="S::philipp.henningsen@europarl.europa.eu::c71fb78c-8e8a-4f3a-a419-4af985ccfba2" userName="HENNINGSEN Philipp Alexander" userProvider="AD"/>
        <Anchor>
          <Comment id="{DD04188A-96F9-45A2-B379-274A398AE2E7}"/>
        </Anchor>
        <SetTitle title="@MACLER Elodie This has never been organised so far. Will it come? Should it be included in brochure and catalogue?"/>
      </Event>
      <Event time="2026-02-05T11:28:48.47" id="{D2CE725D-F3A3-452E-AF69-D3A523F993D5}">
        <Attribution userId="S::philipp.henningsen@europarl.europa.eu::c71fb78c-8e8a-4f3a-a419-4af985ccfba2" userName="HENNINGSEN Philipp Alexander" userProvider="AD"/>
        <Progress percentComplete="100"/>
      </Event>
    </History>
  </Task>
  <Task id="{E682303B-BAC3-42B9-9E6B-CCC2ADC71E47}">
    <Anchor>
      <Comment id="{55923006-84CD-40E3-81ED-172B69913451}"/>
    </Anchor>
    <History>
      <Event time="2026-02-05T10:19:12.46" id="{9E48C97B-DC7A-4A7E-9A70-8FE8C44A7077}">
        <Attribution userId="S::elodie.macler@europarl.europa.eu::bcd004a1-3db2-4e06-bbd8-69a91cd4236b" userName="MACLER Elodie" userProvider="AD"/>
        <Anchor>
          <Comment id="{A3CEBCB0-B4E9-40DF-B95A-D802220B47AD}"/>
        </Anchor>
        <Create/>
      </Event>
      <Event time="2026-02-05T10:19:12.46" id="{7533C2D1-0014-4038-B1DA-FE8DC09A9108}">
        <Attribution userId="S::elodie.macler@europarl.europa.eu::bcd004a1-3db2-4e06-bbd8-69a91cd4236b" userName="MACLER Elodie" userProvider="AD"/>
        <Anchor>
          <Comment id="{A3CEBCB0-B4E9-40DF-B95A-D802220B47AD}"/>
        </Anchor>
        <Assign userId="S::mariana.krajcova@europarl.europa.eu::9406e375-a50e-423a-8a93-350a89b5b4e0" userName="KRAJCOVA Mariana" userProvider="AD"/>
      </Event>
      <Event time="2026-02-05T10:19:12.46" id="{0037330C-97BA-4E08-B4D9-B96476F72E55}">
        <Attribution userId="S::elodie.macler@europarl.europa.eu::bcd004a1-3db2-4e06-bbd8-69a91cd4236b" userName="MACLER Elodie" userProvider="AD"/>
        <Anchor>
          <Comment id="{A3CEBCB0-B4E9-40DF-B95A-D802220B47AD}"/>
        </Anchor>
        <SetTitle title="…&quot; on a specific topic. I don't know whether they will decide to do the same topic again or not and I don't know if they should include a certificate. Perhaps we could just put &quot;Flash sessions&quot; in the brochure and not specific topics? @KRAJCOVA Mariana"/>
      </Event>
      <Event time="2026-02-06T11:14:03.68" id="{235CB4D0-4AD3-4F5B-A2C8-69009E2F840C}">
        <Attribution userId="S::philipp.henningsen@europarl.europa.eu::c71fb78c-8e8a-4f3a-a419-4af985ccfba2" userName="HENNINGSEN Philipp Alexander" userProvider="AD"/>
        <Progress percentComplete="100"/>
      </Event>
      <Event time="2026-02-06T11:14:28.30" id="{B16D1569-B13E-4B3C-A648-4D66F7C639B3}">
        <Attribution userId="S::philipp.henningsen@europarl.europa.eu::c71fb78c-8e8a-4f3a-a419-4af985ccfba2" userName="HENNINGSEN Philipp Alexander" userProvider="AD"/>
        <Progress percentComplete="0"/>
      </Event>
      <Event time="2026-02-06T11:14:41.38" id="{A2B12A92-FAB4-44A2-85A3-8D469276124E}">
        <Attribution userId="S::philipp.henningsen@europarl.europa.eu::c71fb78c-8e8a-4f3a-a419-4af985ccfba2" userName="HENNINGSEN Philipp Alexander" userProvider="AD"/>
        <Progress percentComplete="100"/>
      </Event>
    </History>
  </Task>
  <Task id="{A0F5FF3B-7DFE-47A3-9CA7-341EFCCFC8E1}">
    <Anchor>
      <Comment id="{3A8EC1FA-92C5-4F81-AC12-BFF49A791480}"/>
    </Anchor>
    <History>
      <Event time="2026-02-04T11:25:41.42" id="{25ACDD3E-C696-4FD7-B27D-457E4BED5E29}">
        <Attribution userId="S::philipp.henningsen@europarl.europa.eu::c71fb78c-8e8a-4f3a-a419-4af985ccfba2" userName="HENNINGSEN Philipp Alexander" userProvider="AD"/>
        <Anchor>
          <Comment id="{3A8EC1FA-92C5-4F81-AC12-BFF49A791480}"/>
        </Anchor>
        <Create/>
      </Event>
      <Event time="2026-02-04T11:25:41.42" id="{26E4D43C-B845-424F-BCD5-4D81526B7D4D}">
        <Attribution userId="S::philipp.henningsen@europarl.europa.eu::c71fb78c-8e8a-4f3a-a419-4af985ccfba2" userName="HENNINGSEN Philipp Alexander" userProvider="AD"/>
        <Anchor>
          <Comment id="{3A8EC1FA-92C5-4F81-AC12-BFF49A791480}"/>
        </Anchor>
        <Assign userId="S::viktoriya.krasteva@europarl.europa.eu::f10a207b-7d0f-44ad-bfb0-2ac6584b63f9" userName="KRASTEVA Viktoriya" userProvider="AD"/>
      </Event>
      <Event time="2026-02-04T11:25:41.42" id="{361B1393-04C3-48FE-8369-3BA41E5C737D}">
        <Attribution userId="S::philipp.henningsen@europarl.europa.eu::c71fb78c-8e8a-4f3a-a419-4af985ccfba2" userName="HENNINGSEN Philipp Alexander" userProvider="AD"/>
        <Anchor>
          <Comment id="{3A8EC1FA-92C5-4F81-AC12-BFF49A791480}"/>
        </Anchor>
        <SetTitle title="@KRASTEVA Viktoriya @KRAJCOVA Mariana Please confirm if courses will be available in the future. Currently no course available!"/>
      </Event>
      <Event time="2026-02-05T07:35:17.62" id="{8ED2FBAA-ECE9-48D0-A754-D20D246660C7}">
        <Attribution userId="S::philipp.henningsen@europarl.europa.eu::c71fb78c-8e8a-4f3a-a419-4af985ccfba2" userName="HENNINGSEN Philipp Alexander" userProvider="AD"/>
        <Progress percentComplete="100"/>
      </Event>
    </History>
  </Task>
  <Task id="{8611233C-3D80-46F5-9DA3-A1B3F0772D25}">
    <Anchor>
      <Comment id="{D4CC40A1-0364-437D-A2CA-DA97E6192C95}"/>
    </Anchor>
    <History>
      <Event time="2026-02-03T15:58:28.91" id="{D8D2A590-CA67-4D31-B32B-003B428B5BA1}">
        <Attribution userId="S::philipp.henningsen@europarl.europa.eu::c71fb78c-8e8a-4f3a-a419-4af985ccfba2" userName="HENNINGSEN Philipp Alexander" userProvider="AD"/>
        <Anchor>
          <Comment id="{D4CC40A1-0364-437D-A2CA-DA97E6192C95}"/>
        </Anchor>
        <Create/>
      </Event>
      <Event time="2026-02-03T15:58:28.91" id="{91A8B1AA-5E59-44BF-850C-8D8C10A21810}">
        <Attribution userId="S::philipp.henningsen@europarl.europa.eu::c71fb78c-8e8a-4f3a-a419-4af985ccfba2" userName="HENNINGSEN Philipp Alexander" userProvider="AD"/>
        <Anchor>
          <Comment id="{D4CC40A1-0364-437D-A2CA-DA97E6192C95}"/>
        </Anchor>
        <Assign userId="S::viviana.conte@europarl.europa.eu::e85e276d-dca5-4605-843d-949eb0afa159" userName="CONTE Viviana" userProvider="AD"/>
      </Event>
      <Event time="2026-02-03T15:58:28.91" id="{2B62F1ED-CFD6-4194-BC93-891B68262107}">
        <Attribution userId="S::philipp.henningsen@europarl.europa.eu::c71fb78c-8e8a-4f3a-a419-4af985ccfba2" userName="HENNINGSEN Philipp Alexander" userProvider="AD"/>
        <Anchor>
          <Comment id="{D4CC40A1-0364-437D-A2CA-DA97E6192C95}"/>
        </Anchor>
        <SetTitle title="@CONTE Viviana @LATTEUR Christine can you confirm if internal and/or external coaching should be included in the brochure?"/>
      </Event>
      <Event time="2026-02-06T14:04:17.41" id="{38F58A62-25B1-4F7B-94AC-23DC8A752CDA}">
        <Attribution userId="S::philipp.henningsen@europarl.europa.eu::c71fb78c-8e8a-4f3a-a419-4af985ccfba2" userName="HENNINGSEN Philipp Alexander" userProvider="AD"/>
        <Progress percentComplete="100"/>
      </Event>
    </History>
  </Task>
  <Task id="{D0B53D3D-706B-4CEC-8F7F-A7965A6A4A1C}">
    <Anchor>
      <Comment id="{747FC599-EA27-4203-BA4B-D8C40E788F41}"/>
    </Anchor>
    <History>
      <Event time="2026-02-16T16:32:48.42" id="{C2C8E9CC-569C-463C-BACA-36E6D40A20ED}">
        <Attribution userId="S::philipp.henningsen@europarl.europa.eu::c71fb78c-8e8a-4f3a-a419-4af985ccfba2" userName="HENNINGSEN Philipp Alexander" userProvider="AD"/>
        <Anchor>
          <Comment id="{747FC599-EA27-4203-BA4B-D8C40E788F41}"/>
        </Anchor>
        <Create/>
      </Event>
      <Event time="2026-02-16T16:32:48.42" id="{455CFACB-4CBE-4D24-ABD9-793C66D354E6}">
        <Attribution userId="S::philipp.henningsen@europarl.europa.eu::c71fb78c-8e8a-4f3a-a419-4af985ccfba2" userName="HENNINGSEN Philipp Alexander" userProvider="AD"/>
        <Anchor>
          <Comment id="{747FC599-EA27-4203-BA4B-D8C40E788F41}"/>
        </Anchor>
        <Assign userId="S::mariana.krajcova@europarl.europa.eu::9406e375-a50e-423a-8a93-350a89b5b4e0" userName="KRAJCOVA Mariana" userProvider="AD"/>
      </Event>
      <Event time="2026-02-16T16:32:48.42" id="{4C91824B-1B34-4D1B-96F3-155B10CCA0BA}">
        <Attribution userId="S::philipp.henningsen@europarl.europa.eu::c71fb78c-8e8a-4f3a-a419-4af985ccfba2" userName="HENNINGSEN Philipp Alexander" userProvider="AD"/>
        <Anchor>
          <Comment id="{747FC599-EA27-4203-BA4B-D8C40E788F41}"/>
        </Anchor>
        <SetTitle title="@KRAJCOVA Mariana @MACLER Elodie Is this recording still relevant? Please let us know if we should keep it published."/>
      </Event>
      <Event time="2026-02-26T15:12:45.60" id="{4AACF2CA-30AF-4365-B420-154EAC1D36CF}">
        <Attribution userId="S::philipp.henningsen@europarl.europa.eu::c71fb78c-8e8a-4f3a-a419-4af985ccfba2" userName="HENNINGSEN Philipp Alexander" userProvider="AD"/>
        <Progress percentComplete="100"/>
      </Event>
    </History>
  </Task>
  <Task id="{5E87D23E-3D9E-4AD8-965E-771135558645}">
    <Anchor>
      <Comment id="{3C6CA5CA-AB27-4E54-A327-58E91881E193}"/>
    </Anchor>
    <History>
      <Event time="2026-02-06T10:00:30.47" id="{D82CD120-8539-487A-80C4-65198D21845F}">
        <Attribution userId="S::kaja.stih@europarl.europa.eu::51fda843-ea10-4b80-9330-effdc0ee0af4" userName="ŠTIH Kaja" userProvider="AD"/>
        <Anchor>
          <Comment id="{D7F1017A-1249-47F5-9AB0-8C402290661A}"/>
        </Anchor>
        <Create/>
      </Event>
      <Event time="2026-02-06T10:00:30.47" id="{CBDC93F6-D421-47AE-8EFE-98BE45D29716}">
        <Attribution userId="S::kaja.stih@europarl.europa.eu::51fda843-ea10-4b80-9330-effdc0ee0af4" userName="ŠTIH Kaja" userProvider="AD"/>
        <Anchor>
          <Comment id="{D7F1017A-1249-47F5-9AB0-8C402290661A}"/>
        </Anchor>
        <Assign userId="S::angela.lopezrivas@europarl.europa.eu::e30b3983-1aa6-4641-959c-945c017e970e" userName="LÓPEZ RIVAS Ángela" userProvider="AD"/>
      </Event>
      <Event time="2026-02-06T10:00:30.47" id="{4703DE75-82F4-4420-AD3E-2B73296AB0AF}">
        <Attribution userId="S::kaja.stih@europarl.europa.eu::51fda843-ea10-4b80-9330-effdc0ee0af4" userName="ŠTIH Kaja" userProvider="AD"/>
        <Anchor>
          <Comment id="{D7F1017A-1249-47F5-9AB0-8C402290661A}"/>
        </Anchor>
        <SetTitle title="@LÓPEZ RIVAS Ángela subtitles are incorrect or missing. Can you please add &quot;Brussels/Luxembourg&quot; to template and one of the two to courses?"/>
      </Event>
      <Event time="2026-02-06T13:22:54.54" id="{083E99B8-9BEC-4283-98EE-6F09ACC07799}">
        <Attribution userId="S::kaja.stih@europarl.europa.eu::51fda843-ea10-4b80-9330-effdc0ee0af4" userName="ŠTIH Kaja" userProvider="AD"/>
        <Progress percentComplete="100"/>
      </Event>
      <Event time="2026-03-09T11:13:24.73" id="{F235F23D-2C14-43EE-8DB7-EB652C0F0038}">
        <Attribution userId="S::philipp.henningsen@europarl.europa.eu::c71fb78c-8e8a-4f3a-a419-4af985ccfba2" userName="HENNINGSEN Philipp Alexander" userProvider="AD"/>
        <Progress percentComplete="0"/>
      </Event>
      <Event time="2026-03-09T11:13:44.68" id="{C4B91458-336E-42AB-9734-E8E53F46060C}">
        <Attribution userId="S::philipp.henningsen@europarl.europa.eu::c71fb78c-8e8a-4f3a-a419-4af985ccfba2" userName="HENNINGSEN Philipp Alexander" userProvider="AD"/>
        <Progress percentComplete="100"/>
      </Event>
    </History>
  </Task>
  <Task id="{E22D8F40-B53D-45F8-8D0D-0341963D08E9}">
    <Anchor>
      <Comment id="{338DD655-0D9A-4255-ACC4-3694FA0F5917}"/>
    </Anchor>
    <History>
      <Event time="2026-02-05T10:14:56.50" id="{CE795547-B76F-4DD6-A28D-D321E180C2C0}">
        <Attribution userId="S::philipp.henningsen@europarl.europa.eu::c71fb78c-8e8a-4f3a-a419-4af985ccfba2" userName="HENNINGSEN Philipp Alexander" userProvider="AD"/>
        <Anchor>
          <Comment id="{338DD655-0D9A-4255-ACC4-3694FA0F5917}"/>
        </Anchor>
        <Create/>
      </Event>
      <Event time="2026-02-05T10:14:56.50" id="{CD7D37E1-513B-4FC9-80D4-F9761A970BDB}">
        <Attribution userId="S::philipp.henningsen@europarl.europa.eu::c71fb78c-8e8a-4f3a-a419-4af985ccfba2" userName="HENNINGSEN Philipp Alexander" userProvider="AD"/>
        <Anchor>
          <Comment id="{338DD655-0D9A-4255-ACC4-3694FA0F5917}"/>
        </Anchor>
        <Assign userId="S::elodie.macler@europarl.europa.eu::bcd004a1-3db2-4e06-bbd8-69a91cd4236b" userName="MACLER Elodie" userProvider="AD"/>
      </Event>
      <Event time="2026-02-05T10:14:56.50" id="{20823297-FF43-489D-ADB7-1A48879BD827}">
        <Attribution userId="S::philipp.henningsen@europarl.europa.eu::c71fb78c-8e8a-4f3a-a419-4af985ccfba2" userName="HENNINGSEN Philipp Alexander" userProvider="AD"/>
        <Anchor>
          <Comment id="{338DD655-0D9A-4255-ACC4-3694FA0F5917}"/>
        </Anchor>
        <SetTitle title="@MACLER Elodie Why not share this in the brochure?"/>
      </Event>
      <Event time="2026-02-05T10:55:01.85" id="{156CF0B8-1F52-43EB-8192-2745F64C800D}">
        <Attribution userId="S::elodie.macler@europarl.europa.eu::bcd004a1-3db2-4e06-bbd8-69a91cd4236b" userName="MACLER Elodie" userProvider="AD"/>
        <Progress percentComplete="100"/>
      </Event>
      <Event time="2026-02-06T11:24:59.58" id="{64783A56-6EE3-4E4C-BDE8-739A62C87BE5}">
        <Attribution userId="S::philipp.henningsen@europarl.europa.eu::c71fb78c-8e8a-4f3a-a419-4af985ccfba2" userName="HENNINGSEN Philipp Alexander" userProvider="AD"/>
        <Progress percentComplete="0"/>
      </Event>
      <Event time="2026-02-06T11:25:23.35" id="{E43960FC-D38D-4363-929D-B56956276E05}">
        <Attribution userId="S::philipp.henningsen@europarl.europa.eu::c71fb78c-8e8a-4f3a-a419-4af985ccfba2" userName="HENNINGSEN Philipp Alexander" userProvider="AD"/>
        <Progress percentComplete="100"/>
      </Event>
    </History>
  </Task>
  <Task id="{BC6A5645-F9D4-43B1-8687-EE5C6849FE3A}">
    <Anchor>
      <Comment id="{22911E86-A6F1-48A7-A78E-716D99653274}"/>
    </Anchor>
    <History>
      <Event time="2026-02-13T12:20:18.62" id="{6371F147-072F-4336-AA58-E8B845DB4297}">
        <Attribution userId="S::philipp.henningsen@europarl.europa.eu::c71fb78c-8e8a-4f3a-a419-4af985ccfba2" userName="HENNINGSEN Philipp Alexander" userProvider="AD"/>
        <Anchor>
          <Comment id="{5DA19632-3992-4EE4-B37E-9E471C96BADC}"/>
        </Anchor>
        <Create/>
      </Event>
      <Event time="2026-02-13T12:20:18.62" id="{8963D20D-D09E-4F83-A156-E96507A82208}">
        <Attribution userId="S::philipp.henningsen@europarl.europa.eu::c71fb78c-8e8a-4f3a-a419-4af985ccfba2" userName="HENNINGSEN Philipp Alexander" userProvider="AD"/>
        <Anchor>
          <Comment id="{5DA19632-3992-4EE4-B37E-9E471C96BADC}"/>
        </Anchor>
        <Assign userId="S::Francisco.bravo@europarl.europa.eu::98d5845d-b5c7-4c5f-97fe-d2013c96c3d5" userName="BRAVO Francisco" userProvider="AD"/>
      </Event>
      <Event time="2026-02-13T12:20:18.62" id="{91074937-7A64-40F5-94A5-49B753C80B5C}">
        <Attribution userId="S::philipp.henningsen@europarl.europa.eu::c71fb78c-8e8a-4f3a-a419-4af985ccfba2" userName="HENNINGSEN Philipp Alexander" userProvider="AD"/>
        <Anchor>
          <Comment id="{5DA19632-3992-4EE4-B37E-9E471C96BADC}"/>
        </Anchor>
        <SetTitle title="I changed to &quot;No&quot;. @BRAVO Francisco please confirm."/>
      </Event>
      <Event time="2026-02-13T12:42:51.25" id="{A819D02E-4019-4F7F-846F-0A61E1210A3F}">
        <Attribution userId="S::Francisco.bravo@europarl.europa.eu::98d5845d-b5c7-4c5f-97fe-d2013c96c3d5" userName="BRAVO Francisco" userProvider="AD"/>
        <Progress percentComplete="100"/>
      </Event>
    </History>
  </Task>
  <Task id="{4FE83C47-7172-48CF-9292-568F95F62C76}">
    <Anchor>
      <Comment id="{A064D676-4AF9-45C7-8303-BA829651A53E}"/>
    </Anchor>
    <History>
      <Event time="2026-02-05T11:10:42.28" id="{8F6F364E-7746-463D-BA36-0BCD0F8CD652}">
        <Attribution userId="S::philipp.henningsen@europarl.europa.eu::c71fb78c-8e8a-4f3a-a419-4af985ccfba2" userName="HENNINGSEN Philipp Alexander" userProvider="AD"/>
        <Anchor>
          <Comment id="{A064D676-4AF9-45C7-8303-BA829651A53E}"/>
        </Anchor>
        <Create/>
      </Event>
      <Event time="2026-02-05T11:10:42.28" id="{74D34B9E-6BFD-480B-8F08-B3BAFEC7C58E}">
        <Attribution userId="S::philipp.henningsen@europarl.europa.eu::c71fb78c-8e8a-4f3a-a419-4af985ccfba2" userName="HENNINGSEN Philipp Alexander" userProvider="AD"/>
        <Anchor>
          <Comment id="{A064D676-4AF9-45C7-8303-BA829651A53E}"/>
        </Anchor>
        <Assign userId="S::anna.sekulska@europarl.europa.eu::8133a1d5-5e2b-4ce8-a1aa-e66faa51ecc8" userName="SEKULSKA Anna" userProvider="AD"/>
      </Event>
      <Event time="2026-02-05T11:10:42.28" id="{7F069F1C-1A44-4506-8EE9-4D5961A645FD}">
        <Attribution userId="S::philipp.henningsen@europarl.europa.eu::c71fb78c-8e8a-4f3a-a419-4af985ccfba2" userName="HENNINGSEN Philipp Alexander" userProvider="AD"/>
        <Anchor>
          <Comment id="{A064D676-4AF9-45C7-8303-BA829651A53E}"/>
        </Anchor>
        <SetTitle title="@SEKULSKA Anna @MOLINA MESTRE Lidia As far as I understand learners have access to go fluent via the interinstitutional catalogue. Should this catalogue folder be included to the brochure or the specific eLearning course? Please confirm what you think …"/>
      </Event>
    </History>
  </Task>
  <Task id="{36254A48-52ED-4EC3-A25A-5A79BF572769}">
    <Anchor>
      <Comment id="{CEF13D27-4760-4577-A116-2333FBC5A106}"/>
    </Anchor>
    <History>
      <Event time="2026-02-12T09:09:08.83" id="{0AC18C2B-69C9-4A18-8BCC-339126F57523}">
        <Attribution userId="S::philipp.henningsen@europarl.europa.eu::c71fb78c-8e8a-4f3a-a419-4af985ccfba2" userName="HENNINGSEN Philipp Alexander" userProvider="AD"/>
        <Anchor>
          <Comment id="{4E4BC4F0-F641-4670-A346-7276A7BF7361}"/>
        </Anchor>
        <Create/>
      </Event>
      <Event time="2026-02-12T09:09:08.83" id="{292340AF-7A5D-4DA9-9106-43CDD3EB4302}">
        <Attribution userId="S::philipp.henningsen@europarl.europa.eu::c71fb78c-8e8a-4f3a-a419-4af985ccfba2" userName="HENNINGSEN Philipp Alexander" userProvider="AD"/>
        <Anchor>
          <Comment id="{4E4BC4F0-F641-4670-A346-7276A7BF7361}"/>
        </Anchor>
        <Assign userId="S::viktoriya.krasteva@europarl.europa.eu::f10a207b-7d0f-44ad-bfb0-2ac6584b63f9" userName="KRASTEVA Viktoriya" userProvider="AD"/>
      </Event>
      <Event time="2026-02-12T09:09:08.83" id="{CDC9710D-80F2-4651-9615-A42CC214B246}">
        <Attribution userId="S::philipp.henningsen@europarl.europa.eu::c71fb78c-8e8a-4f3a-a419-4af985ccfba2" userName="HENNINGSEN Philipp Alexander" userProvider="AD"/>
        <Anchor>
          <Comment id="{4E4BC4F0-F641-4670-A346-7276A7BF7361}"/>
        </Anchor>
        <SetTitle title="@KRASTEVA Viktoriya please let me know if you need help"/>
      </Event>
      <Event time="2026-02-26T14:59:57.77" id="{203D588C-2870-48CA-842F-1347B15CA25F}">
        <Attribution userId="S::philipp.henningsen@europarl.europa.eu::c71fb78c-8e8a-4f3a-a419-4af985ccfba2" userName="HENNINGSEN Philipp Alexander" userProvider="AD"/>
        <Progress percentComplete="100"/>
      </Event>
    </History>
  </Task>
  <Task id="{E490C648-936B-4BB7-96ED-24A5C61D769D}">
    <Anchor>
      <Comment id="{59C831E6-AF7A-4D42-87FB-9BCCCCC57738}"/>
    </Anchor>
    <History>
      <Event time="2026-02-04T10:20:16.73" id="{2A5087CD-C00F-41D2-9CB1-0E8F52D24F72}">
        <Attribution userId="S::philipp.henningsen@europarl.europa.eu::c71fb78c-8e8a-4f3a-a419-4af985ccfba2" userName="HENNINGSEN Philipp Alexander" userProvider="AD"/>
        <Anchor>
          <Comment id="{59C831E6-AF7A-4D42-87FB-9BCCCCC57738}"/>
        </Anchor>
        <Create/>
      </Event>
      <Event time="2026-02-04T10:20:16.73" id="{26578879-8DC8-4D84-85FE-AEFF2CD1B7BA}">
        <Attribution userId="S::philipp.henningsen@europarl.europa.eu::c71fb78c-8e8a-4f3a-a419-4af985ccfba2" userName="HENNINGSEN Philipp Alexander" userProvider="AD"/>
        <Anchor>
          <Comment id="{59C831E6-AF7A-4D42-87FB-9BCCCCC57738}"/>
        </Anchor>
        <Assign userId="S::viktoriya.krasteva@europarl.europa.eu::f10a207b-7d0f-44ad-bfb0-2ac6584b63f9" userName="KRASTEVA Viktoriya" userProvider="AD"/>
      </Event>
      <Event time="2026-02-04T10:20:16.73" id="{518029F7-A916-441E-A03A-5CAA389A1B74}">
        <Attribution userId="S::philipp.henningsen@europarl.europa.eu::c71fb78c-8e8a-4f3a-a419-4af985ccfba2" userName="HENNINGSEN Philipp Alexander" userProvider="AD"/>
        <Anchor>
          <Comment id="{59C831E6-AF7A-4D42-87FB-9BCCCCC57738}"/>
        </Anchor>
        <SetTitle title="@KRASTEVA Viktoriya can this umbrella be removed from the catalogue? Or will there be courses organised in the future?"/>
      </Event>
      <Event time="2026-02-05T11:21:55.80" id="{BB80B22C-AF28-4D5A-8D77-E43BE0BA7206}">
        <Attribution userId="S::philipp.henningsen@europarl.europa.eu::c71fb78c-8e8a-4f3a-a419-4af985ccfba2" userName="HENNINGSEN Philipp Alexander" userProvider="AD"/>
        <Progress percentComplete="100"/>
      </Event>
      <Event time="2026-02-05T11:44:35.73" id="{45C0F565-D602-4E3E-A3A8-6EFA3E2B8CDB}">
        <Attribution userId="S::viktoriya.krasteva@europarl.europa.eu::f10a207b-7d0f-44ad-bfb0-2ac6584b63f9" userName="KRASTEVA Viktoriya" userProvider="AD"/>
        <Progress percentComplete="0"/>
      </Event>
      <Event time="2026-02-05T14:44:34.28" id="{24EAE0AC-CE7D-4788-B347-4CD03E90B9F2}">
        <Attribution userId="S::philipp.henningsen@europarl.europa.eu::c71fb78c-8e8a-4f3a-a419-4af985ccfba2" userName="HENNINGSEN Philipp Alexander" userProvider="AD"/>
        <Progress percentComplete="100"/>
      </Event>
    </History>
  </Task>
  <Task id="{347A3F4B-9717-4A1E-9E9B-4948A16D8584}">
    <Anchor>
      <Comment id="{A773A02C-6652-4D4C-8818-A1C900B86B77}"/>
    </Anchor>
    <History>
      <Event time="2026-01-23T08:29:18.55" id="{CA2F3DF2-6A09-42FC-B800-41AFC060C5D5}">
        <Attribution userId="S::Francisco.bravo@europarl.europa.eu::98d5845d-b5c7-4c5f-97fe-d2013c96c3d5" userName="BRAVO Francisco" userProvider="AD"/>
        <Anchor>
          <Comment id="{D66BCF19-92E7-49E0-9F51-72D7275BBDAB}"/>
        </Anchor>
        <Create/>
      </Event>
      <Event time="2026-01-23T08:29:18.55" id="{6B7F9E1A-739A-40D5-9780-80FEC04BC364}">
        <Attribution userId="S::Francisco.bravo@europarl.europa.eu::98d5845d-b5c7-4c5f-97fe-d2013c96c3d5" userName="BRAVO Francisco" userProvider="AD"/>
        <Anchor>
          <Comment id="{D66BCF19-92E7-49E0-9F51-72D7275BBDAB}"/>
        </Anchor>
        <Assign userId="S::carlos.zanoli@europarl.europa.eu::67b254d1-751a-4cf0-975e-7a11bef1b7e1" userName="ZANOLI Carlos" userProvider="AD"/>
      </Event>
      <Event time="2026-01-23T08:29:18.55" id="{E4258CF6-6F4A-4155-B3D2-728343BEF6C5}">
        <Attribution userId="S::Francisco.bravo@europarl.europa.eu::98d5845d-b5c7-4c5f-97fe-d2013c96c3d5" userName="BRAVO Francisco" userProvider="AD"/>
        <Anchor>
          <Comment id="{D66BCF19-92E7-49E0-9F51-72D7275BBDAB}"/>
        </Anchor>
        <SetTitle title="TBC by @ZANOLI Carlos , I think the new eLearning being developed by SIMAVI+Funka are complementary, but better to check with Carlos"/>
      </Event>
      <Event time="2026-02-06T11:24:03.08" id="{5EBFF108-E05B-4107-80AF-13E3E19CD90E}">
        <Attribution userId="S::philipp.henningsen@europarl.europa.eu::c71fb78c-8e8a-4f3a-a419-4af985ccfba2" userName="HENNINGSEN Philipp Alexander" userProvider="AD"/>
        <Progress percentComplete="100"/>
      </Event>
    </History>
  </Task>
  <Task id="{A2054B4F-6368-4AE0-B3C5-0D5E85C241C9}">
    <Anchor>
      <Comment id="{1B18E89C-CFCA-42E9-BDDB-6A6DBF3A29C3}"/>
    </Anchor>
    <History>
      <Event time="2026-02-13T12:15:55.03" id="{687CC025-68AE-4113-A224-AA74EEFCEE08}">
        <Attribution userId="S::philipp.henningsen@europarl.europa.eu::c71fb78c-8e8a-4f3a-a419-4af985ccfba2" userName="HENNINGSEN Philipp Alexander" userProvider="AD"/>
        <Anchor>
          <Comment id="{C1A07FBB-7E4E-40D6-BB72-32C44ABE6DD2}"/>
        </Anchor>
        <Create/>
      </Event>
      <Event time="2026-02-13T12:15:55.03" id="{67C09155-F2DE-4245-8BA3-1FF02C2D18B2}">
        <Attribution userId="S::philipp.henningsen@europarl.europa.eu::c71fb78c-8e8a-4f3a-a419-4af985ccfba2" userName="HENNINGSEN Philipp Alexander" userProvider="AD"/>
        <Anchor>
          <Comment id="{C1A07FBB-7E4E-40D6-BB72-32C44ABE6DD2}"/>
        </Anchor>
        <Assign userId="S::carlos.zanoli@europarl.europa.eu::67b254d1-751a-4cf0-975e-7a11bef1b7e1" userName="ZANOLI Carlos" userProvider="AD"/>
      </Event>
      <Event time="2026-02-13T12:15:55.03" id="{B566F373-DE50-4AB1-A485-892BA9A888E4}">
        <Attribution userId="S::philipp.henningsen@europarl.europa.eu::c71fb78c-8e8a-4f3a-a419-4af985ccfba2" userName="HENNINGSEN Philipp Alexander" userProvider="AD"/>
        <Anchor>
          <Comment id="{C1A07FBB-7E4E-40D6-BB72-32C44ABE6DD2}"/>
        </Anchor>
        <SetTitle title="this are files. They files are avalier for an unlimited time. So we can keep them. However, I'm not sure if they should go into the brochure. @ZANOLI Carlos please confirm if they are &quot;highlights&quot; or not"/>
      </Event>
      <Event time="2026-02-16T08:51:16.20" id="{AE05361E-3A37-4B1F-98B2-AF3C905E792C}">
        <Attribution userId="S::adeline.chartol@ext.europarl.europa.eu::b3cd6b16-3849-4f4d-8c6c-36eee8177c05" userName="CHARTOL Adeline" userProvider="AD"/>
        <Progress percentComplete="100"/>
      </Event>
    </History>
  </Task>
  <Task id="{AE8F9D52-EE99-4192-BEB5-A209ECE38D64}">
    <Anchor>
      <Comment id="{D28AF855-DB2C-4E94-BFE6-49A766BBEF2A}"/>
    </Anchor>
    <History>
      <Event time="2026-02-13T11:10:50.22" id="{66B26CCF-52D2-4D77-8F96-A733629E6291}">
        <Attribution userId="S::adeline.chartol@ext.europarl.europa.eu::b3cd6b16-3849-4f4d-8c6c-36eee8177c05" userName="CHARTOL Adeline" userProvider="AD"/>
        <Anchor>
          <Comment id="{A95E6860-EE15-47D5-9104-79290D0143B9}"/>
        </Anchor>
        <Create/>
      </Event>
      <Event time="2026-02-13T11:10:50.22" id="{3F6A42A2-7382-4241-BBBB-FCFF08E4B9CD}">
        <Attribution userId="S::adeline.chartol@ext.europarl.europa.eu::b3cd6b16-3849-4f4d-8c6c-36eee8177c05" userName="CHARTOL Adeline" userProvider="AD"/>
        <Anchor>
          <Comment id="{A95E6860-EE15-47D5-9104-79290D0143B9}"/>
        </Anchor>
        <Assign userId="S::carlos.zanoli@europarl.europa.eu::67b254d1-751a-4cf0-975e-7a11bef1b7e1" userName="ZANOLI Carlos" userProvider="AD"/>
      </Event>
      <Event time="2026-02-13T11:10:50.22" id="{E1EB8676-0F4A-457C-AA49-22A14C53B4D3}">
        <Attribution userId="S::adeline.chartol@ext.europarl.europa.eu::b3cd6b16-3849-4f4d-8c6c-36eee8177c05" userName="CHARTOL Adeline" userProvider="AD"/>
        <Anchor>
          <Comment id="{A95E6860-EE15-47D5-9104-79290D0143B9}"/>
        </Anchor>
        <SetTitle title="@ZANOLI Carlos do you mind if I change it to just eLearning in the subtitle?"/>
      </Event>
      <Event time="2026-02-16T08:53:52.66" id="{4C165D55-719C-4562-9599-6B337E702DFC}">
        <Attribution userId="S::carlos.zanoli@europarl.europa.eu::67b254d1-751a-4cf0-975e-7a11bef1b7e1" userName="ZANOLI Carlos" userProvider="AD"/>
        <Progress percentComplete="100"/>
      </Event>
    </History>
  </Task>
  <Task id="{4E014F5A-5EBA-442D-A62F-C85504C3623B}">
    <Anchor>
      <Comment id="{1F72B7BB-C7C1-4E0C-A6A4-32601A2AA7C9}"/>
    </Anchor>
    <History>
      <Event time="2026-02-12T10:43:47.98" id="{44AC1740-B5F3-43D2-80E8-9B6FF90A94D4}">
        <Attribution userId="S::philipp.henningsen@europarl.europa.eu::c71fb78c-8e8a-4f3a-a419-4af985ccfba2" userName="HENNINGSEN Philipp Alexander" userProvider="AD"/>
        <Anchor>
          <Comment id="{1F72B7BB-C7C1-4E0C-A6A4-32601A2AA7C9}"/>
        </Anchor>
        <Create/>
      </Event>
      <Event time="2026-02-12T10:43:47.98" id="{960452B1-E6CE-4B6E-A85F-1364C09F6AD7}">
        <Attribution userId="S::philipp.henningsen@europarl.europa.eu::c71fb78c-8e8a-4f3a-a419-4af985ccfba2" userName="HENNINGSEN Philipp Alexander" userProvider="AD"/>
        <Anchor>
          <Comment id="{1F72B7BB-C7C1-4E0C-A6A4-32601A2AA7C9}"/>
        </Anchor>
        <Assign userId="S::katrin.gabelein@europarl.europa.eu::5ae54039-f750-4f1d-a5fd-e1b305f012f8" userName="GABELEIN-PAEHLER Katrin" userProvider="AD"/>
      </Event>
      <Event time="2026-02-12T10:43:47.98" id="{3D184AE4-6A0F-41C7-9D1C-1E6DB3911EDE}">
        <Attribution userId="S::philipp.henningsen@europarl.europa.eu::c71fb78c-8e8a-4f3a-a419-4af985ccfba2" userName="HENNINGSEN Philipp Alexander" userProvider="AD"/>
        <Anchor>
          <Comment id="{1F72B7BB-C7C1-4E0C-A6A4-32601A2AA7C9}"/>
        </Anchor>
        <SetTitle title="@GABELEIN-PAEHLER Katrin please update subtitle and CM"/>
      </Event>
      <Event time="2026-02-12T14:09:17.93" id="{DEE88FE9-E0AA-455C-A719-0AD0A8755ABF}">
        <Attribution userId="S::kaja.stih@europarl.europa.eu::51fda843-ea10-4b80-9330-effdc0ee0af4" userName="ŠTIH Kaja" userProvider="AD"/>
        <Progress percentComplete="100"/>
      </Event>
      <Event time="2026-03-09T11:18:43.83" id="{68D8CC84-38B8-4CDB-9C38-DDA764F91EB9}">
        <Attribution userId="S::philipp.henningsen@europarl.europa.eu::c71fb78c-8e8a-4f3a-a419-4af985ccfba2" userName="HENNINGSEN Philipp Alexander" userProvider="AD"/>
        <Progress percentComplete="0"/>
      </Event>
      <Event time="2026-03-09T11:18:56.89" id="{81A3F621-0EA1-44D4-8642-516764F208CF}">
        <Attribution userId="S::philipp.henningsen@europarl.europa.eu::c71fb78c-8e8a-4f3a-a419-4af985ccfba2" userName="HENNINGSEN Philipp Alexander" userProvider="AD"/>
        <Progress percentComplete="100"/>
      </Event>
    </History>
  </Task>
  <Task id="{660E305C-CDC0-40A4-9D82-48FE08195761}">
    <Anchor>
      <Comment id="{260BD0B1-E9B7-4EB3-A502-68926EBB9205}"/>
    </Anchor>
    <History>
      <Event time="2026-02-04T10:16:51.06" id="{034963CC-FB5D-4BEC-9CDD-17B401C3AF51}">
        <Attribution userId="S::adeline.chartol@ext.europarl.europa.eu::b3cd6b16-3849-4f4d-8c6c-36eee8177c05" userName="CHARTOL Adeline" userProvider="AD"/>
        <Anchor>
          <Comment id="{260BD0B1-E9B7-4EB3-A502-68926EBB9205}"/>
        </Anchor>
        <Create/>
      </Event>
      <Event time="2026-02-04T10:16:51.06" id="{A50F765E-48D0-48CD-A155-FD30FF565FC1}">
        <Attribution userId="S::adeline.chartol@ext.europarl.europa.eu::b3cd6b16-3849-4f4d-8c6c-36eee8177c05" userName="CHARTOL Adeline" userProvider="AD"/>
        <Anchor>
          <Comment id="{260BD0B1-E9B7-4EB3-A502-68926EBB9205}"/>
        </Anchor>
        <Assign userId="S::carlos.zanoli@europarl.europa.eu::67b254d1-751a-4cf0-975e-7a11bef1b7e1" userName="ZANOLI Carlos" userProvider="AD"/>
      </Event>
      <Event time="2026-02-04T10:16:51.06" id="{3C461DB3-3C47-4C31-916D-5C2423D55BAC}">
        <Attribution userId="S::adeline.chartol@ext.europarl.europa.eu::b3cd6b16-3849-4f4d-8c6c-36eee8177c05" userName="CHARTOL Adeline" userProvider="AD"/>
        <Anchor>
          <Comment id="{260BD0B1-E9B7-4EB3-A502-68926EBB9205}"/>
        </Anchor>
        <SetTitle title="@ZANOLI Carlos some of the upcoming courses under this template have inccorect subtitles. should just be brussels or luxembourg with no additional words"/>
      </Event>
      <Event time="2026-02-12T15:51:09.84" id="{BCD4B9EF-9FB0-4040-B059-E5A128D7076B}">
        <Attribution userId="S::carlos.zanoli@europarl.europa.eu::67b254d1-751a-4cf0-975e-7a11bef1b7e1" userName="ZANOLI Carlos" userProvider="AD"/>
        <Progress percentComplete="100"/>
      </Event>
    </History>
  </Task>
  <Task id="{F42FDC5D-7612-4407-8EBD-085F155C5EAE}">
    <Anchor>
      <Comment id="{0650DBEA-351B-479A-9993-1E4D3A4DCB8F}"/>
    </Anchor>
    <History>
      <Event time="2026-02-12T10:09:41.27" id="{9EB845F1-EA28-4EA8-8B3A-933F276FFAD5}">
        <Attribution userId="S::philipp.henningsen@europarl.europa.eu::c71fb78c-8e8a-4f3a-a419-4af985ccfba2" userName="HENNINGSEN Philipp Alexander" userProvider="AD"/>
        <Anchor>
          <Comment id="{0F33FBE8-F274-4FFA-B42D-86DE8ABACA65}"/>
        </Anchor>
        <Create/>
      </Event>
      <Event time="2026-02-12T10:09:41.27" id="{766A0587-4E26-4175-8928-3ABF978A67EE}">
        <Attribution userId="S::philipp.henningsen@europarl.europa.eu::c71fb78c-8e8a-4f3a-a419-4af985ccfba2" userName="HENNINGSEN Philipp Alexander" userProvider="AD"/>
        <Anchor>
          <Comment id="{0F33FBE8-F274-4FFA-B42D-86DE8ABACA65}"/>
        </Anchor>
        <Assign userId="S::annica.torneryd@europarl.europa.eu::81585dee-6f6c-4017-af65-2c3ebcebf001" userName="TORNERYD Annica" userProvider="AD"/>
      </Event>
      <Event time="2026-02-12T10:09:41.27" id="{F4723611-701A-4962-9F19-D10669261988}">
        <Attribution userId="S::philipp.henningsen@europarl.europa.eu::c71fb78c-8e8a-4f3a-a419-4af985ccfba2" userName="HENNINGSEN Philipp Alexander" userProvider="AD"/>
        <Anchor>
          <Comment id="{0F33FBE8-F274-4FFA-B42D-86DE8ABACA65}"/>
        </Anchor>
        <SetTitle title="Option 3 is available. Please still create umbrella. @TORNERYD Annica please let us know if you need help"/>
      </Event>
      <Event time="2026-02-12T10:58:08.39" id="{0868B531-027D-44FD-A9CB-EFC019AB0EAA}">
        <Attribution userId="S::philipp.henningsen@europarl.europa.eu::c71fb78c-8e8a-4f3a-a419-4af985ccfba2" userName="HENNINGSEN Philipp Alexander" userProvider="AD"/>
        <Progress percentComplete="100"/>
      </Event>
    </History>
  </Task>
  <Task id="{A0A38961-09A1-4014-9100-61C5832A1C39}">
    <Anchor>
      <Comment id="{16CF89DE-C7D1-4432-A433-6E73E17D6DC4}"/>
    </Anchor>
    <History>
      <Event time="2026-02-12T10:43:47.98" id="{44AC1740-B5F3-43D2-80E8-9B6FF90A94D4}">
        <Attribution userId="S::philipp.henningsen@europarl.europa.eu::c71fb78c-8e8a-4f3a-a419-4af985ccfba2" userName="HENNINGSEN Philipp Alexander" userProvider="AD"/>
        <Anchor>
          <Comment id="{16CF89DE-C7D1-4432-A433-6E73E17D6DC4}"/>
        </Anchor>
        <Create/>
      </Event>
      <Event time="2026-02-12T10:43:47.98" id="{960452B1-E6CE-4B6E-A85F-1364C09F6AD7}">
        <Attribution userId="S::philipp.henningsen@europarl.europa.eu::c71fb78c-8e8a-4f3a-a419-4af985ccfba2" userName="HENNINGSEN Philipp Alexander" userProvider="AD"/>
        <Anchor>
          <Comment id="{16CF89DE-C7D1-4432-A433-6E73E17D6DC4}"/>
        </Anchor>
        <Assign userId="S::katrin.gabelein@europarl.europa.eu::5ae54039-f750-4f1d-a5fd-e1b305f012f8" userName="GABELEIN-PAEHLER Katrin" userProvider="AD"/>
      </Event>
      <Event time="2026-02-12T10:43:47.98" id="{3D184AE4-6A0F-41C7-9D1C-1E6DB3911EDE}">
        <Attribution userId="S::philipp.henningsen@europarl.europa.eu::c71fb78c-8e8a-4f3a-a419-4af985ccfba2" userName="HENNINGSEN Philipp Alexander" userProvider="AD"/>
        <Anchor>
          <Comment id="{16CF89DE-C7D1-4432-A433-6E73E17D6DC4}"/>
        </Anchor>
        <SetTitle title="@GABELEIN-PAEHLER Katrin please update subtitle and CM"/>
      </Event>
      <Event time="2026-02-12T13:59:31.60" id="{CDBEFE40-689F-496C-A4B1-A1B07C56D628}">
        <Attribution userId="S::kaja.stih@europarl.europa.eu::51fda843-ea10-4b80-9330-effdc0ee0af4" userName="ŠTIH Kaja" userProvider="AD"/>
        <Progress percentComplete="100"/>
      </Event>
    </History>
  </Task>
  <Task id="{A1754964-A737-4D05-9291-2169F998CECA}">
    <Anchor>
      <Comment id="{6834C4E0-47D7-43EF-BC74-A0004517A69A}"/>
    </Anchor>
    <History>
      <Event time="2026-02-13T11:51:39.29" id="{9814104A-1948-458B-A41E-48F6A264C714}">
        <Attribution userId="S::philipp.henningsen@europarl.europa.eu::c71fb78c-8e8a-4f3a-a419-4af985ccfba2" userName="HENNINGSEN Philipp Alexander" userProvider="AD"/>
        <Anchor>
          <Comment id="{6834C4E0-47D7-43EF-BC74-A0004517A69A}"/>
        </Anchor>
        <Create/>
      </Event>
      <Event time="2026-02-13T11:51:39.29" id="{815C2E7E-2D92-4F5C-AECE-BCC2D9C7A729}">
        <Attribution userId="S::philipp.henningsen@europarl.europa.eu::c71fb78c-8e8a-4f3a-a419-4af985ccfba2" userName="HENNINGSEN Philipp Alexander" userProvider="AD"/>
        <Anchor>
          <Comment id="{6834C4E0-47D7-43EF-BC74-A0004517A69A}"/>
        </Anchor>
        <Assign userId="S::veselina.goleminova@europarl.europa.eu::d10f0c31-1772-4c33-b0e8-3398730f27e7" userName="GOLEMINOVA Veselina" userProvider="AD"/>
      </Event>
      <Event time="2026-02-13T11:51:39.29" id="{684E1989-09A6-482F-A5DB-AC41B3227FE9}">
        <Attribution userId="S::philipp.henningsen@europarl.europa.eu::c71fb78c-8e8a-4f3a-a419-4af985ccfba2" userName="HENNINGSEN Philipp Alexander" userProvider="AD"/>
        <Anchor>
          <Comment id="{6834C4E0-47D7-43EF-BC74-A0004517A69A}"/>
        </Anchor>
        <SetTitle title="@GOLEMINOVA Veselina the french translation is missing. If you never organise it in French, please remove the language on the template."/>
      </Event>
      <Event time="2026-02-26T15:19:04.72" id="{16FB82ED-907D-4336-9D8B-E46EED008B36}">
        <Attribution userId="S::philipp.henningsen@europarl.europa.eu::c71fb78c-8e8a-4f3a-a419-4af985ccfba2" userName="HENNINGSEN Philipp Alexander" userProvider="AD"/>
        <Progress percentComplete="100"/>
      </Event>
    </History>
  </Task>
  <Task id="{07586367-9BA7-40F8-A3EB-E59325EB159F}">
    <Anchor>
      <Comment id="{2183A18E-98F5-4798-B4B8-C58120877025}"/>
    </Anchor>
    <History>
      <Event time="2026-02-10T14:53:20.12" id="{A71FBB50-D61A-4665-8173-8C0C9DC23EC8}">
        <Attribution userId="S::philipp.henningsen@europarl.europa.eu::c71fb78c-8e8a-4f3a-a419-4af985ccfba2" userName="HENNINGSEN Philipp Alexander" userProvider="AD"/>
        <Anchor>
          <Comment id="{2183A18E-98F5-4798-B4B8-C58120877025}"/>
        </Anchor>
        <Create/>
      </Event>
      <Event time="2026-02-10T14:53:20.12" id="{2400E533-9822-4D00-92EF-CC6DD68EE244}">
        <Attribution userId="S::philipp.henningsen@europarl.europa.eu::c71fb78c-8e8a-4f3a-a419-4af985ccfba2" userName="HENNINGSEN Philipp Alexander" userProvider="AD"/>
        <Anchor>
          <Comment id="{2183A18E-98F5-4798-B4B8-C58120877025}"/>
        </Anchor>
        <Assign userId="S::carlos.zanoli@europarl.europa.eu::67b254d1-751a-4cf0-975e-7a11bef1b7e1" userName="ZANOLI Carlos" userProvider="AD"/>
      </Event>
      <Event time="2026-02-10T14:53:20.12" id="{3CEFF1A9-9CAB-4159-AFC8-636F81043DCC}">
        <Attribution userId="S::philipp.henningsen@europarl.europa.eu::c71fb78c-8e8a-4f3a-a419-4af985ccfba2" userName="HENNINGSEN Philipp Alexander" userProvider="AD"/>
        <Anchor>
          <Comment id="{2183A18E-98F5-4798-B4B8-C58120877025}"/>
        </Anchor>
        <SetTitle title="@ZANOLI Carlos @BRAVO Francisco this course has never been organised so far. Could we even remove it?"/>
      </Event>
      <Event time="2026-02-12T15:37:22.26" id="{3D618D14-D8A5-490E-94F1-2A0CF0B4DEA8}">
        <Attribution userId="S::carlos.zanoli@europarl.europa.eu::67b254d1-751a-4cf0-975e-7a11bef1b7e1" userName="ZANOLI Carlos" userProvider="AD"/>
        <Progress percentComplete="100"/>
      </Event>
    </History>
  </Task>
  <Task id="{C7092B69-366D-408C-92EB-943304289A39}">
    <Anchor>
      <Comment id="{A46D9B17-67B7-420E-8579-A9E24CC14B15}"/>
    </Anchor>
    <History>
      <Event time="2026-02-04T09:03:55.26" id="{02CD8D28-FEDF-4309-A547-034A6CD541EC}">
        <Attribution userId="S::adeline.chartol@ext.europarl.europa.eu::b3cd6b16-3849-4f4d-8c6c-36eee8177c05" userName="CHARTOL Adeline" userProvider="AD"/>
        <Anchor>
          <Comment id="{A46D9B17-67B7-420E-8579-A9E24CC14B15}"/>
        </Anchor>
        <Create/>
      </Event>
      <Event time="2026-02-04T09:03:55.26" id="{6E55BDCE-238F-4B38-AD45-9C9797AEA2C2}">
        <Attribution userId="S::adeline.chartol@ext.europarl.europa.eu::b3cd6b16-3849-4f4d-8c6c-36eee8177c05" userName="CHARTOL Adeline" userProvider="AD"/>
        <Anchor>
          <Comment id="{A46D9B17-67B7-420E-8579-A9E24CC14B15}"/>
        </Anchor>
        <Assign userId="S::carlos.zanoli@europarl.europa.eu::67b254d1-751a-4cf0-975e-7a11bef1b7e1" userName="ZANOLI Carlos" userProvider="AD"/>
      </Event>
      <Event time="2026-02-04T09:03:55.26" id="{925FA9EE-F301-44E0-9DFD-FF2BD7548084}">
        <Attribution userId="S::adeline.chartol@ext.europarl.europa.eu::b3cd6b16-3849-4f4d-8c6c-36eee8177c05" userName="CHARTOL Adeline" userProvider="AD"/>
        <Anchor>
          <Comment id="{A46D9B17-67B7-420E-8579-A9E24CC14B15}"/>
        </Anchor>
        <SetTitle title="@ZANOLI Carlos subtitles need to be fixed"/>
      </Event>
      <Event time="2026-02-12T15:41:40.16" id="{CFBDD2DF-C355-4BC7-8872-1FE128DBF4A6}">
        <Attribution userId="S::carlos.zanoli@europarl.europa.eu::67b254d1-751a-4cf0-975e-7a11bef1b7e1" userName="ZANOLI Carlos" userProvider="AD"/>
        <Progress percentComplete="100"/>
      </Event>
    </History>
  </Task>
  <Task id="{27803869-19EB-46DE-B5CB-E78F7306D132}">
    <Anchor>
      <Comment id="{279501BF-646D-41DB-A002-0909C8E50427}"/>
    </Anchor>
    <History>
      <Event time="2026-02-12T09:30:34.17" id="{CD8EE837-6F19-46B7-89FE-9EA400802944}">
        <Attribution userId="S::philipp.henningsen@europarl.europa.eu::c71fb78c-8e8a-4f3a-a419-4af985ccfba2" userName="HENNINGSEN Philipp Alexander" userProvider="AD"/>
        <Anchor>
          <Comment id="{279501BF-646D-41DB-A002-0909C8E50427}"/>
        </Anchor>
        <Create/>
      </Event>
      <Event time="2026-02-12T09:30:34.17" id="{782CEEC5-8DAD-4BA6-BB14-A3043F530EEF}">
        <Attribution userId="S::philipp.henningsen@europarl.europa.eu::c71fb78c-8e8a-4f3a-a419-4af985ccfba2" userName="HENNINGSEN Philipp Alexander" userProvider="AD"/>
        <Anchor>
          <Comment id="{279501BF-646D-41DB-A002-0909C8E50427}"/>
        </Anchor>
        <Assign userId="S::carlos.zanoli@europarl.europa.eu::67b254d1-751a-4cf0-975e-7a11bef1b7e1" userName="ZANOLI Carlos" userProvider="AD"/>
      </Event>
      <Event time="2026-02-12T09:30:34.17" id="{92ABC570-F321-40AB-A40E-FECF52286E7A}">
        <Attribution userId="S::philipp.henningsen@europarl.europa.eu::c71fb78c-8e8a-4f3a-a419-4af985ccfba2" userName="HENNINGSEN Philipp Alexander" userProvider="AD"/>
        <Anchor>
          <Comment id="{279501BF-646D-41DB-A002-0909C8E50427}"/>
        </Anchor>
        <SetTitle title="@ZANOLI Carlos can we remove this? not organised since 2024"/>
      </Event>
      <Event time="2026-02-12T15:47:05.67" id="{0EA1C7FB-6FC2-423E-A0B0-80C041FFBD96}">
        <Attribution userId="S::carlos.zanoli@europarl.europa.eu::67b254d1-751a-4cf0-975e-7a11bef1b7e1" userName="ZANOLI Carlos" userProvider="AD"/>
        <Progress percentComplete="100"/>
      </Event>
    </History>
  </Task>
  <Task id="{884A106B-82B7-49A5-B341-43B1DF3BAFFD}">
    <Anchor>
      <Comment id="{B22B4B44-C99D-463E-BB2C-3B6054BF4B53}"/>
    </Anchor>
    <History>
      <Event time="2026-03-09T14:49:35.32" id="{6942C4DE-994D-4897-B680-0F4620C0CD91}">
        <Attribution userId="S::philipp.henningsen@europarl.europa.eu::c71fb78c-8e8a-4f3a-a419-4af985ccfba2" userName="HENNINGSEN Philipp Alexander" userProvider="AD"/>
        <Anchor>
          <Comment id="{B22B4B44-C99D-463E-BB2C-3B6054BF4B53}"/>
        </Anchor>
        <Create/>
      </Event>
      <Event time="2026-03-09T14:49:35.32" id="{E3A4EBAC-E85B-45E9-AC4B-24A7CABD1F79}">
        <Attribution userId="S::philipp.henningsen@europarl.europa.eu::c71fb78c-8e8a-4f3a-a419-4af985ccfba2" userName="HENNINGSEN Philipp Alexander" userProvider="AD"/>
        <Anchor>
          <Comment id="{B22B4B44-C99D-463E-BB2C-3B6054BF4B53}"/>
        </Anchor>
        <Assign userId="S::carlos.zanoli@europarl.europa.eu::67b254d1-751a-4cf0-975e-7a11bef1b7e1" userName="ZANOLI Carlos" userProvider="AD"/>
      </Event>
      <Event time="2026-03-09T14:49:35.32" id="{2452E133-E546-46F8-91D4-A7F76FDFBDFD}">
        <Attribution userId="S::philipp.henningsen@europarl.europa.eu::c71fb78c-8e8a-4f3a-a419-4af985ccfba2" userName="HENNINGSEN Philipp Alexander" userProvider="AD"/>
        <Anchor>
          <Comment id="{B22B4B44-C99D-463E-BB2C-3B6054BF4B53}"/>
        </Anchor>
        <SetTitle title="Why &quot;step 1&quot; in title @ZANOLI Carlos ?"/>
      </Event>
    </History>
  </Task>
  <Task id="{6FCF416B-F98D-4220-BCB6-C1009D8D9ACE}">
    <Anchor>
      <Comment id="{513E8D7F-6996-4F99-9E64-C45DCBB56B0A}"/>
    </Anchor>
    <History>
      <Event time="2026-02-17T08:38:07.78" id="{C23C7901-F957-423F-BC70-11E388DFC2C0}">
        <Attribution userId="S::adeline.chartol@ext.europarl.europa.eu::b3cd6b16-3849-4f4d-8c6c-36eee8177c05" userName="CHARTOL Adeline" userProvider="AD"/>
        <Anchor>
          <Comment id="{513E8D7F-6996-4F99-9E64-C45DCBB56B0A}"/>
        </Anchor>
        <Create/>
      </Event>
      <Event time="2026-02-17T08:38:07.78" id="{EAE5067E-041D-4154-A79B-20F496A08E7B}">
        <Attribution userId="S::adeline.chartol@ext.europarl.europa.eu::b3cd6b16-3849-4f4d-8c6c-36eee8177c05" userName="CHARTOL Adeline" userProvider="AD"/>
        <Anchor>
          <Comment id="{513E8D7F-6996-4F99-9E64-C45DCBB56B0A}"/>
        </Anchor>
        <Assign userId="S::annica.torneryd@europarl.europa.eu::81585dee-6f6c-4017-af65-2c3ebcebf001" userName="TORNERYD Annica" userProvider="AD"/>
      </Event>
      <Event time="2026-02-17T08:38:07.78" id="{7A83224F-C8BF-4FDA-B632-9D24A836053B}">
        <Attribution userId="S::adeline.chartol@ext.europarl.europa.eu::b3cd6b16-3849-4f4d-8c6c-36eee8177c05" userName="CHARTOL Adeline" userProvider="AD"/>
        <Anchor>
          <Comment id="{513E8D7F-6996-4F99-9E64-C45DCBB56B0A}"/>
        </Anchor>
        <SetTitle title="@TORNERYD Annica The subtitle for this template should be fixed to Brussels/Luxembourg."/>
      </Event>
      <Event time="2026-02-26T15:10:08.86" id="{B7501145-E8F0-45A9-A2AD-10E73EE4CD07}">
        <Attribution userId="S::philipp.henningsen@europarl.europa.eu::c71fb78c-8e8a-4f3a-a419-4af985ccfba2" userName="HENNINGSEN Philipp Alexander" userProvider="AD"/>
        <Progress percentComplete="100"/>
      </Event>
    </History>
  </Task>
  <Task id="{7A5D106D-9B17-47D6-B003-4D373CD96CAD}">
    <Anchor>
      <Comment id="{8402CEEE-F990-4200-A175-018962F3DAEE}"/>
    </Anchor>
    <History>
      <Event time="2026-02-04T10:32:57.13" id="{BD95E201-CC43-49D0-B3BD-EDC056AF572E}">
        <Attribution userId="S::kaja.stih@europarl.europa.eu::51fda843-ea10-4b80-9330-effdc0ee0af4" userName="ŠTIH Kaja" userProvider="AD"/>
        <Anchor>
          <Comment id="{8402CEEE-F990-4200-A175-018962F3DAEE}"/>
        </Anchor>
        <Create/>
      </Event>
      <Event time="2026-02-04T10:32:57.13" id="{69E9150B-2BEF-4242-BC72-E16270D51DAE}">
        <Attribution userId="S::kaja.stih@europarl.europa.eu::51fda843-ea10-4b80-9330-effdc0ee0af4" userName="ŠTIH Kaja" userProvider="AD"/>
        <Anchor>
          <Comment id="{8402CEEE-F990-4200-A175-018962F3DAEE}"/>
        </Anchor>
        <Assign userId="S::elodie.macler@europarl.europa.eu::bcd004a1-3db2-4e06-bbd8-69a91cd4236b" userName="MACLER Elodie" userProvider="AD"/>
      </Event>
      <Event time="2026-02-04T10:32:57.13" id="{3DF62572-E36C-412D-B7CB-EE386D85E3DD}">
        <Attribution userId="S::kaja.stih@europarl.europa.eu::51fda843-ea10-4b80-9330-effdc0ee0af4" userName="ŠTIH Kaja" userProvider="AD"/>
        <Anchor>
          <Comment id="{8402CEEE-F990-4200-A175-018962F3DAEE}"/>
        </Anchor>
        <SetTitle title="@MACLER Elodie do you foresee online sessions of this course? If not, I would remove umbrella."/>
      </Event>
      <Event time="2026-02-05T08:52:20.59" id="{D3E17AF2-9DDC-4580-8B3C-FBBE6652B0CD}">
        <Attribution userId="S::kaja.stih@europarl.europa.eu::51fda843-ea10-4b80-9330-effdc0ee0af4" userName="ŠTIH Kaja" userProvider="AD"/>
        <Progress percentComplete="100"/>
      </Event>
    </History>
  </Task>
  <Task id="{822D1070-F190-43A5-8BD1-502453037E44}">
    <Anchor>
      <Comment id="{F5EE7D29-3614-4EBD-973A-F38B83BD71F9}"/>
    </Anchor>
    <History>
      <Event time="2026-02-12T10:42:14.68" id="{52071A18-73EF-428B-950F-4E1CDF68DAC4}">
        <Attribution userId="S::philipp.henningsen@europarl.europa.eu::c71fb78c-8e8a-4f3a-a419-4af985ccfba2" userName="HENNINGSEN Philipp Alexander" userProvider="AD"/>
        <Anchor>
          <Comment id="{F5EE7D29-3614-4EBD-973A-F38B83BD71F9}"/>
        </Anchor>
        <Create/>
      </Event>
      <Event time="2026-02-12T10:42:14.68" id="{34E07F5F-5FC4-4883-A803-9532896F104B}">
        <Attribution userId="S::philipp.henningsen@europarl.europa.eu::c71fb78c-8e8a-4f3a-a419-4af985ccfba2" userName="HENNINGSEN Philipp Alexander" userProvider="AD"/>
        <Anchor>
          <Comment id="{F5EE7D29-3614-4EBD-973A-F38B83BD71F9}"/>
        </Anchor>
        <Assign userId="S::katrin.gabelein@europarl.europa.eu::5ae54039-f750-4f1d-a5fd-e1b305f012f8" userName="GABELEIN-PAEHLER Katrin" userProvider="AD"/>
      </Event>
      <Event time="2026-02-12T10:42:14.68" id="{7128414B-ECC8-4CFB-9BFF-7B189FA04CFF}">
        <Attribution userId="S::philipp.henningsen@europarl.europa.eu::c71fb78c-8e8a-4f3a-a419-4af985ccfba2" userName="HENNINGSEN Philipp Alexander" userProvider="AD"/>
        <Anchor>
          <Comment id="{F5EE7D29-3614-4EBD-973A-F38B83BD71F9}"/>
        </Anchor>
        <SetTitle title="@GABELEIN-PAEHLER Katrin please update the title (the language shouldn't be included there), the subtitle &quot;Online&quot;, and the CM to learn.lead"/>
      </Event>
      <Event time="2026-02-12T13:58:14.69" id="{095AF915-6E7B-4CE3-AE11-0A72546BABED}">
        <Attribution userId="S::kaja.stih@europarl.europa.eu::51fda843-ea10-4b80-9330-effdc0ee0af4" userName="ŠTIH Kaja" userProvider="AD"/>
        <Progress percentComplete="100"/>
      </Event>
    </History>
  </Task>
  <Task id="{AEA35D76-09CE-4F41-96C9-5F3469F510E0}">
    <Anchor>
      <Comment id="{B435477E-AC14-42CC-9C42-28C4D58AC267}"/>
    </Anchor>
    <History>
      <Event time="2026-02-13T10:48:39.94" id="{7EC78E57-1E01-456B-A15E-DA18AB219661}">
        <Attribution userId="S::philipp.henningsen@europarl.europa.eu::c71fb78c-8e8a-4f3a-a419-4af985ccfba2" userName="HENNINGSEN Philipp Alexander" userProvider="AD"/>
        <Anchor>
          <Comment id="{72AB0302-64EF-4E33-8709-53938BABB14F}"/>
        </Anchor>
        <Create/>
      </Event>
      <Event time="2026-02-13T10:48:39.94" id="{3216D3AA-2AD0-4FE9-A794-B567F6B6B97D}">
        <Attribution userId="S::philipp.henningsen@europarl.europa.eu::c71fb78c-8e8a-4f3a-a419-4af985ccfba2" userName="HENNINGSEN Philipp Alexander" userProvider="AD"/>
        <Anchor>
          <Comment id="{72AB0302-64EF-4E33-8709-53938BABB14F}"/>
        </Anchor>
        <Assign userId="S::mariana.krajcova@europarl.europa.eu::9406e375-a50e-423a-8a93-350a89b5b4e0" userName="KRAJCOVA Mariana" userProvider="AD"/>
      </Event>
      <Event time="2026-02-13T10:48:39.94" id="{D46F5FE2-EC49-48F8-8300-F2D649B66891}">
        <Attribution userId="S::philipp.henningsen@europarl.europa.eu::c71fb78c-8e8a-4f3a-a419-4af985ccfba2" userName="HENNINGSEN Philipp Alexander" userProvider="AD"/>
        <Anchor>
          <Comment id="{72AB0302-64EF-4E33-8709-53938BABB14F}"/>
        </Anchor>
        <SetTitle title="proposal: no. To be checked by @KRAJCOVA Mariana."/>
      </Event>
      <Event time="2026-02-26T15:01:19.02" id="{5B1E29C4-9DD9-48FA-85BC-2E563362B2A0}">
        <Attribution userId="S::philipp.henningsen@europarl.europa.eu::c71fb78c-8e8a-4f3a-a419-4af985ccfba2" userName="HENNINGSEN Philipp Alexander" userProvider="AD"/>
        <Progress percentComplete="100"/>
      </Event>
    </History>
  </Task>
  <Task id="{9C1A8D79-FD6B-4A6B-9D40-A6B80B998322}">
    <Anchor>
      <Comment id="{461F27B9-8511-4564-B442-A236EDE782E8}"/>
    </Anchor>
    <History>
      <Event time="2026-02-13T11:36:14.19" id="{1C85DD72-C694-42D7-A5C9-4A5E2A882BD9}">
        <Attribution userId="S::philipp.henningsen@europarl.europa.eu::c71fb78c-8e8a-4f3a-a419-4af985ccfba2" userName="HENNINGSEN Philipp Alexander" userProvider="AD"/>
        <Anchor>
          <Comment id="{461F27B9-8511-4564-B442-A236EDE782E8}"/>
        </Anchor>
        <Create/>
      </Event>
      <Event time="2026-02-13T11:36:14.19" id="{2DFA0D2E-C63F-4819-AA6E-EFD90E49EF39}">
        <Attribution userId="S::philipp.henningsen@europarl.europa.eu::c71fb78c-8e8a-4f3a-a419-4af985ccfba2" userName="HENNINGSEN Philipp Alexander" userProvider="AD"/>
        <Anchor>
          <Comment id="{461F27B9-8511-4564-B442-A236EDE782E8}"/>
        </Anchor>
        <Assign userId="S::viviana.conte@europarl.europa.eu::e85e276d-dca5-4605-843d-949eb0afa159" userName="CONTE Viviana" userProvider="AD"/>
      </Event>
      <Event time="2026-02-13T11:36:14.19" id="{9938F632-DE6E-41C2-8C1B-6BDAD96757CC}">
        <Attribution userId="S::philipp.henningsen@europarl.europa.eu::c71fb78c-8e8a-4f3a-a419-4af985ccfba2" userName="HENNINGSEN Philipp Alexander" userProvider="AD"/>
        <Anchor>
          <Comment id="{461F27B9-8511-4564-B442-A236EDE782E8}"/>
        </Anchor>
        <SetTitle title="@CONTE Viviana This course is only organised online but encoded as blended learning. Please consider creating an online template instead. In any case: add subtitle = Online, location = online."/>
      </Event>
      <Event time="2026-02-26T15:16:05.35" id="{411ED5DC-F924-4CE5-B452-341AE3C9E36D}">
        <Attribution userId="S::philipp.henningsen@europarl.europa.eu::c71fb78c-8e8a-4f3a-a419-4af985ccfba2" userName="HENNINGSEN Philipp Alexander" userProvider="AD"/>
        <Progress percentComplete="100"/>
      </Event>
    </History>
  </Task>
  <Task id="{2034D179-C9CB-48EA-868E-9FF1D91A037C}">
    <Anchor>
      <Comment id="{3622B840-A29C-4B76-A514-8F19FD08059E}"/>
    </Anchor>
    <History>
      <Event time="2026-02-12T09:40:38.47" id="{EDE764D5-EB95-446B-BFC2-3AA390C12883}">
        <Attribution userId="S::philipp.henningsen@europarl.europa.eu::c71fb78c-8e8a-4f3a-a419-4af985ccfba2" userName="HENNINGSEN Philipp Alexander" userProvider="AD"/>
        <Anchor>
          <Comment id="{3622B840-A29C-4B76-A514-8F19FD08059E}"/>
        </Anchor>
        <Create/>
      </Event>
      <Event time="2026-02-12T09:40:38.47" id="{E9A77594-101A-41ED-BF0F-E2A3D74DB37A}">
        <Attribution userId="S::philipp.henningsen@europarl.europa.eu::c71fb78c-8e8a-4f3a-a419-4af985ccfba2" userName="HENNINGSEN Philipp Alexander" userProvider="AD"/>
        <Anchor>
          <Comment id="{3622B840-A29C-4B76-A514-8F19FD08059E}"/>
        </Anchor>
        <Assign userId="S::mariana.krajcova@europarl.europa.eu::9406e375-a50e-423a-8a93-350a89b5b4e0" userName="KRAJCOVA Mariana" userProvider="AD"/>
      </Event>
      <Event time="2026-02-12T09:40:38.47" id="{1A7C729D-7E58-4739-830F-278239D9190C}">
        <Attribution userId="S::philipp.henningsen@europarl.europa.eu::c71fb78c-8e8a-4f3a-a419-4af985ccfba2" userName="HENNINGSEN Philipp Alexander" userProvider="AD"/>
        <Anchor>
          <Comment id="{3622B840-A29C-4B76-A514-8F19FD08059E}"/>
        </Anchor>
        <SetTitle title="@KRAJCOVA Mariana can we remove this from the catalogue? No course organised since 2024. The recordings are availabe via a different template?"/>
      </Event>
      <Event time="2026-02-16T10:51:07.85" id="{9A1FE366-07F2-4C68-BFBC-D0FF92B31EEA}">
        <Attribution userId="S::philipp.henningsen@europarl.europa.eu::c71fb78c-8e8a-4f3a-a419-4af985ccfba2" userName="HENNINGSEN Philipp Alexander" userProvider="AD"/>
        <Progress percentComplete="100"/>
      </Event>
    </History>
  </Task>
  <Task id="{02B10A7F-C696-41E6-BCBC-B298847FCF87}">
    <Anchor>
      <Comment id="{29C1A9FF-D543-4E87-AA1E-9AA2F359374B}"/>
    </Anchor>
    <History>
      <Event time="2026-02-13T12:05:32.97" id="{EDEF2C51-A8F6-4976-A527-734094F1FE92}">
        <Attribution userId="S::philipp.henningsen@europarl.europa.eu::c71fb78c-8e8a-4f3a-a419-4af985ccfba2" userName="HENNINGSEN Philipp Alexander" userProvider="AD"/>
        <Anchor>
          <Comment id="{29C1A9FF-D543-4E87-AA1E-9AA2F359374B}"/>
        </Anchor>
        <Create/>
      </Event>
      <Event time="2026-02-13T12:05:32.97" id="{C474203B-C1A7-450A-9117-E17C3699B2EB}">
        <Attribution userId="S::philipp.henningsen@europarl.europa.eu::c71fb78c-8e8a-4f3a-a419-4af985ccfba2" userName="HENNINGSEN Philipp Alexander" userProvider="AD"/>
        <Anchor>
          <Comment id="{29C1A9FF-D543-4E87-AA1E-9AA2F359374B}"/>
        </Anchor>
        <Assign userId="S::karen.dillon@europarl.europa.eu::b8eeeb34-a665-4084-9189-4fda6e1c6b85" userName="DILLON Karen" userProvider="AD"/>
      </Event>
      <Event time="2026-02-13T12:05:32.97" id="{A70B2C36-650D-4E54-820D-16D7F7173AC4}">
        <Attribution userId="S::philipp.henningsen@europarl.europa.eu::c71fb78c-8e8a-4f3a-a419-4af985ccfba2" userName="HENNINGSEN Philipp Alexander" userProvider="AD"/>
        <Anchor>
          <Comment id="{29C1A9FF-D543-4E87-AA1E-9AA2F359374B}"/>
        </Anchor>
        <SetTitle title="@DILLON Karen @KRAJCOVA Mariana Can we remove this from the catalogue? Has only been organised once."/>
      </Event>
      <Event time="2026-02-16T07:49:02.79" id="{42EE491B-C813-46A7-B2F8-FC2EAB21D20F}">
        <Attribution userId="S::philipp.henningsen@europarl.europa.eu::c71fb78c-8e8a-4f3a-a419-4af985ccfba2" userName="HENNINGSEN Philipp Alexander" userProvider="AD"/>
        <Progress percentComplete="100"/>
      </Event>
    </History>
  </Task>
  <Task id="{1E751582-8509-4B3B-8CFE-BC7D3E76F3CD}">
    <Anchor>
      <Comment id="{1B8EB6DE-B913-4915-8ED7-E7C4AF8F1750}"/>
    </Anchor>
    <History>
      <Event time="2026-02-12T09:34:31.40" id="{D95B415A-48D2-47FB-ABDF-61E74C8621F4}">
        <Attribution userId="S::philipp.henningsen@europarl.europa.eu::c71fb78c-8e8a-4f3a-a419-4af985ccfba2" userName="HENNINGSEN Philipp Alexander" userProvider="AD"/>
        <Anchor>
          <Comment id="{1B8EB6DE-B913-4915-8ED7-E7C4AF8F1750}"/>
        </Anchor>
        <Create/>
      </Event>
      <Event time="2026-02-12T09:34:31.40" id="{39A4067A-3D39-44E9-A9FE-F597957B3BB2}">
        <Attribution userId="S::philipp.henningsen@europarl.europa.eu::c71fb78c-8e8a-4f3a-a419-4af985ccfba2" userName="HENNINGSEN Philipp Alexander" userProvider="AD"/>
        <Anchor>
          <Comment id="{1B8EB6DE-B913-4915-8ED7-E7C4AF8F1750}"/>
        </Anchor>
        <Assign userId="S::annica.torneryd@europarl.europa.eu::81585dee-6f6c-4017-af65-2c3ebcebf001" userName="TORNERYD Annica" userProvider="AD"/>
      </Event>
      <Event time="2026-02-12T09:34:31.40" id="{4F570BD5-A1C9-4AAB-B520-0F61066E8C95}">
        <Attribution userId="S::philipp.henningsen@europarl.europa.eu::c71fb78c-8e8a-4f3a-a419-4af985ccfba2" userName="HENNINGSEN Philipp Alexander" userProvider="AD"/>
        <Anchor>
          <Comment id="{1B8EB6DE-B913-4915-8ED7-E7C4AF8F1750}"/>
        </Anchor>
        <SetTitle title="@TORNERYD Annica Can we remove this template from the catalogue? Not organised since 2024"/>
      </Event>
      <Event time="2026-02-12T10:55:23.41" id="{9E7C1F4C-A248-4CCB-A8FE-E91551F3544A}">
        <Attribution userId="S::philipp.henningsen@europarl.europa.eu::c71fb78c-8e8a-4f3a-a419-4af985ccfba2" userName="HENNINGSEN Philipp Alexander" userProvider="AD"/>
        <Progress percentComplete="100"/>
      </Event>
    </History>
  </Task>
  <Task id="{1424AA84-DD6B-40F2-A28B-F93C2738C6BB}">
    <Anchor>
      <Comment id="{BC86A5E0-528C-4A69-B214-F654DC4D069D}"/>
    </Anchor>
    <History>
      <Event time="2026-02-04T11:02:17.15" id="{735885E3-CBA7-430F-BC61-BFEDD8D3FC69}">
        <Attribution userId="S::philipp.henningsen@europarl.europa.eu::c71fb78c-8e8a-4f3a-a419-4af985ccfba2" userName="HENNINGSEN Philipp Alexander" userProvider="AD"/>
        <Anchor>
          <Comment id="{BC86A5E0-528C-4A69-B214-F654DC4D069D}"/>
        </Anchor>
        <Create/>
      </Event>
      <Event time="2026-02-04T11:02:17.15" id="{0D7A8218-FB25-4976-B8F8-DDD338D6F248}">
        <Attribution userId="S::philipp.henningsen@europarl.europa.eu::c71fb78c-8e8a-4f3a-a419-4af985ccfba2" userName="HENNINGSEN Philipp Alexander" userProvider="AD"/>
        <Anchor>
          <Comment id="{BC86A5E0-528C-4A69-B214-F654DC4D069D}"/>
        </Anchor>
        <Assign userId="S::elodie.macler@europarl.europa.eu::bcd004a1-3db2-4e06-bbd8-69a91cd4236b" userName="MACLER Elodie" userProvider="AD"/>
      </Event>
      <Event time="2026-02-04T11:02:17.15" id="{7F48F4E8-8668-4E51-A8F5-D516B28CB3BB}">
        <Attribution userId="S::philipp.henningsen@europarl.europa.eu::c71fb78c-8e8a-4f3a-a419-4af985ccfba2" userName="HENNINGSEN Philipp Alexander" userProvider="AD"/>
        <Anchor>
          <Comment id="{BC86A5E0-528C-4A69-B214-F654DC4D069D}"/>
        </Anchor>
        <SetTitle title="@MACLER Elodie Can this learning path be removed from the catalogue? None of the courses is available."/>
      </Event>
      <Event time="2026-02-05T10:25:52.37" id="{6FED482F-3CB5-4934-B8C5-3A86B5FA38A3}">
        <Attribution userId="S::elodie.macler@europarl.europa.eu::bcd004a1-3db2-4e06-bbd8-69a91cd4236b" userName="MACLER Elodie" userProvider="AD"/>
        <Progress percentComplete="100"/>
      </Event>
    </History>
  </Task>
  <Task id="{D8D3C188-202F-47E4-86BC-8B66E57BF3CE}">
    <Anchor>
      <Comment id="{4F1F7A89-79A6-4732-A254-6C5A73AC4CC3}"/>
    </Anchor>
    <History>
      <Event time="2026-02-12T09:30:34.17" id="{CD8EE837-6F19-46B7-89FE-9EA400802944}">
        <Attribution userId="S::philipp.henningsen@europarl.europa.eu::c71fb78c-8e8a-4f3a-a419-4af985ccfba2" userName="HENNINGSEN Philipp Alexander" userProvider="AD"/>
        <Anchor>
          <Comment id="{4F1F7A89-79A6-4732-A254-6C5A73AC4CC3}"/>
        </Anchor>
        <Create/>
      </Event>
      <Event time="2026-02-12T09:30:34.17" id="{782CEEC5-8DAD-4BA6-BB14-A3043F530EEF}">
        <Attribution userId="S::philipp.henningsen@europarl.europa.eu::c71fb78c-8e8a-4f3a-a419-4af985ccfba2" userName="HENNINGSEN Philipp Alexander" userProvider="AD"/>
        <Anchor>
          <Comment id="{4F1F7A89-79A6-4732-A254-6C5A73AC4CC3}"/>
        </Anchor>
        <Assign userId="S::carlos.zanoli@europarl.europa.eu::67b254d1-751a-4cf0-975e-7a11bef1b7e1" userName="ZANOLI Carlos" userProvider="AD"/>
      </Event>
      <Event time="2026-02-12T09:30:34.17" id="{92ABC570-F321-40AB-A40E-FECF52286E7A}">
        <Attribution userId="S::philipp.henningsen@europarl.europa.eu::c71fb78c-8e8a-4f3a-a419-4af985ccfba2" userName="HENNINGSEN Philipp Alexander" userProvider="AD"/>
        <Anchor>
          <Comment id="{4F1F7A89-79A6-4732-A254-6C5A73AC4CC3}"/>
        </Anchor>
        <SetTitle title="@ZANOLI Carlos can we remove this? not organised since 2024"/>
      </Event>
      <Event time="2026-02-12T15:49:30.22" id="{E08D7530-DBCB-4271-AA5E-BFEC134082F6}">
        <Attribution userId="S::carlos.zanoli@europarl.europa.eu::67b254d1-751a-4cf0-975e-7a11bef1b7e1" userName="ZANOLI Carlos" userProvider="AD"/>
        <Progress percentComplete="100"/>
      </Event>
    </History>
  </Task>
  <Task id="{7885188C-830E-4B83-8044-DD58A82CA26D}">
    <Anchor>
      <Comment id="{64158405-6DCA-479E-A63D-409232DC9FB3}"/>
    </Anchor>
    <History>
      <Event time="2026-02-04T12:46:59.86" id="{9ABCF00B-D69A-4997-82C4-5067DC1540C7}">
        <Attribution userId="S::adeline.chartol@ext.europarl.europa.eu::b3cd6b16-3849-4f4d-8c6c-36eee8177c05" userName="CHARTOL Adeline" userProvider="AD"/>
        <Anchor>
          <Comment id="{64158405-6DCA-479E-A63D-409232DC9FB3}"/>
        </Anchor>
        <Create/>
      </Event>
      <Event time="2026-02-04T12:46:59.86" id="{C26636DF-607C-4B3A-A3EF-1930CD04A1CD}">
        <Attribution userId="S::adeline.chartol@ext.europarl.europa.eu::b3cd6b16-3849-4f4d-8c6c-36eee8177c05" userName="CHARTOL Adeline" userProvider="AD"/>
        <Anchor>
          <Comment id="{64158405-6DCA-479E-A63D-409232DC9FB3}"/>
        </Anchor>
        <Assign userId="S::carlos.zanoli@europarl.europa.eu::67b254d1-751a-4cf0-975e-7a11bef1b7e1" userName="ZANOLI Carlos" userProvider="AD"/>
      </Event>
      <Event time="2026-02-04T12:46:59.86" id="{1BEE4849-76E0-42CF-A553-31BFAB093D0B}">
        <Attribution userId="S::adeline.chartol@ext.europarl.europa.eu::b3cd6b16-3849-4f4d-8c6c-36eee8177c05" userName="CHARTOL Adeline" userProvider="AD"/>
        <Anchor>
          <Comment id="{64158405-6DCA-479E-A63D-409232DC9FB3}"/>
        </Anchor>
        <SetTitle title="@ZANOLI Carlos subtitle needs to be fixed"/>
      </Event>
      <Event time="2026-02-12T16:26:05.83" id="{6BBC3258-9EFB-4F77-8E41-5A1F4737B82F}">
        <Attribution userId="S::carlos.zanoli@europarl.europa.eu::67b254d1-751a-4cf0-975e-7a11bef1b7e1" userName="ZANOLI Carlos" userProvider="AD"/>
        <Progress percentComplete="100"/>
      </Event>
    </History>
  </Task>
  <Task id="{0CAD7390-8D67-4BB4-8F96-EF1A92682B2A}">
    <Anchor>
      <Comment id="{46BBE0BB-106F-4034-B971-797271442C49}"/>
    </Anchor>
    <History>
      <Event time="2026-02-06T11:23:31.57" id="{DB73A7F2-52AD-4364-9891-7A8991D81704}">
        <Attribution userId="S::philipp.henningsen@europarl.europa.eu::c71fb78c-8e8a-4f3a-a419-4af985ccfba2" userName="HENNINGSEN Philipp Alexander" userProvider="AD"/>
        <Anchor>
          <Comment id="{6E733C46-4D4D-42B2-84B2-7873E5EA6AA4}"/>
        </Anchor>
        <Create/>
      </Event>
      <Event time="2026-02-06T11:23:31.57" id="{D333472D-4916-4B9A-A1FD-6EC6EB9C2F8A}">
        <Attribution userId="S::philipp.henningsen@europarl.europa.eu::c71fb78c-8e8a-4f3a-a419-4af985ccfba2" userName="HENNINGSEN Philipp Alexander" userProvider="AD"/>
        <Anchor>
          <Comment id="{6E733C46-4D4D-42B2-84B2-7873E5EA6AA4}"/>
        </Anchor>
        <Assign userId="S::viktoriya.krasteva@europarl.europa.eu::f10a207b-7d0f-44ad-bfb0-2ac6584b63f9" userName="KRASTEVA Viktoriya" userProvider="AD"/>
      </Event>
      <Event time="2026-02-06T11:23:31.57" id="{395F6B0E-8E63-4FD2-8BF7-960F5DCA67E2}">
        <Attribution userId="S::philipp.henningsen@europarl.europa.eu::c71fb78c-8e8a-4f3a-a419-4af985ccfba2" userName="HENNINGSEN Philipp Alexander" userProvider="AD"/>
        <Anchor>
          <Comment id="{6E733C46-4D4D-42B2-84B2-7873E5EA6AA4}"/>
        </Anchor>
        <SetTitle title="@KRASTEVA Viktoriya"/>
      </Event>
      <Event time="2026-02-09T11:49:05.54" id="{D738C718-69D2-472C-A441-CF084425A709}">
        <Attribution userId="S::viktoriya.krasteva@europarl.europa.eu::f10a207b-7d0f-44ad-bfb0-2ac6584b63f9" userName="KRASTEVA Viktoriya" userProvider="AD"/>
        <Progress percentComplete="100"/>
      </Event>
    </History>
  </Task>
  <Task id="{8ADCD995-3A30-4888-A158-59B31AFD604A}">
    <Anchor>
      <Comment id="{74B0C125-611F-4B15-A7A3-56AA1C9474E9}"/>
    </Anchor>
    <History>
      <Event time="2026-02-04T08:57:30.99" id="{C43F87B3-B7CF-4749-8FAA-8EFE7F310A59}">
        <Attribution userId="S::adeline.chartol@ext.europarl.europa.eu::b3cd6b16-3849-4f4d-8c6c-36eee8177c05" userName="CHARTOL Adeline" userProvider="AD"/>
        <Anchor>
          <Comment id="{74B0C125-611F-4B15-A7A3-56AA1C9474E9}"/>
        </Anchor>
        <Create/>
      </Event>
      <Event time="2026-02-04T08:57:30.99" id="{520C9A69-5AA3-4185-A3FF-2F4B0A0F062F}">
        <Attribution userId="S::adeline.chartol@ext.europarl.europa.eu::b3cd6b16-3849-4f4d-8c6c-36eee8177c05" userName="CHARTOL Adeline" userProvider="AD"/>
        <Anchor>
          <Comment id="{74B0C125-611F-4B15-A7A3-56AA1C9474E9}"/>
        </Anchor>
        <Assign userId="S::carlos.zanoli@europarl.europa.eu::67b254d1-751a-4cf0-975e-7a11bef1b7e1" userName="ZANOLI Carlos" userProvider="AD"/>
      </Event>
      <Event time="2026-02-04T08:57:30.99" id="{CFED3B39-7CBC-4C8A-A0B6-6EACF72AA222}">
        <Attribution userId="S::adeline.chartol@ext.europarl.europa.eu::b3cd6b16-3849-4f4d-8c6c-36eee8177c05" userName="CHARTOL Adeline" userProvider="AD"/>
        <Anchor>
          <Comment id="{74B0C125-611F-4B15-A7A3-56AA1C9474E9}"/>
        </Anchor>
        <SetTitle title="@ZANOLI Carlos can you please change the subtitle to delivery mode?"/>
      </Event>
      <Event time="2026-02-12T15:39:12.63" id="{CC0AB2A1-5FB0-43A3-8F65-014A0B0DF31A}">
        <Attribution userId="S::carlos.zanoli@europarl.europa.eu::67b254d1-751a-4cf0-975e-7a11bef1b7e1" userName="ZANOLI Carlos" userProvider="AD"/>
        <Progress percentComplete="100"/>
      </Event>
    </History>
  </Task>
  <Task id="{6A09F098-29DB-4688-A270-715E2334431B}">
    <Anchor>
      <Comment id="{A14525D5-9D2C-48CA-8EDE-0735BC7D3816}"/>
    </Anchor>
    <History>
      <Event time="2026-02-04T10:19:31.86" id="{5B125472-47F1-4323-BB32-9215CDB94D68}">
        <Attribution userId="S::adeline.chartol@ext.europarl.europa.eu::b3cd6b16-3849-4f4d-8c6c-36eee8177c05" userName="CHARTOL Adeline" userProvider="AD"/>
        <Anchor>
          <Comment id="{A14525D5-9D2C-48CA-8EDE-0735BC7D3816}"/>
        </Anchor>
        <Create/>
      </Event>
      <Event time="2026-02-04T10:19:31.86" id="{C751A8EA-265B-464C-B7A1-B6EF732B8F99}">
        <Attribution userId="S::adeline.chartol@ext.europarl.europa.eu::b3cd6b16-3849-4f4d-8c6c-36eee8177c05" userName="CHARTOL Adeline" userProvider="AD"/>
        <Anchor>
          <Comment id="{A14525D5-9D2C-48CA-8EDE-0735BC7D3816}"/>
        </Anchor>
        <Assign userId="S::carlos.zanoli@europarl.europa.eu::67b254d1-751a-4cf0-975e-7a11bef1b7e1" userName="ZANOLI Carlos" userProvider="AD"/>
      </Event>
      <Event time="2026-02-04T10:19:31.86" id="{02B76F18-FDC0-4A9F-8A80-4D4CCFF6F8B3}">
        <Attribution userId="S::adeline.chartol@ext.europarl.europa.eu::b3cd6b16-3849-4f4d-8c6c-36eee8177c05" userName="CHARTOL Adeline" userProvider="AD"/>
        <Anchor>
          <Comment id="{A14525D5-9D2C-48CA-8EDE-0735BC7D3816}"/>
        </Anchor>
        <SetTitle title="@ZANOLI Carlos subtitle is wrong"/>
      </Event>
      <Event time="2026-02-12T15:53:18.16" id="{E07B1997-51B2-41F9-97A4-B8C918587677}">
        <Attribution userId="S::carlos.zanoli@europarl.europa.eu::67b254d1-751a-4cf0-975e-7a11bef1b7e1" userName="ZANOLI Carlos" userProvider="AD"/>
        <Progress percentComplete="100"/>
      </Event>
      <Event time="2026-02-13T11:56:01.60" id="{F926EDB8-24F7-44F0-B17F-3702BC1BDFF6}">
        <Attribution userId="S::adeline.chartol@ext.europarl.europa.eu::b3cd6b16-3849-4f4d-8c6c-36eee8177c05" userName="CHARTOL Adeline" userProvider="AD"/>
        <Progress percentComplete="0"/>
      </Event>
      <Event time="2026-02-16T08:45:54.59" id="{1B274569-1DBC-44A7-9379-B604E3855015}">
        <Attribution userId="S::carlos.zanoli@europarl.europa.eu::67b254d1-751a-4cf0-975e-7a11bef1b7e1" userName="ZANOLI Carlos" userProvider="AD"/>
        <Progress percentComplete="100"/>
      </Event>
      <Event time="2026-03-09T11:03:55.84" id="{0B282A1A-9BD3-49FE-8D99-9F3EA85EA20B}">
        <Attribution userId="S::philipp.henningsen@europarl.europa.eu::c71fb78c-8e8a-4f3a-a419-4af985ccfba2" userName="HENNINGSEN Philipp Alexander" userProvider="AD"/>
        <Progress percentComplete="0"/>
      </Event>
      <Event time="2026-03-09T11:04:10.48" id="{F59C8831-7357-4CB6-B255-E4917553A0B6}">
        <Attribution userId="S::philipp.henningsen@europarl.europa.eu::c71fb78c-8e8a-4f3a-a419-4af985ccfba2" userName="HENNINGSEN Philipp Alexander" userProvider="AD"/>
        <Progress percentComplete="100"/>
      </Event>
    </History>
  </Task>
  <Task id="{B874929A-EB5D-4F27-930F-5E20DF33E01E}">
    <Anchor>
      <Comment id="{7D2CB1C6-782B-4C7A-A498-8C7E3AAD28BB}"/>
    </Anchor>
    <History>
      <Event time="2026-02-16T17:04:55.18" id="{C7FC14AF-9688-4786-A24E-1050BEAA5878}">
        <Attribution userId="S::kaja.stih@europarl.europa.eu::51fda843-ea10-4b80-9330-effdc0ee0af4" userName="ŠTIH Kaja" userProvider="AD"/>
        <Anchor>
          <Comment id="{7D2CB1C6-782B-4C7A-A498-8C7E3AAD28BB}"/>
        </Anchor>
        <Create/>
      </Event>
      <Event time="2026-02-16T17:04:55.18" id="{D36751E3-6071-4283-9FDD-86A50900E4A1}">
        <Attribution userId="S::kaja.stih@europarl.europa.eu::51fda843-ea10-4b80-9330-effdc0ee0af4" userName="ŠTIH Kaja" userProvider="AD"/>
        <Anchor>
          <Comment id="{7D2CB1C6-782B-4C7A-A498-8C7E3AAD28BB}"/>
        </Anchor>
        <Assign userId="S::mariana.krajcova@europarl.europa.eu::9406e375-a50e-423a-8a93-350a89b5b4e0" userName="KRAJCOVA Mariana" userProvider="AD"/>
      </Event>
      <Event time="2026-02-16T17:04:55.18" id="{E28CC451-550C-4EBF-AC24-0150ED2536D7}">
        <Attribution userId="S::kaja.stih@europarl.europa.eu::51fda843-ea10-4b80-9330-effdc0ee0af4" userName="ŠTIH Kaja" userProvider="AD"/>
        <Anchor>
          <Comment id="{7D2CB1C6-782B-4C7A-A498-8C7E3AAD28BB}"/>
        </Anchor>
        <SetTitle title="@KRAJCOVA Mariana is this elearning still in use? Shall we keep it in the catalogue?"/>
      </Event>
      <Event time="2026-02-26T15:05:07.25" id="{271DA6BA-3864-4768-86CE-4FBABBBB5003}">
        <Attribution userId="S::philipp.henningsen@europarl.europa.eu::c71fb78c-8e8a-4f3a-a419-4af985ccfba2" userName="HENNINGSEN Philipp Alexander" userProvider="AD"/>
        <Progress percentComplete="100"/>
      </Event>
    </History>
  </Task>
  <Task id="{930B649C-BB1E-4E4F-BEE6-84B8DE8DCD6C}">
    <Anchor>
      <Comment id="{E645A24C-BDDA-4F9F-AF9C-C680C9DD5EA8}"/>
    </Anchor>
    <History>
      <Event time="2026-02-04T10:18:43.52" id="{90586E2E-CA48-468F-A0BA-B2ABDE688EF0}">
        <Attribution userId="S::adeline.chartol@ext.europarl.europa.eu::b3cd6b16-3849-4f4d-8c6c-36eee8177c05" userName="CHARTOL Adeline" userProvider="AD"/>
        <Anchor>
          <Comment id="{E645A24C-BDDA-4F9F-AF9C-C680C9DD5EA8}"/>
        </Anchor>
        <Create/>
      </Event>
      <Event time="2026-02-04T10:18:43.52" id="{A11D928B-6375-466E-9AA4-FDA7ABF919B8}">
        <Attribution userId="S::adeline.chartol@ext.europarl.europa.eu::b3cd6b16-3849-4f4d-8c6c-36eee8177c05" userName="CHARTOL Adeline" userProvider="AD"/>
        <Anchor>
          <Comment id="{E645A24C-BDDA-4F9F-AF9C-C680C9DD5EA8}"/>
        </Anchor>
        <Assign userId="S::carlos.zanoli@europarl.europa.eu::67b254d1-751a-4cf0-975e-7a11bef1b7e1" userName="ZANOLI Carlos" userProvider="AD"/>
      </Event>
      <Event time="2026-02-04T10:18:43.52" id="{27DE6F68-C298-4BBE-A647-4F6843C35B77}">
        <Attribution userId="S::adeline.chartol@ext.europarl.europa.eu::b3cd6b16-3849-4f4d-8c6c-36eee8177c05" userName="CHARTOL Adeline" userProvider="AD"/>
        <Anchor>
          <Comment id="{E645A24C-BDDA-4F9F-AF9C-C680C9DD5EA8}"/>
        </Anchor>
        <SetTitle title="@ZANOLI Carlos subtitle is wrong"/>
      </Event>
      <Event time="2026-02-12T15:52:35.42" id="{F03DB13D-7D05-4623-836F-98D69165ECAF}">
        <Attribution userId="S::carlos.zanoli@europarl.europa.eu::67b254d1-751a-4cf0-975e-7a11bef1b7e1" userName="ZANOLI Carlos" userProvider="AD"/>
        <Progress percentComplete="100"/>
      </Event>
      <Event time="2026-02-13T11:54:58.45" id="{E5C7DE36-4C3A-4012-85A9-64B077702BC6}">
        <Attribution userId="S::adeline.chartol@ext.europarl.europa.eu::b3cd6b16-3849-4f4d-8c6c-36eee8177c05" userName="CHARTOL Adeline" userProvider="AD"/>
        <Progress percentComplete="0"/>
      </Event>
      <Event time="2026-02-16T08:47:12.16" id="{FFDA10DD-A5C9-42A2-ADB8-85F41EA5B7CA}">
        <Attribution userId="S::carlos.zanoli@europarl.europa.eu::67b254d1-751a-4cf0-975e-7a11bef1b7e1" userName="ZANOLI Carlos" userProvider="AD"/>
        <Progress percentComplete="100"/>
      </Event>
    </History>
  </Task>
  <Task id="{22AEC09D-EDA9-44D8-AF65-5E65F26DA17F}">
    <Anchor>
      <Comment id="{5B882A97-4C99-4C73-9DC0-768A8DF9BB4B}"/>
    </Anchor>
    <History>
      <Event time="2026-02-06T11:15:02.24" id="{CE4951D5-915D-40A2-BFDD-D00199A8DE05}">
        <Attribution userId="S::philipp.henningsen@europarl.europa.eu::c71fb78c-8e8a-4f3a-a419-4af985ccfba2" userName="HENNINGSEN Philipp Alexander" userProvider="AD"/>
        <Anchor>
          <Comment id="{D3B219CD-A653-46B2-8849-71EE5DDB47A1}"/>
        </Anchor>
        <Create/>
      </Event>
      <Event time="2026-02-06T11:15:02.24" id="{193FF397-5883-40E1-B62A-1BC78B4B6219}">
        <Attribution userId="S::philipp.henningsen@europarl.europa.eu::c71fb78c-8e8a-4f3a-a419-4af985ccfba2" userName="HENNINGSEN Philipp Alexander" userProvider="AD"/>
        <Anchor>
          <Comment id="{D3B219CD-A653-46B2-8849-71EE5DDB47A1}"/>
        </Anchor>
        <Assign userId="S::elodie.macler@europarl.europa.eu::bcd004a1-3db2-4e06-bbd8-69a91cd4236b" userName="MACLER Elodie" userProvider="AD"/>
      </Event>
      <Event time="2026-02-06T11:15:02.24" id="{B90FF981-6C73-4D99-85DB-BA032015F1E3}">
        <Attribution userId="S::philipp.henningsen@europarl.europa.eu::c71fb78c-8e8a-4f3a-a419-4af985ccfba2" userName="HENNINGSEN Philipp Alexander" userProvider="AD"/>
        <Anchor>
          <Comment id="{D3B219CD-A653-46B2-8849-71EE5DDB47A1}"/>
        </Anchor>
        <SetTitle title="@MACLER Elodie"/>
      </Event>
      <Event time="2026-02-11T12:51:49.10" id="{0452637F-EA9F-4BDD-A057-AB0C74E99D59}">
        <Attribution userId="S::philipp.henningsen@europarl.europa.eu::c71fb78c-8e8a-4f3a-a419-4af985ccfba2" userName="HENNINGSEN Philipp Alexander" userProvider="AD"/>
        <Progress percentComplete="100"/>
      </Event>
    </History>
  </Task>
  <Task id="{B380299E-1A19-4907-8E13-22707635C8A9}">
    <Anchor>
      <Comment id="{1CF9D46E-58BB-4384-BADE-9C5687E04B46}"/>
    </Anchor>
    <History>
      <Event time="2026-02-17T08:34:06.98" id="{A5F563A6-5A62-4DB3-9D9D-0FCDB6F22983}">
        <Attribution userId="S::adeline.chartol@ext.europarl.europa.eu::b3cd6b16-3849-4f4d-8c6c-36eee8177c05" userName="CHARTOL Adeline" userProvider="AD"/>
        <Anchor>
          <Comment id="{1CF9D46E-58BB-4384-BADE-9C5687E04B46}"/>
        </Anchor>
        <Create/>
      </Event>
      <Event time="2026-02-17T08:34:06.98" id="{0EC7BC72-CF7B-46F7-BFF6-0D93E8AAD5E8}">
        <Attribution userId="S::adeline.chartol@ext.europarl.europa.eu::b3cd6b16-3849-4f4d-8c6c-36eee8177c05" userName="CHARTOL Adeline" userProvider="AD"/>
        <Anchor>
          <Comment id="{1CF9D46E-58BB-4384-BADE-9C5687E04B46}"/>
        </Anchor>
        <Assign userId="S::annica.torneryd@europarl.europa.eu::81585dee-6f6c-4017-af65-2c3ebcebf001" userName="TORNERYD Annica" userProvider="AD"/>
      </Event>
      <Event time="2026-02-17T08:34:06.98" id="{7819E73D-B164-436C-AB41-631A56F9F063}">
        <Attribution userId="S::adeline.chartol@ext.europarl.europa.eu::b3cd6b16-3849-4f4d-8c6c-36eee8177c05" userName="CHARTOL Adeline" userProvider="AD"/>
        <Anchor>
          <Comment id="{1CF9D46E-58BB-4384-BADE-9C5687E04B46}"/>
        </Anchor>
        <SetTitle title="@TORNERYD Annica This course has location online but is classified as a classroom course. There is also no subtitle."/>
      </Event>
      <Event time="2026-02-26T15:07:54.92" id="{0F14513F-20BA-4F41-9338-0079B2816619}">
        <Attribution userId="S::philipp.henningsen@europarl.europa.eu::c71fb78c-8e8a-4f3a-a419-4af985ccfba2" userName="HENNINGSEN Philipp Alexander" userProvider="AD"/>
        <Progress percentComplete="100"/>
      </Event>
    </History>
  </Task>
  <Task id="{468BD79E-DB4A-418E-863A-070B2E9F563D}">
    <Anchor>
      <Comment id="{16B0957E-92C0-413C-BF82-6D703BEBFB32}"/>
    </Anchor>
    <History>
      <Event time="2026-02-13T11:39:32.96" id="{71F0CB8E-1F68-45BE-BD00-AC2D08855A7B}">
        <Attribution userId="S::philipp.henningsen@europarl.europa.eu::c71fb78c-8e8a-4f3a-a419-4af985ccfba2" userName="HENNINGSEN Philipp Alexander" userProvider="AD"/>
        <Anchor>
          <Comment id="{16B0957E-92C0-413C-BF82-6D703BEBFB32}"/>
        </Anchor>
        <Create/>
      </Event>
      <Event time="2026-02-13T11:39:32.96" id="{7A1F947C-D503-4062-B308-A7C44A4F986A}">
        <Attribution userId="S::philipp.henningsen@europarl.europa.eu::c71fb78c-8e8a-4f3a-a419-4af985ccfba2" userName="HENNINGSEN Philipp Alexander" userProvider="AD"/>
        <Anchor>
          <Comment id="{16B0957E-92C0-413C-BF82-6D703BEBFB32}"/>
        </Anchor>
        <Assign userId="S::veselina.goleminova@europarl.europa.eu::d10f0c31-1772-4c33-b0e8-3398730f27e7" userName="GOLEMINOVA Veselina" userProvider="AD"/>
      </Event>
      <Event time="2026-02-13T11:39:32.96" id="{005DA37B-7A39-4B0B-BB94-E15B7F74C1B3}">
        <Attribution userId="S::philipp.henningsen@europarl.europa.eu::c71fb78c-8e8a-4f3a-a419-4af985ccfba2" userName="HENNINGSEN Philipp Alexander" userProvider="AD"/>
        <Anchor>
          <Comment id="{16B0957E-92C0-413C-BF82-6D703BEBFB32}"/>
        </Anchor>
        <SetTitle title="@GOLEMINOVA Veselina the template is created for (offline) classroom courses. Howerver there was also an online session organised with it. Please either do the &quot;Celina&quot; solution if you want to organise all courses in one or create one template for …"/>
      </Event>
      <Event time="2026-02-26T15:17:05.36" id="{2FE743CA-E4A4-453C-877B-DCBFCF7E3832}">
        <Attribution userId="S::philipp.henningsen@europarl.europa.eu::c71fb78c-8e8a-4f3a-a419-4af985ccfba2" userName="HENNINGSEN Philipp Alexander" userProvider="AD"/>
        <Progress percentComplete="100"/>
      </Event>
    </History>
  </Task>
  <Task id="{826DE1A2-385F-40CD-B045-F8F1AD915C74}">
    <Anchor>
      <Comment id="{699A661C-8ED7-4854-B55A-144B3EDD03BE}"/>
    </Anchor>
    <History>
      <Event time="2026-02-05T09:56:19.04" id="{598EBF24-EED9-4EBB-8BF3-C30EEEE82BDB}">
        <Attribution userId="S::philipp.henningsen@europarl.europa.eu::c71fb78c-8e8a-4f3a-a419-4af985ccfba2" userName="HENNINGSEN Philipp Alexander" userProvider="AD"/>
        <Anchor>
          <Comment id="{3B8C9F05-91DC-4919-9BC6-563BF1078B5A}"/>
        </Anchor>
        <Create/>
      </Event>
      <Event time="2026-02-05T09:56:19.04" id="{486E6AF6-F845-43D5-A630-1FE63D3ABFD7}">
        <Attribution userId="S::philipp.henningsen@europarl.europa.eu::c71fb78c-8e8a-4f3a-a419-4af985ccfba2" userName="HENNINGSEN Philipp Alexander" userProvider="AD"/>
        <Anchor>
          <Comment id="{3B8C9F05-91DC-4919-9BC6-563BF1078B5A}"/>
        </Anchor>
        <Assign userId="S::elodie.macler@europarl.europa.eu::bcd004a1-3db2-4e06-bbd8-69a91cd4236b" userName="MACLER Elodie" userProvider="AD"/>
      </Event>
      <Event time="2026-02-05T09:56:19.04" id="{1C0E61EB-0142-4E89-9E6B-369792C5B812}">
        <Attribution userId="S::philipp.henningsen@europarl.europa.eu::c71fb78c-8e8a-4f3a-a419-4af985ccfba2" userName="HENNINGSEN Philipp Alexander" userProvider="AD"/>
        <Anchor>
          <Comment id="{3B8C9F05-91DC-4919-9BC6-563BF1078B5A}"/>
        </Anchor>
        <SetTitle title="@MACLER Elodie In the future please use virtual classroom template to encode online courses. Do not use the offline verison."/>
      </Event>
      <Event time="2026-02-05T10:08:49.53" id="{CB10651A-538F-4DC0-8342-642B4C5ACE58}">
        <Attribution userId="S::elodie.macler@europarl.europa.eu::bcd004a1-3db2-4e06-bbd8-69a91cd4236b" userName="MACLER Elodie" userProvider="AD"/>
        <Progress percentComplete="100"/>
      </Event>
    </History>
  </Task>
  <Task id="{90A068A5-7C58-40CE-94BA-F2394031D9CF}">
    <Anchor>
      <Comment id="{4757FB79-BE33-4094-819D-DF933331AA3A}"/>
    </Anchor>
    <History>
      <Event time="2026-02-04T11:04:07.01" id="{7DE23EDF-E856-4CB1-963D-AEFBDDD4896A}">
        <Attribution userId="S::adeline.chartol@ext.europarl.europa.eu::b3cd6b16-3849-4f4d-8c6c-36eee8177c05" userName="CHARTOL Adeline" userProvider="AD"/>
        <Anchor>
          <Comment id="{4757FB79-BE33-4094-819D-DF933331AA3A}"/>
        </Anchor>
        <Create/>
      </Event>
      <Event time="2026-02-04T11:04:07.01" id="{3C2458BA-305B-400F-9367-A9AC710836D7}">
        <Attribution userId="S::adeline.chartol@ext.europarl.europa.eu::b3cd6b16-3849-4f4d-8c6c-36eee8177c05" userName="CHARTOL Adeline" userProvider="AD"/>
        <Anchor>
          <Comment id="{4757FB79-BE33-4094-819D-DF933331AA3A}"/>
        </Anchor>
        <Assign userId="S::carlos.zanoli@europarl.europa.eu::67b254d1-751a-4cf0-975e-7a11bef1b7e1" userName="ZANOLI Carlos" userProvider="AD"/>
      </Event>
      <Event time="2026-02-04T11:04:07.01" id="{F6CD12D9-B8AC-4890-8218-BADEE926DCBE}">
        <Attribution userId="S::adeline.chartol@ext.europarl.europa.eu::b3cd6b16-3849-4f4d-8c6c-36eee8177c05" userName="CHARTOL Adeline" userProvider="AD"/>
        <Anchor>
          <Comment id="{4757FB79-BE33-4094-819D-DF933331AA3A}"/>
        </Anchor>
        <SetTitle title="titles in template do not match @ZANOLI Carlos"/>
      </Event>
      <Event time="2026-02-12T16:02:31.22" id="{C8CC3C6B-6557-4B70-B2FC-322055CC52B9}">
        <Attribution userId="S::carlos.zanoli@europarl.europa.eu::67b254d1-751a-4cf0-975e-7a11bef1b7e1" userName="ZANOLI Carlos" userProvider="AD"/>
        <Progress percentComplete="100"/>
      </Event>
    </History>
  </Task>
  <Task id="{9B8E23A7-A4C6-47C5-B162-1D6B167755F5}">
    <Anchor>
      <Comment id="{D7D97B67-A236-4197-825E-214F9A67CABD}"/>
    </Anchor>
    <History>
      <Event time="2026-02-05T09:57:59.60" id="{209C49B4-C3DA-46ED-B02A-B665720588CD}">
        <Attribution userId="S::philipp.henningsen@europarl.europa.eu::c71fb78c-8e8a-4f3a-a419-4af985ccfba2" userName="HENNINGSEN Philipp Alexander" userProvider="AD"/>
        <Anchor>
          <Comment id="{D7D97B67-A236-4197-825E-214F9A67CABD}"/>
        </Anchor>
        <Create/>
      </Event>
      <Event time="2026-02-05T09:57:59.60" id="{151C1955-D2E8-4202-8DDF-C1C1DBD6A794}">
        <Attribution userId="S::philipp.henningsen@europarl.europa.eu::c71fb78c-8e8a-4f3a-a419-4af985ccfba2" userName="HENNINGSEN Philipp Alexander" userProvider="AD"/>
        <Anchor>
          <Comment id="{D7D97B67-A236-4197-825E-214F9A67CABD}"/>
        </Anchor>
        <Assign userId="S::elodie.macler@europarl.europa.eu::bcd004a1-3db2-4e06-bbd8-69a91cd4236b" userName="MACLER Elodie" userProvider="AD"/>
      </Event>
      <Event time="2026-02-05T09:57:59.60" id="{3AA66EE6-528B-4536-BC6D-E33439E85228}">
        <Attribution userId="S::philipp.henningsen@europarl.europa.eu::c71fb78c-8e8a-4f3a-a419-4af985ccfba2" userName="HENNINGSEN Philipp Alexander" userProvider="AD"/>
        <Anchor>
          <Comment id="{D7D97B67-A236-4197-825E-214F9A67CABD}"/>
        </Anchor>
        <SetTitle title="@MACLER Elodie Why is one learning path included but not the others. Could you please confirm this is intended?"/>
      </Event>
      <Event time="2026-02-05T10:52:22.24" id="{0AB6CDAF-E778-408F-A33C-395B4B1743D5}">
        <Attribution userId="S::elodie.macler@europarl.europa.eu::bcd004a1-3db2-4e06-bbd8-69a91cd4236b" userName="MACLER Elodie" userProvider="AD"/>
        <Progress percentComplete="100"/>
      </Event>
    </History>
  </Task>
  <Task id="{C7A5CAAD-18C0-4A40-876D-7BAB15AF7829}">
    <Anchor>
      <Comment id="{41B71CCA-CB8F-4F01-ABDD-B4839068C66F}"/>
    </Anchor>
    <History>
      <Event time="2026-02-04T09:02:58.57" id="{BDD340B0-0887-4C53-A4F5-A5FB07EB56B1}">
        <Attribution userId="S::adeline.chartol@ext.europarl.europa.eu::b3cd6b16-3849-4f4d-8c6c-36eee8177c05" userName="CHARTOL Adeline" userProvider="AD"/>
        <Anchor>
          <Comment id="{41B71CCA-CB8F-4F01-ABDD-B4839068C66F}"/>
        </Anchor>
        <Create/>
      </Event>
      <Event time="2026-02-04T09:02:58.57" id="{640B186B-1ED4-43A0-9466-5CD910193E59}">
        <Attribution userId="S::adeline.chartol@ext.europarl.europa.eu::b3cd6b16-3849-4f4d-8c6c-36eee8177c05" userName="CHARTOL Adeline" userProvider="AD"/>
        <Anchor>
          <Comment id="{41B71CCA-CB8F-4F01-ABDD-B4839068C66F}"/>
        </Anchor>
        <Assign userId="S::carlos.zanoli@europarl.europa.eu::67b254d1-751a-4cf0-975e-7a11bef1b7e1" userName="ZANOLI Carlos" userProvider="AD"/>
      </Event>
      <Event time="2026-02-04T09:02:58.57" id="{684B24FA-1CDD-4BE3-88B8-D695385CF9C6}">
        <Attribution userId="S::adeline.chartol@ext.europarl.europa.eu::b3cd6b16-3849-4f4d-8c6c-36eee8177c05" userName="CHARTOL Adeline" userProvider="AD"/>
        <Anchor>
          <Comment id="{41B71CCA-CB8F-4F01-ABDD-B4839068C66F}"/>
        </Anchor>
        <SetTitle title="@ZANOLI Carlos subtitles need to be fixed"/>
      </Event>
      <Event time="2026-02-12T15:41:04.75" id="{E2DF4C25-E4F0-4B32-896F-43E53FAFD7E5}">
        <Attribution userId="S::carlos.zanoli@europarl.europa.eu::67b254d1-751a-4cf0-975e-7a11bef1b7e1" userName="ZANOLI Carlos" userProvider="AD"/>
        <Progress percentComplete="100"/>
      </Event>
    </History>
  </Task>
  <Task id="{087547AE-96AA-4460-A7BF-9746DFE6AE29}">
    <Anchor>
      <Comment id="{21B318FA-C588-49D6-A6A4-A50DB10D9B8F}"/>
    </Anchor>
    <History>
      <Event time="2026-02-03T15:49:39.22" id="{E11EA491-1172-47FC-BF14-4CB7605B7264}">
        <Attribution userId="S::philipp.henningsen@europarl.europa.eu::c71fb78c-8e8a-4f3a-a419-4af985ccfba2" userName="HENNINGSEN Philipp Alexander" userProvider="AD"/>
        <Anchor>
          <Comment id="{21B318FA-C588-49D6-A6A4-A50DB10D9B8F}"/>
        </Anchor>
        <Create/>
      </Event>
      <Event time="2026-02-03T15:49:39.22" id="{1E43AADD-ADDB-4031-A53B-52ED07C3E54E}">
        <Attribution userId="S::philipp.henningsen@europarl.europa.eu::c71fb78c-8e8a-4f3a-a419-4af985ccfba2" userName="HENNINGSEN Philipp Alexander" userProvider="AD"/>
        <Anchor>
          <Comment id="{21B318FA-C588-49D6-A6A4-A50DB10D9B8F}"/>
        </Anchor>
        <Assign userId="S::karen.dillon@europarl.europa.eu::b8eeeb34-a665-4084-9189-4fda6e1c6b85" userName="DILLON Karen" userProvider="AD"/>
      </Event>
      <Event time="2026-02-03T15:49:39.22" id="{5FEBB442-1597-4449-8754-03E99F2DCD7B}">
        <Attribution userId="S::philipp.henningsen@europarl.europa.eu::c71fb78c-8e8a-4f3a-a419-4af985ccfba2" userName="HENNINGSEN Philipp Alexander" userProvider="AD"/>
        <Anchor>
          <Comment id="{21B318FA-C588-49D6-A6A4-A50DB10D9B8F}"/>
        </Anchor>
        <SetTitle title="@DILLON Karen @KRAJCOVA Mariana Please confirm if this is still in use now that there is new facilitator path course. If still in use please update picture."/>
      </Event>
      <Event time="2026-02-06T14:39:46.98" id="{658BBD85-0547-4D67-AEBE-EE2939E44CDC}">
        <Attribution userId="S::philipp.henningsen@europarl.europa.eu::c71fb78c-8e8a-4f3a-a419-4af985ccfba2" userName="HENNINGSEN Philipp Alexander" userProvider="AD"/>
        <Progress percentComplete="100"/>
      </Event>
    </History>
  </Task>
  <Task id="{014CA0AE-BEEF-4BC4-88BF-58F8086F065C}">
    <Anchor>
      <Comment id="{3BD677C6-E2CB-4523-8FFB-6E1CB1B20C23}"/>
    </Anchor>
    <History>
      <Event time="2026-02-04T11:18:23.60" id="{79D2D9D3-F708-4EF4-BBFB-24729DA7C185}">
        <Attribution userId="S::kaja.stih@europarl.europa.eu::51fda843-ea10-4b80-9330-effdc0ee0af4" userName="ŠTIH Kaja" userProvider="AD"/>
        <Anchor>
          <Comment id="{3BD677C6-E2CB-4523-8FFB-6E1CB1B20C23}"/>
        </Anchor>
        <Create/>
      </Event>
      <Event time="2026-02-04T11:18:23.60" id="{C5AE4B76-90AE-4102-BE68-F68A844D30D5}">
        <Attribution userId="S::kaja.stih@europarl.europa.eu::51fda843-ea10-4b80-9330-effdc0ee0af4" userName="ŠTIH Kaja" userProvider="AD"/>
        <Anchor>
          <Comment id="{3BD677C6-E2CB-4523-8FFB-6E1CB1B20C23}"/>
        </Anchor>
        <Assign userId="S::angela.lopezrivas@europarl.europa.eu::e30b3983-1aa6-4641-959c-945c017e970e" userName="LÓPEZ RIVAS Ángela" userProvider="AD"/>
      </Event>
      <Event time="2026-02-04T11:18:23.60" id="{11E03CB2-DFBA-4370-A2A2-B4EB99F82D72}">
        <Attribution userId="S::kaja.stih@europarl.europa.eu::51fda843-ea10-4b80-9330-effdc0ee0af4" userName="ŠTIH Kaja" userProvider="AD"/>
        <Anchor>
          <Comment id="{3BD677C6-E2CB-4523-8FFB-6E1CB1B20C23}"/>
        </Anchor>
        <SetTitle title="@LÓPEZ RIVAS Ángela can you change location on all the courses to building? (Andenauer instead of Luxembourg and Campoamor instead of Brussels)"/>
      </Event>
      <Event time="2026-02-06T09:22:42.25" id="{66329355-015B-4CC1-8462-B60401D82991}">
        <Attribution userId="S::kaja.stih@europarl.europa.eu::51fda843-ea10-4b80-9330-effdc0ee0af4" userName="ŠTIH Kaja" userProvider="AD"/>
        <Progress percentComplete="100"/>
      </Event>
    </History>
  </Task>
  <Task id="{9133F0AE-7C43-4EF2-AB4A-0884CDCEF219}">
    <Anchor>
      <Comment id="{36EA5A1D-5EF4-48EC-AAA2-1D3BA3673B89}"/>
    </Anchor>
    <History>
      <Event time="2026-02-04T10:46:54.68" id="{5CBAD4A7-A9E2-4191-B188-8BFD9F7C1F1E}">
        <Attribution userId="S::adeline.chartol@ext.europarl.europa.eu::b3cd6b16-3849-4f4d-8c6c-36eee8177c05" userName="CHARTOL Adeline" userProvider="AD"/>
        <Anchor>
          <Comment id="{36EA5A1D-5EF4-48EC-AAA2-1D3BA3673B89}"/>
        </Anchor>
        <Create/>
      </Event>
      <Event time="2026-02-04T10:46:54.68" id="{2D6C5498-A930-4A68-A6D4-B84D8E6172CB}">
        <Attribution userId="S::adeline.chartol@ext.europarl.europa.eu::b3cd6b16-3849-4f4d-8c6c-36eee8177c05" userName="CHARTOL Adeline" userProvider="AD"/>
        <Anchor>
          <Comment id="{36EA5A1D-5EF4-48EC-AAA2-1D3BA3673B89}"/>
        </Anchor>
        <Assign userId="S::carlos.zanoli@europarl.europa.eu::67b254d1-751a-4cf0-975e-7a11bef1b7e1" userName="ZANOLI Carlos" userProvider="AD"/>
      </Event>
      <Event time="2026-02-04T10:46:54.68" id="{D5F1F5FD-AB6E-4034-BAF3-A30B28DDDA19}">
        <Attribution userId="S::adeline.chartol@ext.europarl.europa.eu::b3cd6b16-3849-4f4d-8c6c-36eee8177c05" userName="CHARTOL Adeline" userProvider="AD"/>
        <Anchor>
          <Comment id="{36EA5A1D-5EF4-48EC-AAA2-1D3BA3673B89}"/>
        </Anchor>
        <SetTitle title="@ZANOLI Carlos subtitle should just be classroom."/>
      </Event>
      <Event time="2026-02-12T16:00:27.31" id="{F484C16E-C3FC-4617-A94C-7C6F7ACC1828}">
        <Attribution userId="S::carlos.zanoli@europarl.europa.eu::67b254d1-751a-4cf0-975e-7a11bef1b7e1" userName="ZANOLI Carlos" userProvider="AD"/>
        <Progress percentComplete="100"/>
      </Event>
    </History>
  </Task>
  <Task id="{48F7DEB1-E0E4-4AF2-BE29-0CDBBC45A345}">
    <Anchor>
      <Comment id="{2B1BC326-266F-44B9-AEAD-6B09718F9530}"/>
    </Anchor>
    <History>
      <Event time="2026-02-13T11:58:12.20" id="{1CD981E2-E8BE-4BCF-B7FF-B4B6D7E02487}">
        <Attribution userId="S::philipp.henningsen@europarl.europa.eu::c71fb78c-8e8a-4f3a-a419-4af985ccfba2" userName="HENNINGSEN Philipp Alexander" userProvider="AD"/>
        <Anchor>
          <Comment id="{2B1BC326-266F-44B9-AEAD-6B09718F9530}"/>
        </Anchor>
        <Create/>
      </Event>
      <Event time="2026-02-13T11:58:12.20" id="{6F060D79-7D83-4AF7-97E3-3DDC889C69E8}">
        <Attribution userId="S::philipp.henningsen@europarl.europa.eu::c71fb78c-8e8a-4f3a-a419-4af985ccfba2" userName="HENNINGSEN Philipp Alexander" userProvider="AD"/>
        <Anchor>
          <Comment id="{2B1BC326-266F-44B9-AEAD-6B09718F9530}"/>
        </Anchor>
        <Assign userId="S::veselina.goleminova@europarl.europa.eu::d10f0c31-1772-4c33-b0e8-3398730f27e7" userName="GOLEMINOVA Veselina" userProvider="AD"/>
      </Event>
      <Event time="2026-02-13T11:58:12.20" id="{82288345-28AB-4C6B-8B98-54034D0FC504}">
        <Attribution userId="S::philipp.henningsen@europarl.europa.eu::c71fb78c-8e8a-4f3a-a419-4af985ccfba2" userName="HENNINGSEN Philipp Alexander" userProvider="AD"/>
        <Anchor>
          <Comment id="{2B1BC326-266F-44B9-AEAD-6B09718F9530}"/>
        </Anchor>
        <SetTitle title="@GOLEMINOVA Veselina Please add subtitle and use learn.lead as CM"/>
      </Event>
      <Event time="2026-02-26T15:20:34.03" id="{B7E9775B-8D6F-4EB2-8E9A-124C493CF5CA}">
        <Attribution userId="S::philipp.henningsen@europarl.europa.eu::c71fb78c-8e8a-4f3a-a419-4af985ccfba2" userName="HENNINGSEN Philipp Alexander" userProvider="AD"/>
        <Progress percentComplete="100"/>
      </Event>
    </History>
  </Task>
  <Task id="{4A85E6B3-9CB8-4DFB-B3C2-3E68326EA80C}">
    <Anchor>
      <Comment id="{CF8C0A86-0979-482D-95C8-92C062EAFFB0}"/>
    </Anchor>
    <History>
      <Event time="2026-02-04T09:13:33.64" id="{82422142-B755-479E-A62A-1FD8F276FCBA}">
        <Attribution userId="S::adeline.chartol@ext.europarl.europa.eu::b3cd6b16-3849-4f4d-8c6c-36eee8177c05" userName="CHARTOL Adeline" userProvider="AD"/>
        <Anchor>
          <Comment id="{CF8C0A86-0979-482D-95C8-92C062EAFFB0}"/>
        </Anchor>
        <Create/>
      </Event>
      <Event time="2026-02-04T09:13:33.64" id="{0201FD7D-356E-4014-B81F-E3A92E0310CE}">
        <Attribution userId="S::adeline.chartol@ext.europarl.europa.eu::b3cd6b16-3849-4f4d-8c6c-36eee8177c05" userName="CHARTOL Adeline" userProvider="AD"/>
        <Anchor>
          <Comment id="{CF8C0A86-0979-482D-95C8-92C062EAFFB0}"/>
        </Anchor>
        <Assign userId="S::carlos.zanoli@europarl.europa.eu::67b254d1-751a-4cf0-975e-7a11bef1b7e1" userName="ZANOLI Carlos" userProvider="AD"/>
      </Event>
      <Event time="2026-02-04T09:13:33.64" id="{7C277E4C-BE01-4D0A-9D18-D71E6B70E8E5}">
        <Attribution userId="S::adeline.chartol@ext.europarl.europa.eu::b3cd6b16-3849-4f4d-8c6c-36eee8177c05" userName="CHARTOL Adeline" userProvider="AD"/>
        <Anchor>
          <Comment id="{CF8C0A86-0979-482D-95C8-92C062EAFFB0}"/>
        </Anchor>
        <SetTitle title="@ZANOLI Carlos can you please correct the subtitle for this template? should be online instead of online course"/>
      </Event>
      <Event time="2026-02-12T15:43:45.23" id="{C9D28174-516A-4D74-A7AB-82AD414187FF}">
        <Attribution userId="S::carlos.zanoli@europarl.europa.eu::67b254d1-751a-4cf0-975e-7a11bef1b7e1" userName="ZANOLI Carlos" userProvider="AD"/>
        <Progress percentComplete="100"/>
      </Event>
    </History>
  </Task>
  <Task id="{30FA29BE-7F56-4E71-A235-8613F9C9543A}">
    <Anchor>
      <Comment id="{FD849A1A-F3C0-48AA-8543-74A8C67BD393}"/>
    </Anchor>
    <History>
      <Event time="2026-03-09T15:21:57.15" id="{EB606E45-4775-4E67-960A-78CB06783576}">
        <Attribution userId="S::philipp.henningsen@europarl.europa.eu::c71fb78c-8e8a-4f3a-a419-4af985ccfba2" userName="HENNINGSEN Philipp Alexander" userProvider="AD"/>
        <Anchor>
          <Comment id="{FD849A1A-F3C0-48AA-8543-74A8C67BD393}"/>
        </Anchor>
        <Create/>
      </Event>
      <Event time="2026-03-09T15:21:57.15" id="{BD9A82DA-8E98-459A-B0D9-E8BD7904E649}">
        <Attribution userId="S::philipp.henningsen@europarl.europa.eu::c71fb78c-8e8a-4f3a-a419-4af985ccfba2" userName="HENNINGSEN Philipp Alexander" userProvider="AD"/>
        <Anchor>
          <Comment id="{FD849A1A-F3C0-48AA-8543-74A8C67BD393}"/>
        </Anchor>
        <Assign userId="S::mariana.krajcova@europarl.europa.eu::9406e375-a50e-423a-8a93-350a89b5b4e0" userName="KRAJCOVA Mariana" userProvider="AD"/>
      </Event>
      <Event time="2026-03-09T15:21:57.15" id="{A49152D4-13B8-4FA3-856B-430D3772937E}">
        <Attribution userId="S::philipp.henningsen@europarl.europa.eu::c71fb78c-8e8a-4f3a-a419-4af985ccfba2" userName="HENNINGSEN Philipp Alexander" userProvider="AD"/>
        <Anchor>
          <Comment id="{FD849A1A-F3C0-48AA-8543-74A8C67BD393}"/>
        </Anchor>
        <SetTitle title="Change title to make sure it's about regulation and not tools @KRAJCOVA Mariana @GALLEGO GONZALEZ Ana"/>
      </Event>
    </History>
  </Task>
  <Task id="{91D9D4C0-E713-41E2-B5B0-F709971D4345}">
    <Anchor>
      <Comment id="{88378B64-F37D-4DDF-AD0A-82251EF3F7AA}"/>
    </Anchor>
    <History>
      <Event time="2026-02-03T16:05:26.75" id="{B88BFA95-9D58-4A26-9364-94E3FB2DA036}">
        <Attribution userId="S::philipp.henningsen@europarl.europa.eu::c71fb78c-8e8a-4f3a-a419-4af985ccfba2" userName="HENNINGSEN Philipp Alexander" userProvider="AD"/>
        <Anchor>
          <Comment id="{88378B64-F37D-4DDF-AD0A-82251EF3F7AA}"/>
        </Anchor>
        <Create/>
      </Event>
      <Event time="2026-02-03T16:05:26.75" id="{2BB1173E-11C1-444A-8797-040914D398C3}">
        <Attribution userId="S::philipp.henningsen@europarl.europa.eu::c71fb78c-8e8a-4f3a-a419-4af985ccfba2" userName="HENNINGSEN Philipp Alexander" userProvider="AD"/>
        <Anchor>
          <Comment id="{88378B64-F37D-4DDF-AD0A-82251EF3F7AA}"/>
        </Anchor>
        <Assign userId="S::viktoriya.krasteva@europarl.europa.eu::f10a207b-7d0f-44ad-bfb0-2ac6584b63f9" userName="KRASTEVA Viktoriya" userProvider="AD"/>
      </Event>
      <Event time="2026-02-03T16:05:26.75" id="{A3EB4649-BB8A-4AA6-8E60-FCAEECCAF3F0}">
        <Attribution userId="S::philipp.henningsen@europarl.europa.eu::c71fb78c-8e8a-4f3a-a419-4af985ccfba2" userName="HENNINGSEN Philipp Alexander" userProvider="AD"/>
        <Anchor>
          <Comment id="{88378B64-F37D-4DDF-AD0A-82251EF3F7AA}"/>
        </Anchor>
        <SetTitle title="@KRASTEVA Viktoriya @KRAJCOVA Mariana please correct the title and subtitle of the course published. Subtitle should be the city. Title everything = same as template name."/>
      </Event>
      <Event time="2026-02-06T14:18:18.56" id="{FB0973F5-F95C-42D3-A186-1BD01E2F802B}">
        <Attribution userId="S::philipp.henningsen@europarl.europa.eu::c71fb78c-8e8a-4f3a-a419-4af985ccfba2" userName="HENNINGSEN Philipp Alexander" userProvider="AD"/>
        <Progress percentComplete="100"/>
      </Event>
      <Event time="2026-02-06T15:04:16.37" id="{B533B895-DB0C-4035-A954-4D7639F40B1A}">
        <Attribution userId="S::viktoriya.krasteva@europarl.europa.eu::f10a207b-7d0f-44ad-bfb0-2ac6584b63f9" userName="KRASTEVA Viktoriya" userProvider="AD"/>
        <Progress percentComplete="0"/>
      </Event>
      <Event time="2026-02-06T15:44:11.02" id="{05E1976D-1CC2-4265-A37C-2175E2C74492}">
        <Attribution userId="S::philipp.henningsen@europarl.europa.eu::c71fb78c-8e8a-4f3a-a419-4af985ccfba2" userName="HENNINGSEN Philipp Alexander" userProvider="AD"/>
        <Progress percentComplete="100"/>
      </Event>
    </History>
  </Task>
  <Task id="{01702AC1-3744-46E1-8555-7C4C2CB9D0F2}">
    <Anchor>
      <Comment id="{2DFDAB12-DF67-436B-AED0-76CD23BC4983}"/>
    </Anchor>
    <History>
      <Event time="2026-02-16T08:22:05.73" id="{F6AAC3F9-8C94-46DE-B571-31A744A987F6}">
        <Attribution userId="S::adeline.chartol@ext.europarl.europa.eu::b3cd6b16-3849-4f4d-8c6c-36eee8177c05" userName="CHARTOL Adeline" userProvider="AD"/>
        <Anchor>
          <Comment id="{2DFDAB12-DF67-436B-AED0-76CD23BC4983}"/>
        </Anchor>
        <Create/>
      </Event>
      <Event time="2026-02-16T08:22:05.73" id="{8F3F9B02-ACC1-411B-8681-E995C8A9AEC5}">
        <Attribution userId="S::adeline.chartol@ext.europarl.europa.eu::b3cd6b16-3849-4f4d-8c6c-36eee8177c05" userName="CHARTOL Adeline" userProvider="AD"/>
        <Anchor>
          <Comment id="{2DFDAB12-DF67-436B-AED0-76CD23BC4983}"/>
        </Anchor>
        <Assign userId="S::carlos.zanoli@europarl.europa.eu::67b254d1-751a-4cf0-975e-7a11bef1b7e1" userName="ZANOLI Carlos" userProvider="AD"/>
      </Event>
      <Event time="2026-02-16T08:22:05.73" id="{376AE5A2-2A60-4076-A314-861B1D8CD4D4}">
        <Attribution userId="S::adeline.chartol@ext.europarl.europa.eu::b3cd6b16-3849-4f4d-8c6c-36eee8177c05" userName="CHARTOL Adeline" userProvider="AD"/>
        <Anchor>
          <Comment id="{2DFDAB12-DF67-436B-AED0-76CD23BC4983}"/>
        </Anchor>
        <SetTitle title="@ZANOLI Carlos the titles in the template do not match"/>
      </Event>
      <Event time="2026-02-16T08:40:33.17" id="{E89F2D3E-A6FA-47C0-8E45-EDD05BDECDF0}">
        <Attribution userId="S::carlos.zanoli@europarl.europa.eu::67b254d1-751a-4cf0-975e-7a11bef1b7e1" userName="ZANOLI Carlos" userProvider="AD"/>
        <Progress percentComplete="100"/>
      </Event>
    </History>
  </Task>
  <Task id="{F19E18C7-D7A0-4BE2-A041-D90648710137}">
    <Anchor>
      <Comment id="{B6290636-E156-4608-8799-4A864AA989EE}"/>
    </Anchor>
    <History>
      <Event time="2026-02-09T09:13:35.99" id="{7686229F-8927-47F8-BD87-3FCCA9AC023E}">
        <Attribution userId="S::philipp.henningsen@europarl.europa.eu::c71fb78c-8e8a-4f3a-a419-4af985ccfba2" userName="HENNINGSEN Philipp Alexander" userProvider="AD"/>
        <Anchor>
          <Comment id="{B6290636-E156-4608-8799-4A864AA989EE}"/>
        </Anchor>
        <Create/>
      </Event>
      <Event time="2026-02-09T09:13:35.99" id="{26FC044D-9126-4213-BB80-5CD2E786F085}">
        <Attribution userId="S::philipp.henningsen@europarl.europa.eu::c71fb78c-8e8a-4f3a-a419-4af985ccfba2" userName="HENNINGSEN Philipp Alexander" userProvider="AD"/>
        <Anchor>
          <Comment id="{B6290636-E156-4608-8799-4A864AA989EE}"/>
        </Anchor>
        <Assign userId="S::mariana.krajcova@europarl.europa.eu::9406e375-a50e-423a-8a93-350a89b5b4e0" userName="KRAJCOVA Mariana" userProvider="AD"/>
      </Event>
      <Event time="2026-02-09T09:13:35.99" id="{BABC2DBD-5A79-43CD-BC18-20C9EA0FC5E5}">
        <Attribution userId="S::philipp.henningsen@europarl.europa.eu::c71fb78c-8e8a-4f3a-a419-4af985ccfba2" userName="HENNINGSEN Philipp Alexander" userProvider="AD"/>
        <Anchor>
          <Comment id="{B6290636-E156-4608-8799-4A864AA989EE}"/>
        </Anchor>
        <SetTitle title="@KRAJCOVA Mariana @PHILLIPS Susan None of the classroom courses is still organised. Remove from the catalogue and only publish the self-paced ones?"/>
      </Event>
      <Event time="2026-02-12T08:25:53.65" id="{38351E2F-9FC5-4972-99A6-D8DC4F51BF46}">
        <Attribution userId="S::philipp.henningsen@europarl.europa.eu::c71fb78c-8e8a-4f3a-a419-4af985ccfba2" userName="HENNINGSEN Philipp Alexander" userProvider="AD"/>
        <Progress percentComplete="100"/>
      </Event>
    </History>
  </Task>
  <Task id="{596093C9-3388-4513-B32F-83CB6C0A52C6}">
    <Anchor>
      <Comment id="{0C3AC102-76DC-4529-91C6-6671F44672D7}"/>
    </Anchor>
    <History>
      <Event time="2026-02-04T10:06:54.95" id="{65A1768A-29C0-4E42-ABCC-43AB4340949B}">
        <Attribution userId="S::adeline.chartol@ext.europarl.europa.eu::b3cd6b16-3849-4f4d-8c6c-36eee8177c05" userName="CHARTOL Adeline" userProvider="AD"/>
        <Anchor>
          <Comment id="{481E1030-8793-4662-B249-B39BF6756B7A}"/>
        </Anchor>
        <Create/>
      </Event>
      <Event time="2026-02-04T10:06:54.95" id="{43871937-3597-41EB-B901-042F3BD6BFB9}">
        <Attribution userId="S::adeline.chartol@ext.europarl.europa.eu::b3cd6b16-3849-4f4d-8c6c-36eee8177c05" userName="CHARTOL Adeline" userProvider="AD"/>
        <Anchor>
          <Comment id="{481E1030-8793-4662-B249-B39BF6756B7A}"/>
        </Anchor>
        <Assign userId="S::carlos.zanoli@europarl.europa.eu::67b254d1-751a-4cf0-975e-7a11bef1b7e1" userName="ZANOLI Carlos" userProvider="AD"/>
      </Event>
      <Event time="2026-02-04T10:06:54.95" id="{E4A78882-778D-4F7B-8C60-A76D21127A8F}">
        <Attribution userId="S::adeline.chartol@ext.europarl.europa.eu::b3cd6b16-3849-4f4d-8c6c-36eee8177c05" userName="CHARTOL Adeline" userProvider="AD"/>
        <Anchor>
          <Comment id="{481E1030-8793-4662-B249-B39BF6756B7A}"/>
        </Anchor>
        <SetTitle title="Can you correct the subtitle for the template @ZANOLI Carlos"/>
      </Event>
      <Event time="2026-02-12T15:50:03.19" id="{D1B41A05-CE81-454F-B790-A1AA294608C3}">
        <Attribution userId="S::carlos.zanoli@europarl.europa.eu::67b254d1-751a-4cf0-975e-7a11bef1b7e1" userName="ZANOLI Carlos" userProvider="AD"/>
        <Progress percentComplete="100"/>
      </Event>
    </History>
  </Task>
  <Task id="{86C3CDCB-0645-480A-9225-889CBE268408}">
    <Anchor>
      <Comment id="{22210AD7-6F76-4A61-9B79-8B513F4A3D0B}"/>
    </Anchor>
    <History>
      <Event time="2026-02-06T10:23:41.38" id="{F02054C3-1ADD-48F9-86D3-3562EC18F412}">
        <Attribution userId="S::kaja.stih@europarl.europa.eu::51fda843-ea10-4b80-9330-effdc0ee0af4" userName="ŠTIH Kaja" userProvider="AD"/>
        <Anchor>
          <Comment id="{22210AD7-6F76-4A61-9B79-8B513F4A3D0B}"/>
        </Anchor>
        <Create/>
      </Event>
      <Event time="2026-02-06T10:23:41.38" id="{768565A6-6149-4759-8B55-1F82C45AE5FC}">
        <Attribution userId="S::kaja.stih@europarl.europa.eu::51fda843-ea10-4b80-9330-effdc0ee0af4" userName="ŠTIH Kaja" userProvider="AD"/>
        <Anchor>
          <Comment id="{22210AD7-6F76-4A61-9B79-8B513F4A3D0B}"/>
        </Anchor>
        <Assign userId="S::ana.gallegogonzalez@ext.europarl.europa.eu::16b489f8-e8ac-47a0-b303-8735cf45cfcc" userName="GALLEGO GONZALEZ Ana" userProvider="AD"/>
      </Event>
      <Event time="2026-02-06T10:23:41.38" id="{D66388B5-4E20-496C-94EE-FBE459145EE8}">
        <Attribution userId="S::kaja.stih@europarl.europa.eu::51fda843-ea10-4b80-9330-effdc0ee0af4" userName="ŠTIH Kaja" userProvider="AD"/>
        <Anchor>
          <Comment id="{22210AD7-6F76-4A61-9B79-8B513F4A3D0B}"/>
        </Anchor>
        <SetTitle title="@GALLEGO GONZALEZ Ana CM on template level is missing. Please add learn.EP."/>
      </Event>
      <Event time="2026-02-06T16:43:51.70" id="{CF917278-B5D7-4385-A71E-25BEE3EC489B}">
        <Attribution userId="S::ana.gallegogonzalez@ext.europarl.europa.eu::16b489f8-e8ac-47a0-b303-8735cf45cfcc" userName="GALLEGO GONZALEZ Ana" userProvider="AD"/>
        <Progress percentComplete="100"/>
      </Event>
      <Event time="2026-03-09T11:15:01.84" id="{80145D13-4F14-4AD7-A052-13CB11CBF85A}">
        <Attribution userId="S::philipp.henningsen@europarl.europa.eu::c71fb78c-8e8a-4f3a-a419-4af985ccfba2" userName="HENNINGSEN Philipp Alexander" userProvider="AD"/>
        <Progress percentComplete="0"/>
      </Event>
      <Event time="2026-03-09T11:15:14.89" id="{8E9E9E14-D8DD-4EEF-A13B-C21C483BFD97}">
        <Attribution userId="S::philipp.henningsen@europarl.europa.eu::c71fb78c-8e8a-4f3a-a419-4af985ccfba2" userName="HENNINGSEN Philipp Alexander" userProvider="AD"/>
        <Progress percentComplete="100"/>
      </Event>
    </History>
  </Task>
  <Task id="{34CAF7CB-EC41-47F8-9C65-6B0B6EA1A46C}">
    <Anchor>
      <Comment id="{7801979B-31B8-47FD-81BA-486F5797D6B0}"/>
    </Anchor>
    <History>
      <Event time="2026-02-23T13:28:36.37" id="{1E6BC782-D83E-4BF6-88B4-290B0F27CEBE}">
        <Attribution userId="S::philipp.henningsen@europarl.europa.eu::c71fb78c-8e8a-4f3a-a419-4af985ccfba2" userName="HENNINGSEN Philipp Alexander" userProvider="AD"/>
        <Anchor>
          <Comment id="{7801979B-31B8-47FD-81BA-486F5797D6B0}"/>
        </Anchor>
        <Create/>
      </Event>
      <Event time="2026-02-23T13:28:36.37" id="{12E25B92-6EF9-4FF6-B404-ADB13A6C3F2E}">
        <Attribution userId="S::philipp.henningsen@europarl.europa.eu::c71fb78c-8e8a-4f3a-a419-4af985ccfba2" userName="HENNINGSEN Philipp Alexander" userProvider="AD"/>
        <Anchor>
          <Comment id="{7801979B-31B8-47FD-81BA-486F5797D6B0}"/>
        </Anchor>
        <Assign userId="S::annica.torneryd@europarl.europa.eu::81585dee-6f6c-4017-af65-2c3ebcebf001" userName="TORNERYD Annica" userProvider="AD"/>
      </Event>
      <Event time="2026-02-23T13:28:36.37" id="{0CAF7657-FB09-4199-B8B8-EDB4894CD5D7}">
        <Attribution userId="S::philipp.henningsen@europarl.europa.eu::c71fb78c-8e8a-4f3a-a419-4af985ccfba2" userName="HENNINGSEN Philipp Alexander" userProvider="AD"/>
        <Anchor>
          <Comment id="{7801979B-31B8-47FD-81BA-486F5797D6B0}"/>
        </Anchor>
        <SetTitle title="@TORNERYD Annica please change the course manager on template level to learn.ep"/>
      </Event>
      <Event time="2026-02-23T15:52:24.50" id="{D6024AF4-E038-43EE-A6E5-CDC1259C0F05}">
        <Attribution userId="S::philipp.henningsen@europarl.europa.eu::c71fb78c-8e8a-4f3a-a419-4af985ccfba2" userName="HENNINGSEN Philipp Alexander" userProvider="AD"/>
        <Progress percentComplete="100"/>
      </Event>
    </History>
  </Task>
  <Task id="{1DCA43CC-4DB7-4C9F-B32F-E8E7E206FD95}">
    <Anchor>
      <Comment id="{AEA6F3AA-8536-4724-82CA-02758FAA81B6}"/>
    </Anchor>
    <History>
      <Event time="2026-02-12T10:10:06.35" id="{AAE9CEEA-F882-4C65-BCAB-2E1143222763}">
        <Attribution userId="S::philipp.henningsen@europarl.europa.eu::c71fb78c-8e8a-4f3a-a419-4af985ccfba2" userName="HENNINGSEN Philipp Alexander" userProvider="AD"/>
        <Anchor>
          <Comment id="{74651088-3CF3-4BA8-90E6-28E74CFB339B}"/>
        </Anchor>
        <Create/>
      </Event>
      <Event time="2026-02-12T10:10:06.35" id="{C0A77F6E-6F6C-4240-B942-9336BFB3A716}">
        <Attribution userId="S::philipp.henningsen@europarl.europa.eu::c71fb78c-8e8a-4f3a-a419-4af985ccfba2" userName="HENNINGSEN Philipp Alexander" userProvider="AD"/>
        <Anchor>
          <Comment id="{74651088-3CF3-4BA8-90E6-28E74CFB339B}"/>
        </Anchor>
        <Assign userId="S::annica.torneryd@europarl.europa.eu::81585dee-6f6c-4017-af65-2c3ebcebf001" userName="TORNERYD Annica" userProvider="AD"/>
      </Event>
      <Event time="2026-02-12T10:10:06.35" id="{A3769231-CEB0-4D27-B63A-941B068494D6}">
        <Attribution userId="S::philipp.henningsen@europarl.europa.eu::c71fb78c-8e8a-4f3a-a419-4af985ccfba2" userName="HENNINGSEN Philipp Alexander" userProvider="AD"/>
        <Anchor>
          <Comment id="{74651088-3CF3-4BA8-90E6-28E74CFB339B}"/>
        </Anchor>
        <SetTitle title="Option 3 is available. Please still create umbrella. @TORNERYD Annica please let us know if you need help"/>
      </Event>
      <Event time="2026-02-12T10:55:34.21" id="{7F8F8557-14EC-4EBB-A39B-3B011A84F6C5}">
        <Attribution userId="S::philipp.henningsen@europarl.europa.eu::c71fb78c-8e8a-4f3a-a419-4af985ccfba2" userName="HENNINGSEN Philipp Alexander" userProvider="AD"/>
        <Progress percentComplete="100"/>
      </Event>
    </History>
  </Task>
  <Task id="{15CA50CC-1EC5-4431-9C81-491FA8731B60}">
    <Anchor>
      <Comment id="{D5FC6F0A-28C1-43AC-8EB9-D7AEDB36DE1C}"/>
    </Anchor>
    <History>
      <Event time="2026-02-12T09:28:10.09" id="{07D035B1-2BE4-4078-9246-F4F1783ED256}">
        <Attribution userId="S::philipp.henningsen@europarl.europa.eu::c71fb78c-8e8a-4f3a-a419-4af985ccfba2" userName="HENNINGSEN Philipp Alexander" userProvider="AD"/>
        <Anchor>
          <Comment id="{D5FC6F0A-28C1-43AC-8EB9-D7AEDB36DE1C}"/>
        </Anchor>
        <Create/>
      </Event>
      <Event time="2026-02-12T09:28:10.09" id="{A0822A0B-54E4-4D22-A67E-519A619F135B}">
        <Attribution userId="S::philipp.henningsen@europarl.europa.eu::c71fb78c-8e8a-4f3a-a419-4af985ccfba2" userName="HENNINGSEN Philipp Alexander" userProvider="AD"/>
        <Anchor>
          <Comment id="{D5FC6F0A-28C1-43AC-8EB9-D7AEDB36DE1C}"/>
        </Anchor>
        <Assign userId="S::katrin.gabelein@europarl.europa.eu::5ae54039-f750-4f1d-a5fd-e1b305f012f8" userName="GABELEIN-PAEHLER Katrin" userProvider="AD"/>
      </Event>
      <Event time="2026-02-12T09:28:10.09" id="{5AE6BD7D-B81F-45CC-82DA-2B879B0DEE97}">
        <Attribution userId="S::philipp.henningsen@europarl.europa.eu::c71fb78c-8e8a-4f3a-a419-4af985ccfba2" userName="HENNINGSEN Philipp Alexander" userProvider="AD"/>
        <Anchor>
          <Comment id="{D5FC6F0A-28C1-43AC-8EB9-D7AEDB36DE1C}"/>
        </Anchor>
        <SetTitle title="@GABELEIN-PAEHLER Katrin Not organised since 2024. Remove from the catalogue?"/>
      </Event>
      <Event time="2026-02-12T14:09:24.16" id="{509CFA7D-8CA2-4EAE-96E6-1DB2BA977E58}">
        <Attribution userId="S::kaja.stih@europarl.europa.eu::51fda843-ea10-4b80-9330-effdc0ee0af4" userName="ŠTIH Kaja" userProvider="AD"/>
        <Progress percentComplete="100"/>
      </Event>
    </History>
  </Task>
  <Task id="{7B3BBCD0-F160-4534-8BA2-478F590E8759}">
    <Anchor>
      <Comment id="{94037C20-42F6-46DE-BEED-0BE8F925E3AD}"/>
    </Anchor>
    <History>
      <Event time="2026-02-13T11:54:09.85" id="{ECC36118-B748-4BD6-8CC9-786E50B531B6}">
        <Attribution userId="S::adeline.chartol@ext.europarl.europa.eu::b3cd6b16-3849-4f4d-8c6c-36eee8177c05" userName="CHARTOL Adeline" userProvider="AD"/>
        <Anchor>
          <Comment id="{B744B968-244A-432B-8F8A-751886A3DA6E}"/>
        </Anchor>
        <Create/>
      </Event>
      <Event time="2026-02-13T11:54:09.85" id="{C8166C37-981F-4D4A-91BE-FA21E10C9784}">
        <Attribution userId="S::adeline.chartol@ext.europarl.europa.eu::b3cd6b16-3849-4f4d-8c6c-36eee8177c05" userName="CHARTOL Adeline" userProvider="AD"/>
        <Anchor>
          <Comment id="{B744B968-244A-432B-8F8A-751886A3DA6E}"/>
        </Anchor>
        <Assign userId="S::carlos.zanoli@europarl.europa.eu::67b254d1-751a-4cf0-975e-7a11bef1b7e1" userName="ZANOLI Carlos" userProvider="AD"/>
      </Event>
      <Event time="2026-02-13T11:54:09.85" id="{23C02033-83DE-4286-85A2-1991FB835B54}">
        <Attribution userId="S::adeline.chartol@ext.europarl.europa.eu::b3cd6b16-3849-4f4d-8c6c-36eee8177c05" userName="CHARTOL Adeline" userProvider="AD"/>
        <Anchor>
          <Comment id="{B744B968-244A-432B-8F8A-751886A3DA6E}"/>
        </Anchor>
        <SetTitle title="@ZANOLI Carlos the titles in the template need to match. also the subtitle should be fixed."/>
      </Event>
      <Event time="2026-02-16T08:48:35.90" id="{BBD84443-88FF-4E74-923A-065E6B91D3A3}">
        <Attribution userId="S::carlos.zanoli@europarl.europa.eu::67b254d1-751a-4cf0-975e-7a11bef1b7e1" userName="ZANOLI Carlos" userProvider="AD"/>
        <Progress percentComplete="100"/>
      </Event>
    </History>
  </Task>
  <Task id="{CEB865D1-939E-4268-AF17-420A6B4C44AA}">
    <Anchor>
      <Comment id="{23D705AB-E43A-4CED-A1F6-0332F8FDA894}"/>
    </Anchor>
    <History>
      <Event time="2026-02-05T11:13:26.84" id="{8AA82812-68D2-4948-9C1D-D6F70CD5CD57}">
        <Attribution userId="S::philipp.henningsen@europarl.europa.eu::c71fb78c-8e8a-4f3a-a419-4af985ccfba2" userName="HENNINGSEN Philipp Alexander" userProvider="AD"/>
        <Anchor>
          <Comment id="{2E2B2043-DCEC-4B17-8F41-C47548596CE5}"/>
        </Anchor>
        <Create/>
      </Event>
      <Event time="2026-02-05T11:13:26.84" id="{D8470FFA-063C-4312-98CD-D27B7BE97F2C}">
        <Attribution userId="S::philipp.henningsen@europarl.europa.eu::c71fb78c-8e8a-4f3a-a419-4af985ccfba2" userName="HENNINGSEN Philipp Alexander" userProvider="AD"/>
        <Anchor>
          <Comment id="{2E2B2043-DCEC-4B17-8F41-C47548596CE5}"/>
        </Anchor>
        <Assign userId="S::katrin.gabelein@europarl.europa.eu::5ae54039-f750-4f1d-a5fd-e1b305f012f8" userName="GABELEIN-PAEHLER Katrin" userProvider="AD"/>
      </Event>
      <Event time="2026-02-05T11:13:26.84" id="{F7747CEA-4BA2-4342-955C-C5B91CC33EAE}">
        <Attribution userId="S::philipp.henningsen@europarl.europa.eu::c71fb78c-8e8a-4f3a-a419-4af985ccfba2" userName="HENNINGSEN Philipp Alexander" userProvider="AD"/>
        <Anchor>
          <Comment id="{2E2B2043-DCEC-4B17-8F41-C47548596CE5}"/>
        </Anchor>
        <SetTitle title="I checked and the courses are not published via this template anymore. @GABELEIN-PAEHLER Katrin can we remove this outdated template from the catalogue?"/>
      </Event>
      <Event time="2026-02-06T11:09:00.08" id="{9C133D52-9DD8-4ED2-A67D-CB9AE503A599}">
        <Attribution userId="S::philipp.henningsen@europarl.europa.eu::c71fb78c-8e8a-4f3a-a419-4af985ccfba2" userName="HENNINGSEN Philipp Alexander" userProvider="AD"/>
        <Progress percentComplete="100"/>
      </Event>
    </History>
  </Task>
  <Task id="{CB3B23D2-5057-4B11-AE25-0B707B375413}">
    <Anchor>
      <Comment id="{5FBEE44B-C065-4228-9095-C80C7701DB22}"/>
    </Anchor>
    <History>
      <Event time="2026-02-06T10:29:23.73" id="{B113139F-BA47-4B52-B37A-DD0D9550A8DB}">
        <Attribution userId="S::kaja.stih@europarl.europa.eu::51fda843-ea10-4b80-9330-effdc0ee0af4" userName="ŠTIH Kaja" userProvider="AD"/>
        <Anchor>
          <Comment id="{5FBEE44B-C065-4228-9095-C80C7701DB22}"/>
        </Anchor>
        <Create/>
      </Event>
      <Event time="2026-02-06T10:29:23.73" id="{01D456E1-87F3-429C-A1E9-158E5ED5A003}">
        <Attribution userId="S::kaja.stih@europarl.europa.eu::51fda843-ea10-4b80-9330-effdc0ee0af4" userName="ŠTIH Kaja" userProvider="AD"/>
        <Anchor>
          <Comment id="{5FBEE44B-C065-4228-9095-C80C7701DB22}"/>
        </Anchor>
        <Assign userId="S::angela.lopezrivas@europarl.europa.eu::e30b3983-1aa6-4641-959c-945c017e970e" userName="LÓPEZ RIVAS Ángela" userProvider="AD"/>
      </Event>
      <Event time="2026-02-06T10:29:23.73" id="{982D86EB-2AA2-4FED-B7D9-A34C3545147B}">
        <Attribution userId="S::kaja.stih@europarl.europa.eu::51fda843-ea10-4b80-9330-effdc0ee0af4" userName="ŠTIH Kaja" userProvider="AD"/>
        <Anchor>
          <Comment id="{5FBEE44B-C065-4228-9095-C80C7701DB22}"/>
        </Anchor>
        <SetTitle title="@LÓPEZ RIVAS Ángela there is no expression of interest bottom. Can you set it up on template level?"/>
      </Event>
      <Event time="2026-02-06T10:42:53.84" id="{BB4573E9-5FF8-4676-83CD-70232F39FA85}">
        <Attribution userId="S::kaja.stih@europarl.europa.eu::51fda843-ea10-4b80-9330-effdc0ee0af4" userName="ŠTIH Kaja" userProvider="AD"/>
        <Progress percentComplete="100"/>
      </Event>
    </History>
  </Task>
  <Task id="{73D1C2D6-5774-4CD0-8F8C-8E21231FA7D2}">
    <Anchor>
      <Comment id="{A5DA71DA-6439-4EAE-84C8-6F9B306451D3}"/>
    </Anchor>
    <History>
      <Event time="2026-02-04T11:33:39.35" id="{00E96368-E33B-49E8-9283-6E08764530DD}">
        <Attribution userId="S::philipp.henningsen@europarl.europa.eu::c71fb78c-8e8a-4f3a-a419-4af985ccfba2" userName="HENNINGSEN Philipp Alexander" userProvider="AD"/>
        <Anchor>
          <Comment id="{A5DA71DA-6439-4EAE-84C8-6F9B306451D3}"/>
        </Anchor>
        <Create/>
      </Event>
      <Event time="2026-02-04T11:33:39.35" id="{CDF5A243-3AF1-42AE-ACC1-3E5C70335790}">
        <Attribution userId="S::philipp.henningsen@europarl.europa.eu::c71fb78c-8e8a-4f3a-a419-4af985ccfba2" userName="HENNINGSEN Philipp Alexander" userProvider="AD"/>
        <Anchor>
          <Comment id="{A5DA71DA-6439-4EAE-84C8-6F9B306451D3}"/>
        </Anchor>
        <Assign userId="S::mariana.krajcova@europarl.europa.eu::9406e375-a50e-423a-8a93-350a89b5b4e0" userName="KRAJCOVA Mariana" userProvider="AD"/>
      </Event>
      <Event time="2026-02-04T11:33:39.35" id="{0AD79199-923E-429B-ADD6-7FEF3E39F176}">
        <Attribution userId="S::philipp.henningsen@europarl.europa.eu::c71fb78c-8e8a-4f3a-a419-4af985ccfba2" userName="HENNINGSEN Philipp Alexander" userProvider="AD"/>
        <Anchor>
          <Comment id="{A5DA71DA-6439-4EAE-84C8-6F9B306451D3}"/>
        </Anchor>
        <SetTitle title="@KRAJCOVA Mariana this is a learning challenge (mix of LiL videos) from the EC. Do we want to keep this published in our catalogue, while we have our own catalogue courses on this topic?"/>
      </Event>
      <Event time="2026-02-05T07:36:20.83" id="{66D1F822-6D14-4BB1-A0EE-5DBE50F19039}">
        <Attribution userId="S::philipp.henningsen@europarl.europa.eu::c71fb78c-8e8a-4f3a-a419-4af985ccfba2" userName="HENNINGSEN Philipp Alexander" userProvider="AD"/>
        <Progress percentComplete="100"/>
      </Event>
    </History>
  </Task>
  <Task id="{F86AC8D6-A859-418E-B7A5-8526D5336194}">
    <Anchor>
      <Comment id="{75B581CE-81F7-4FAF-A73F-52C6E429A184}"/>
    </Anchor>
    <History>
      <Event time="2026-02-13T11:55:46.47" id="{520A7380-8728-4E02-B5FA-ED111343EA00}">
        <Attribution userId="S::philipp.henningsen@europarl.europa.eu::c71fb78c-8e8a-4f3a-a419-4af985ccfba2" userName="HENNINGSEN Philipp Alexander" userProvider="AD"/>
        <Anchor>
          <Comment id="{75B581CE-81F7-4FAF-A73F-52C6E429A184}"/>
        </Anchor>
        <Create/>
      </Event>
      <Event time="2026-02-13T11:55:46.47" id="{F13E0C24-7789-4460-80A9-DC15407453AA}">
        <Attribution userId="S::philipp.henningsen@europarl.europa.eu::c71fb78c-8e8a-4f3a-a419-4af985ccfba2" userName="HENNINGSEN Philipp Alexander" userProvider="AD"/>
        <Anchor>
          <Comment id="{75B581CE-81F7-4FAF-A73F-52C6E429A184}"/>
        </Anchor>
        <Assign userId="S::viviana.conte@europarl.europa.eu::e85e276d-dca5-4605-843d-949eb0afa159" userName="CONTE Viviana" userProvider="AD"/>
      </Event>
      <Event time="2026-02-13T11:55:46.47" id="{FB00B5A8-D460-434C-A707-AAA3FA5EBC2E}">
        <Attribution userId="S::philipp.henningsen@europarl.europa.eu::c71fb78c-8e8a-4f3a-a419-4af985ccfba2" userName="HENNINGSEN Philipp Alexander" userProvider="AD"/>
        <Anchor>
          <Comment id="{75B581CE-81F7-4FAF-A73F-52C6E429A184}"/>
        </Anchor>
        <SetTitle title="@CONTE Viviana please update the subtitle to &quot;Brussels/Luxembourg or Online&quot;"/>
      </Event>
      <Event time="2026-02-17T15:47:23.06" id="{B26CC68A-DB6E-4120-AACF-103217FD3721}">
        <Attribution userId="S::kaja.stih@europarl.europa.eu::51fda843-ea10-4b80-9330-effdc0ee0af4" userName="ŠTIH Kaja" userProvider="AD"/>
        <Progress percentComplete="100"/>
      </Event>
    </History>
  </Task>
  <Task id="{F9180FD8-220D-4AB3-8F40-32A91E3EA95E}">
    <Anchor>
      <Comment id="{C53DD587-6235-4A1D-945E-84FEC554BC8D}"/>
    </Anchor>
    <History>
      <Event time="2026-02-04T09:06:46.73" id="{C9AE28F1-C24F-4185-8E5B-79D5A52BF952}">
        <Attribution userId="S::adeline.chartol@ext.europarl.europa.eu::b3cd6b16-3849-4f4d-8c6c-36eee8177c05" userName="CHARTOL Adeline" userProvider="AD"/>
        <Anchor>
          <Comment id="{C53DD587-6235-4A1D-945E-84FEC554BC8D}"/>
        </Anchor>
        <Create/>
      </Event>
      <Event time="2026-02-04T09:06:46.73" id="{B7FC7B49-79EB-4419-94BE-394C6D0A5174}">
        <Attribution userId="S::adeline.chartol@ext.europarl.europa.eu::b3cd6b16-3849-4f4d-8c6c-36eee8177c05" userName="CHARTOL Adeline" userProvider="AD"/>
        <Anchor>
          <Comment id="{C53DD587-6235-4A1D-945E-84FEC554BC8D}"/>
        </Anchor>
        <Assign userId="S::carlos.zanoli@europarl.europa.eu::67b254d1-751a-4cf0-975e-7a11bef1b7e1" userName="ZANOLI Carlos" userProvider="AD"/>
      </Event>
      <Event time="2026-02-04T09:06:46.73" id="{F33AC1E1-E703-4E19-B3A7-963EB679C4D1}">
        <Attribution userId="S::adeline.chartol@ext.europarl.europa.eu::b3cd6b16-3849-4f4d-8c6c-36eee8177c05" userName="CHARTOL Adeline" userProvider="AD"/>
        <Anchor>
          <Comment id="{C53DD587-6235-4A1D-945E-84FEC554BC8D}"/>
        </Anchor>
        <SetTitle title="@ZANOLI Carlos subtitles need to be fixed"/>
      </Event>
      <Event time="2026-02-12T15:42:04.69" id="{2195D758-DF95-49DB-A1BD-7289DFEF2BC2}">
        <Attribution userId="S::carlos.zanoli@europarl.europa.eu::67b254d1-751a-4cf0-975e-7a11bef1b7e1" userName="ZANOLI Carlos" userProvider="AD"/>
        <Progress percentComplete="100"/>
      </Event>
    </History>
  </Task>
  <Task id="{4F214EE0-6B8D-4C6A-94DA-402191C387BE}">
    <Anchor>
      <Comment id="{0275329B-551D-4BE4-A8D0-C69EE09EF563}"/>
    </Anchor>
    <History>
      <Event time="2026-02-04T10:01:40.73" id="{06782487-9596-4BEF-9964-31C6A3119581}">
        <Attribution userId="S::philipp.henningsen@europarl.europa.eu::c71fb78c-8e8a-4f3a-a419-4af985ccfba2" userName="HENNINGSEN Philipp Alexander" userProvider="AD"/>
        <Anchor>
          <Comment id="{0275329B-551D-4BE4-A8D0-C69EE09EF563}"/>
        </Anchor>
        <Create/>
      </Event>
      <Event time="2026-02-04T10:01:40.73" id="{E5B91606-E117-482F-8DF3-2DB1258545E3}">
        <Attribution userId="S::philipp.henningsen@europarl.europa.eu::c71fb78c-8e8a-4f3a-a419-4af985ccfba2" userName="HENNINGSEN Philipp Alexander" userProvider="AD"/>
        <Anchor>
          <Comment id="{0275329B-551D-4BE4-A8D0-C69EE09EF563}"/>
        </Anchor>
        <Assign userId="S::pavlina.zavadilova@europarl.europa.eu::42612f5f-51b0-48b7-8e76-27d3c4d00c46" userName="ZAVADILOVA Pavlina" userProvider="AD"/>
      </Event>
      <Event time="2026-02-04T10:01:40.73" id="{16BE6F47-C1D8-48E9-9143-CB0EF3740F25}">
        <Attribution userId="S::philipp.henningsen@europarl.europa.eu::c71fb78c-8e8a-4f3a-a419-4af985ccfba2" userName="HENNINGSEN Philipp Alexander" userProvider="AD"/>
        <Anchor>
          <Comment id="{0275329B-551D-4BE4-A8D0-C69EE09EF563}"/>
        </Anchor>
        <SetTitle title="@ZAVADILOVA Pavlina Please update the subtitle of the template to &quot;Brussels/Luxembourg&quot;. For the courses the subtitle then should be only &quot;Brussels&quot; or &quot;Luxembourg&quot;."/>
      </Event>
      <Event time="2026-02-10T15:42:10.64" id="{8BB4701B-457A-49E0-A493-CAD8090E5149}">
        <Attribution userId="S::philipp.henningsen@europarl.europa.eu::c71fb78c-8e8a-4f3a-a419-4af985ccfba2" userName="HENNINGSEN Philipp Alexander" userProvider="AD"/>
        <Progress percentComplete="100"/>
      </Event>
    </History>
  </Task>
  <Task id="{265AF3E3-AE54-496D-828D-A0C94C9C32B8}">
    <Anchor>
      <Comment id="{950F50F6-3B7B-4F03-A4EC-77887FEF16B0}"/>
    </Anchor>
    <History>
      <Event time="2026-02-12T10:40:06.50" id="{A6676AF1-9B3D-4201-9E30-4BFC42F9DD31}">
        <Attribution userId="S::philipp.henningsen@europarl.europa.eu::c71fb78c-8e8a-4f3a-a419-4af985ccfba2" userName="HENNINGSEN Philipp Alexander" userProvider="AD"/>
        <Anchor>
          <Comment id="{950F50F6-3B7B-4F03-A4EC-77887FEF16B0}"/>
        </Anchor>
        <Create/>
      </Event>
      <Event time="2026-02-12T10:40:06.50" id="{249EFF58-D370-4DCA-A982-0DC33FCCE8A9}">
        <Attribution userId="S::philipp.henningsen@europarl.europa.eu::c71fb78c-8e8a-4f3a-a419-4af985ccfba2" userName="HENNINGSEN Philipp Alexander" userProvider="AD"/>
        <Anchor>
          <Comment id="{950F50F6-3B7B-4F03-A4EC-77887FEF16B0}"/>
        </Anchor>
        <Assign userId="S::katrin.gabelein@europarl.europa.eu::5ae54039-f750-4f1d-a5fd-e1b305f012f8" userName="GABELEIN-PAEHLER Katrin" userProvider="AD"/>
      </Event>
      <Event time="2026-02-12T10:40:06.50" id="{A679FBE4-8434-4D7D-881C-319B09561220}">
        <Attribution userId="S::philipp.henningsen@europarl.europa.eu::c71fb78c-8e8a-4f3a-a419-4af985ccfba2" userName="HENNINGSEN Philipp Alexander" userProvider="AD"/>
        <Anchor>
          <Comment id="{950F50F6-3B7B-4F03-A4EC-77887FEF16B0}"/>
        </Anchor>
        <SetTitle title="@GABELEIN-PAEHLER Katrin please update title (should not have the delivery mode), subtitle = Online, and CM to learn.lead"/>
      </Event>
      <Event time="2026-02-12T13:56:13.17" id="{00517F6E-5170-470F-A674-9C06947E8461}">
        <Attribution userId="S::kaja.stih@europarl.europa.eu::51fda843-ea10-4b80-9330-effdc0ee0af4" userName="ŠTIH Kaja" userProvider="AD"/>
        <Progress percentComplete="100"/>
      </Event>
    </History>
  </Task>
  <Task id="{203870E9-6E2E-41A5-8D66-DDF854F70852}">
    <Anchor>
      <Comment id="{F7540353-814B-41CF-8C81-7D30855703A1}"/>
    </Anchor>
    <History>
      <Event time="2026-02-04T10:59:38.99" id="{C8ED55E2-6EB6-43A1-A8DE-C9B27DEE0A51}">
        <Attribution userId="S::adeline.chartol@ext.europarl.europa.eu::b3cd6b16-3849-4f4d-8c6c-36eee8177c05" userName="CHARTOL Adeline" userProvider="AD"/>
        <Anchor>
          <Comment id="{F7540353-814B-41CF-8C81-7D30855703A1}"/>
        </Anchor>
        <Create/>
      </Event>
      <Event time="2026-02-04T10:59:38.99" id="{CB55CD88-0913-4962-8FCC-91F714A256C8}">
        <Attribution userId="S::adeline.chartol@ext.europarl.europa.eu::b3cd6b16-3849-4f4d-8c6c-36eee8177c05" userName="CHARTOL Adeline" userProvider="AD"/>
        <Anchor>
          <Comment id="{F7540353-814B-41CF-8C81-7D30855703A1}"/>
        </Anchor>
        <Assign userId="S::carlos.zanoli@europarl.europa.eu::67b254d1-751a-4cf0-975e-7a11bef1b7e1" userName="ZANOLI Carlos" userProvider="AD"/>
      </Event>
      <Event time="2026-02-04T10:59:38.99" id="{E04342C6-0933-41BD-B6E2-854C2F555D72}">
        <Attribution userId="S::adeline.chartol@ext.europarl.europa.eu::b3cd6b16-3849-4f4d-8c6c-36eee8177c05" userName="CHARTOL Adeline" userProvider="AD"/>
        <Anchor>
          <Comment id="{F7540353-814B-41CF-8C81-7D30855703A1}"/>
        </Anchor>
        <SetTitle title="@ZANOLI Carlos subtitle needs to be fixed"/>
      </Event>
      <Event time="2026-02-12T16:01:25.12" id="{B133821B-DF86-4949-B06A-743A47B02176}">
        <Attribution userId="S::carlos.zanoli@europarl.europa.eu::67b254d1-751a-4cf0-975e-7a11bef1b7e1" userName="ZANOLI Carlos" userProvider="AD"/>
        <Progress percentComplete="100"/>
      </Event>
    </History>
  </Task>
  <Task id="{B08B48EB-E1DE-425F-96F6-9AA25B876FC1}">
    <Anchor>
      <Comment id="{D09DF444-9DCE-45E9-B9FE-FFA91971125E}"/>
    </Anchor>
    <History>
      <Event time="2026-02-17T08:37:10.69" id="{72A2F6A2-F49D-4902-AACE-900905568541}">
        <Attribution userId="S::adeline.chartol@ext.europarl.europa.eu::b3cd6b16-3849-4f4d-8c6c-36eee8177c05" userName="CHARTOL Adeline" userProvider="AD"/>
        <Anchor>
          <Comment id="{D09DF444-9DCE-45E9-B9FE-FFA91971125E}"/>
        </Anchor>
        <Create/>
      </Event>
      <Event time="2026-02-17T08:37:10.69" id="{C12242E3-9855-43F8-AC20-E5A5A9CC85CB}">
        <Attribution userId="S::adeline.chartol@ext.europarl.europa.eu::b3cd6b16-3849-4f4d-8c6c-36eee8177c05" userName="CHARTOL Adeline" userProvider="AD"/>
        <Anchor>
          <Comment id="{D09DF444-9DCE-45E9-B9FE-FFA91971125E}"/>
        </Anchor>
        <Assign userId="S::annica.torneryd@europarl.europa.eu::81585dee-6f6c-4017-af65-2c3ebcebf001" userName="TORNERYD Annica" userProvider="AD"/>
      </Event>
      <Event time="2026-02-17T08:37:10.69" id="{CF82A308-4014-4F06-93D3-2E3614D6CA13}">
        <Attribution userId="S::adeline.chartol@ext.europarl.europa.eu::b3cd6b16-3849-4f4d-8c6c-36eee8177c05" userName="CHARTOL Adeline" userProvider="AD"/>
        <Anchor>
          <Comment id="{D09DF444-9DCE-45E9-B9FE-FFA91971125E}"/>
        </Anchor>
        <SetTitle title="@TORNERYD Annica The subtitle in this template should be fixed to Brussels/Luxembourg"/>
      </Event>
      <Event time="2026-02-26T15:11:05.12" id="{1C69A498-C8B4-4671-970C-E01D7DBA84B3}">
        <Attribution userId="S::philipp.henningsen@europarl.europa.eu::c71fb78c-8e8a-4f3a-a419-4af985ccfba2" userName="HENNINGSEN Philipp Alexander" userProvider="AD"/>
        <Progress percentComplete="100"/>
      </Event>
    </History>
  </Task>
  <Task id="{3946FBEC-F620-42F4-A06C-6F8863C14275}">
    <Anchor>
      <Comment id="{01ABCAC9-86E9-4A4F-91DF-6AA1FF5E7284}"/>
    </Anchor>
    <History>
      <Event time="2026-02-12T09:09:19.93" id="{62790ABA-7944-4995-9111-4E95E0A22DCA}">
        <Attribution userId="S::philipp.henningsen@europarl.europa.eu::c71fb78c-8e8a-4f3a-a419-4af985ccfba2" userName="HENNINGSEN Philipp Alexander" userProvider="AD"/>
        <Anchor>
          <Comment id="{CF96A411-49A4-4EB1-8A6C-4C964E8FBE64}"/>
        </Anchor>
        <Create/>
      </Event>
      <Event time="2026-02-12T09:09:19.93" id="{AF87D647-D83B-436A-A16D-F6B550F9503C}">
        <Attribution userId="S::philipp.henningsen@europarl.europa.eu::c71fb78c-8e8a-4f3a-a419-4af985ccfba2" userName="HENNINGSEN Philipp Alexander" userProvider="AD"/>
        <Anchor>
          <Comment id="{CF96A411-49A4-4EB1-8A6C-4C964E8FBE64}"/>
        </Anchor>
        <Assign userId="S::viktoriya.krasteva@europarl.europa.eu::f10a207b-7d0f-44ad-bfb0-2ac6584b63f9" userName="KRASTEVA Viktoriya" userProvider="AD"/>
      </Event>
      <Event time="2026-02-12T09:09:19.93" id="{1DD858CF-3501-44FD-890C-31CFF9593A3C}">
        <Attribution userId="S::philipp.henningsen@europarl.europa.eu::c71fb78c-8e8a-4f3a-a419-4af985ccfba2" userName="HENNINGSEN Philipp Alexander" userProvider="AD"/>
        <Anchor>
          <Comment id="{CF96A411-49A4-4EB1-8A6C-4C964E8FBE64}"/>
        </Anchor>
        <SetTitle title="@KRASTEVA Viktoriya please let me know if you need help"/>
      </Event>
      <Event time="2026-02-26T14:59:59.92" id="{AFCED800-E831-4D9F-AA23-6A4D56157E38}">
        <Attribution userId="S::philipp.henningsen@europarl.europa.eu::c71fb78c-8e8a-4f3a-a419-4af985ccfba2" userName="HENNINGSEN Philipp Alexander" userProvider="AD"/>
        <Progress percentComplete="100"/>
      </Event>
    </History>
  </Task>
  <Task id="{518CF8ED-6080-4381-88AC-7BDB84869793}">
    <Anchor>
      <Comment id="{BCAAF6E7-2D13-40F7-872C-6446F8E3B766}"/>
    </Anchor>
    <History>
      <Event time="2026-02-05T10:06:28.24" id="{F32F6795-A4D0-4F3A-9416-D1235C1DCEDA}">
        <Attribution userId="S::philipp.henningsen@europarl.europa.eu::c71fb78c-8e8a-4f3a-a419-4af985ccfba2" userName="HENNINGSEN Philipp Alexander" userProvider="AD"/>
        <Anchor>
          <Comment id="{BCAAF6E7-2D13-40F7-872C-6446F8E3B766}"/>
        </Anchor>
        <Create/>
      </Event>
      <Event time="2026-02-05T10:06:28.24" id="{AA8A6507-09BB-40FF-BF24-4B6B6057E28E}">
        <Attribution userId="S::philipp.henningsen@europarl.europa.eu::c71fb78c-8e8a-4f3a-a419-4af985ccfba2" userName="HENNINGSEN Philipp Alexander" userProvider="AD"/>
        <Anchor>
          <Comment id="{BCAAF6E7-2D13-40F7-872C-6446F8E3B766}"/>
        </Anchor>
        <Assign userId="S::elodie.macler@europarl.europa.eu::bcd004a1-3db2-4e06-bbd8-69a91cd4236b" userName="MACLER Elodie" userProvider="AD"/>
      </Event>
      <Event time="2026-02-05T10:06:28.24" id="{BA172EA6-D125-48B5-AFF9-A134B966507D}">
        <Attribution userId="S::philipp.henningsen@europarl.europa.eu::c71fb78c-8e8a-4f3a-a419-4af985ccfba2" userName="HENNINGSEN Philipp Alexander" userProvider="AD"/>
        <Anchor>
          <Comment id="{BCAAF6E7-2D13-40F7-872C-6446F8E3B766}"/>
        </Anchor>
        <SetTitle title="@MACLER Elodie Why is this not included for the brochure? There is a steady offer. Please confirm if this is correct to leave it out."/>
      </Event>
      <Event time="2026-02-05T10:55:11.04" id="{C0AFCB21-17B1-43EC-A5FD-D913F7547F7A}">
        <Attribution userId="S::elodie.macler@europarl.europa.eu::bcd004a1-3db2-4e06-bbd8-69a91cd4236b" userName="MACLER Elodie" userProvider="AD"/>
        <Progress percentComplete="100"/>
      </Event>
    </History>
  </Task>
  <Task id="{199B83F0-58E8-4E6C-9F97-936F76CFB39E}">
    <Anchor>
      <Comment id="{4ADF9DF2-5DB4-4B1B-9837-1CDCF057104F}"/>
    </Anchor>
    <History>
      <Event time="2026-02-04T11:10:04.80" id="{7857B3EA-2A51-4A79-9A12-51F1FA0A767D}">
        <Attribution userId="S::adeline.chartol@ext.europarl.europa.eu::b3cd6b16-3849-4f4d-8c6c-36eee8177c05" userName="CHARTOL Adeline" userProvider="AD"/>
        <Anchor>
          <Comment id="{4ADF9DF2-5DB4-4B1B-9837-1CDCF057104F}"/>
        </Anchor>
        <Create/>
      </Event>
      <Event time="2026-02-04T11:10:04.80" id="{ADEE643A-A98A-43D1-A483-471B64388FBF}">
        <Attribution userId="S::adeline.chartol@ext.europarl.europa.eu::b3cd6b16-3849-4f4d-8c6c-36eee8177c05" userName="CHARTOL Adeline" userProvider="AD"/>
        <Anchor>
          <Comment id="{4ADF9DF2-5DB4-4B1B-9837-1CDCF057104F}"/>
        </Anchor>
        <Assign userId="S::carlos.zanoli@europarl.europa.eu::67b254d1-751a-4cf0-975e-7a11bef1b7e1" userName="ZANOLI Carlos" userProvider="AD"/>
      </Event>
      <Event time="2026-02-04T11:10:04.80" id="{2B1C90A2-5FE7-438B-B76B-65F3A195340B}">
        <Attribution userId="S::adeline.chartol@ext.europarl.europa.eu::b3cd6b16-3849-4f4d-8c6c-36eee8177c05" userName="CHARTOL Adeline" userProvider="AD"/>
        <Anchor>
          <Comment id="{4ADF9DF2-5DB4-4B1B-9837-1CDCF057104F}"/>
        </Anchor>
        <SetTitle title="@ZANOLI Carlos subtitles are not correct and titles do not match."/>
      </Event>
      <Event time="2026-02-12T16:05:52.59" id="{BF3895E7-379B-4ADA-95B3-D44419063306}">
        <Attribution userId="S::carlos.zanoli@europarl.europa.eu::67b254d1-751a-4cf0-975e-7a11bef1b7e1" userName="ZANOLI Carlos" userProvider="AD"/>
        <Progress percentComplete="100"/>
      </Event>
    </History>
  </Task>
  <Task id="{FC90C9F5-AA91-4CF0-8C0D-C75A6FE33AD2}">
    <Anchor>
      <Comment id="{8B0C1DCA-0291-4584-A809-3F1850D1D7F3}"/>
    </Anchor>
    <History>
      <Event time="2026-02-04T09:29:27.49" id="{7A676A5D-3AED-4CF3-8B0F-9DB0A5487AFA}">
        <Attribution userId="S::adeline.chartol@ext.europarl.europa.eu::b3cd6b16-3849-4f4d-8c6c-36eee8177c05" userName="CHARTOL Adeline" userProvider="AD"/>
        <Anchor>
          <Comment id="{8B0C1DCA-0291-4584-A809-3F1850D1D7F3}"/>
        </Anchor>
        <Create/>
      </Event>
      <Event time="2026-02-04T09:29:27.49" id="{C6CF1CBC-D010-453C-915F-476C24CDE44F}">
        <Attribution userId="S::adeline.chartol@ext.europarl.europa.eu::b3cd6b16-3849-4f4d-8c6c-36eee8177c05" userName="CHARTOL Adeline" userProvider="AD"/>
        <Anchor>
          <Comment id="{8B0C1DCA-0291-4584-A809-3F1850D1D7F3}"/>
        </Anchor>
        <Assign userId="S::ioannis.viannis@europarl.europa.eu::1c1319b3-7c42-4b7d-99c7-62e6e68d4407" userName="VIANNIS Ioannis" userProvider="AD"/>
      </Event>
      <Event time="2026-02-04T09:29:27.49" id="{6255B95E-706D-436B-AFC8-E6F96CD7BC06}">
        <Attribution userId="S::adeline.chartol@ext.europarl.europa.eu::b3cd6b16-3849-4f4d-8c6c-36eee8177c05" userName="CHARTOL Adeline" userProvider="AD"/>
        <Anchor>
          <Comment id="{8B0C1DCA-0291-4584-A809-3F1850D1D7F3}"/>
        </Anchor>
        <SetTitle title="@VIANNIS Ioannis same question as above"/>
      </Event>
      <Event time="2026-02-16T08:57:02.42" id="{74F42BFB-A420-4A02-B89A-AC72E66CF412}">
        <Attribution userId="S::kaja.stih@europarl.europa.eu::51fda843-ea10-4b80-9330-effdc0ee0af4" userName="ŠTIH Kaja" userProvider="AD"/>
        <Progress percentComplete="100"/>
      </Event>
    </History>
  </Task>
  <Task id="{8A5587F8-0886-4CE4-9793-3830E1486B9C}">
    <Anchor>
      <Comment id="{171EDEB1-FF5A-411A-B6A8-BF0B6FBA861F}"/>
    </Anchor>
    <History>
      <Event time="2026-02-10T15:14:28.80" id="{3DD3DB3C-06F8-473D-ADC1-FFCBB0C0704D}">
        <Attribution userId="S::philipp.henningsen@europarl.europa.eu::c71fb78c-8e8a-4f3a-a419-4af985ccfba2" userName="HENNINGSEN Philipp Alexander" userProvider="AD"/>
        <Anchor>
          <Comment id="{171EDEB1-FF5A-411A-B6A8-BF0B6FBA861F}"/>
        </Anchor>
        <Create/>
      </Event>
      <Event time="2026-02-10T15:14:28.80" id="{3A69DE40-C70E-414A-84FE-EA94E5515D3E}">
        <Attribution userId="S::philipp.henningsen@europarl.europa.eu::c71fb78c-8e8a-4f3a-a419-4af985ccfba2" userName="HENNINGSEN Philipp Alexander" userProvider="AD"/>
        <Anchor>
          <Comment id="{171EDEB1-FF5A-411A-B6A8-BF0B6FBA861F}"/>
        </Anchor>
        <Assign userId="S::carlos.zanoli@europarl.europa.eu::67b254d1-751a-4cf0-975e-7a11bef1b7e1" userName="ZANOLI Carlos" userProvider="AD"/>
      </Event>
      <Event time="2026-02-10T15:14:28.80" id="{FBDBE51C-2844-4DE1-A63D-05DAF7CD132C}">
        <Attribution userId="S::philipp.henningsen@europarl.europa.eu::c71fb78c-8e8a-4f3a-a419-4af985ccfba2" userName="HENNINGSEN Philipp Alexander" userProvider="AD"/>
        <Anchor>
          <Comment id="{171EDEB1-FF5A-411A-B6A8-BF0B6FBA861F}"/>
        </Anchor>
        <SetTitle title="@ZANOLI Carlos please use same name in Description and Course description. Please update subtitle. please use fmb as CM on template."/>
      </Event>
      <Event time="2026-02-12T15:38:22.33" id="{9C794483-CD48-4BD6-8572-C75300F29ADA}">
        <Attribution userId="S::carlos.zanoli@europarl.europa.eu::67b254d1-751a-4cf0-975e-7a11bef1b7e1" userName="ZANOLI Carlos" userProvider="AD"/>
        <Progress percentComplete="100"/>
      </Event>
    </History>
  </Task>
  <Task id="{31CA11F9-790B-44A7-A54A-20228AE40193}">
    <Anchor>
      <Comment id="{73813F2F-4BEA-47D7-B3C8-30A82A1389D6}"/>
    </Anchor>
    <History>
      <Event time="2026-02-12T10:28:24.19" id="{AFEDF41A-364E-4B0A-AA46-EF3FC64910CE}">
        <Attribution userId="S::philipp.henningsen@europarl.europa.eu::c71fb78c-8e8a-4f3a-a419-4af985ccfba2" userName="HENNINGSEN Philipp Alexander" userProvider="AD"/>
        <Anchor>
          <Comment id="{73813F2F-4BEA-47D7-B3C8-30A82A1389D6}"/>
        </Anchor>
        <Create/>
      </Event>
      <Event time="2026-02-12T10:28:24.19" id="{A4C1B357-9B17-447B-B5FC-8CAAC4937860}">
        <Attribution userId="S::philipp.henningsen@europarl.europa.eu::c71fb78c-8e8a-4f3a-a419-4af985ccfba2" userName="HENNINGSEN Philipp Alexander" userProvider="AD"/>
        <Anchor>
          <Comment id="{73813F2F-4BEA-47D7-B3C8-30A82A1389D6}"/>
        </Anchor>
        <Assign userId="S::veselina.goleminova@europarl.europa.eu::d10f0c31-1772-4c33-b0e8-3398730f27e7" userName="GOLEMINOVA Veselina" userProvider="AD"/>
      </Event>
      <Event time="2026-02-12T10:28:24.19" id="{7FDC7FE8-713D-45A4-8016-CA8A4D65B652}">
        <Attribution userId="S::philipp.henningsen@europarl.europa.eu::c71fb78c-8e8a-4f3a-a419-4af985ccfba2" userName="HENNINGSEN Philipp Alexander" userProvider="AD"/>
        <Anchor>
          <Comment id="{73813F2F-4BEA-47D7-B3C8-30A82A1389D6}"/>
        </Anchor>
        <SetTitle title="@GOLEMINOVA Veselina please update subtitle of the template to &quot;Brussels/Luxembourg&quot; and use learn.lead as cm."/>
      </Event>
      <Event time="2026-02-26T15:13:58.52" id="{753F4E08-8E72-454A-AB60-D69405BDD397}">
        <Attribution userId="S::philipp.henningsen@europarl.europa.eu::c71fb78c-8e8a-4f3a-a419-4af985ccfba2" userName="HENNINGSEN Philipp Alexander" userProvider="AD"/>
        <Progress percentComplete="100"/>
      </Event>
    </History>
  </Task>
  <Task id="{788ED9FC-F3AC-40B3-B4B9-867F13F393EB}">
    <Anchor>
      <Comment id="{DBC7B4A2-AB4C-4D19-AAF4-F266696F4C64}"/>
    </Anchor>
    <History>
      <Event time="2026-02-10T15:15:31.25" id="{CE505DD1-EF33-4BB4-87EC-EE647835AED5}">
        <Attribution userId="S::philipp.henningsen@europarl.europa.eu::c71fb78c-8e8a-4f3a-a419-4af985ccfba2" userName="HENNINGSEN Philipp Alexander" userProvider="AD"/>
        <Anchor>
          <Comment id="{DBC7B4A2-AB4C-4D19-AAF4-F266696F4C64}"/>
        </Anchor>
        <Create/>
      </Event>
      <Event time="2026-02-10T15:15:31.25" id="{F0C71622-69A1-4DB0-90E0-78FDCBEF1195}">
        <Attribution userId="S::philipp.henningsen@europarl.europa.eu::c71fb78c-8e8a-4f3a-a419-4af985ccfba2" userName="HENNINGSEN Philipp Alexander" userProvider="AD"/>
        <Anchor>
          <Comment id="{DBC7B4A2-AB4C-4D19-AAF4-F266696F4C64}"/>
        </Anchor>
        <Assign userId="S::viktoriya.krasteva@europarl.europa.eu::f10a207b-7d0f-44ad-bfb0-2ac6584b63f9" userName="KRASTEVA Viktoriya" userProvider="AD"/>
      </Event>
      <Event time="2026-02-10T15:15:31.25" id="{B5CBCC69-E088-4129-8F63-40B8850D5AE0}">
        <Attribution userId="S::philipp.henningsen@europarl.europa.eu::c71fb78c-8e8a-4f3a-a419-4af985ccfba2" userName="HENNINGSEN Philipp Alexander" userProvider="AD"/>
        <Anchor>
          <Comment id="{DBC7B4A2-AB4C-4D19-AAF4-F266696F4C64}"/>
        </Anchor>
        <SetTitle title="@KRASTEVA Viktoriya please update subtitle and use learn.ep as CM on template"/>
      </Event>
      <Event time="2026-02-13T11:16:01.04" id="{88EF65EC-97D4-49A9-8422-7218C2423274}">
        <Attribution userId="S::philipp.henningsen@europarl.europa.eu::c71fb78c-8e8a-4f3a-a419-4af985ccfba2" userName="HENNINGSEN Philipp Alexander" userProvider="AD"/>
        <Progress percentComplete="100"/>
      </Event>
    </History>
  </Task>
  <Task id="{C0BBE1FE-A15B-4324-A2C9-AF308FD6F1E8}">
    <Anchor>
      <Comment id="{093F5BE4-678A-45FD-A9B3-5E91231CB40E}"/>
    </Anchor>
    <History>
      <Event time="2026-02-12T09:08:55.08" id="{007C0A55-F62C-434E-8C29-23AD2ABD29B8}">
        <Attribution userId="S::philipp.henningsen@europarl.europa.eu::c71fb78c-8e8a-4f3a-a419-4af985ccfba2" userName="HENNINGSEN Philipp Alexander" userProvider="AD"/>
        <Anchor>
          <Comment id="{177B9FA6-415A-4B87-80E6-D28887502044}"/>
        </Anchor>
        <Create/>
      </Event>
      <Event time="2026-02-12T09:08:55.08" id="{E7F972D2-7466-4FEB-95CA-389BFA01A51E}">
        <Attribution userId="S::philipp.henningsen@europarl.europa.eu::c71fb78c-8e8a-4f3a-a419-4af985ccfba2" userName="HENNINGSEN Philipp Alexander" userProvider="AD"/>
        <Anchor>
          <Comment id="{177B9FA6-415A-4B87-80E6-D28887502044}"/>
        </Anchor>
        <Assign userId="S::viktoriya.krasteva@europarl.europa.eu::f10a207b-7d0f-44ad-bfb0-2ac6584b63f9" userName="KRASTEVA Viktoriya" userProvider="AD"/>
      </Event>
      <Event time="2026-02-12T09:08:55.08" id="{2B4F64CB-9D5F-47B2-A12F-7B1B2AA7A248}">
        <Attribution userId="S::philipp.henningsen@europarl.europa.eu::c71fb78c-8e8a-4f3a-a419-4af985ccfba2" userName="HENNINGSEN Philipp Alexander" userProvider="AD"/>
        <Anchor>
          <Comment id="{177B9FA6-415A-4B87-80E6-D28887502044}"/>
        </Anchor>
        <SetTitle title="@KRASTEVA Viktoriya please let me know if you need help"/>
      </Event>
      <Event time="2026-02-26T14:59:12.21" id="{3CBA77EC-4CDB-4522-893B-6E6C29BDF231}">
        <Attribution userId="S::philipp.henningsen@europarl.europa.eu::c71fb78c-8e8a-4f3a-a419-4af985ccfba2" userName="HENNINGSEN Philipp Alexander" userProvider="AD"/>
        <Progress percentComplete="100"/>
      </Event>
    </History>
  </Task>
  <Task id="{4A2A45FF-606E-42D9-A42C-B5650588379D}">
    <Anchor>
      <Comment id="{A2D48471-513E-40E3-997D-253E1E7FA3B2}"/>
    </Anchor>
    <History>
      <Event time="2026-02-04T10:49:22.42" id="{E2611363-B2A8-4EE6-A915-D9567E2B8ADB}">
        <Attribution userId="S::philipp.henningsen@europarl.europa.eu::c71fb78c-8e8a-4f3a-a419-4af985ccfba2" userName="HENNINGSEN Philipp Alexander" userProvider="AD"/>
        <Anchor>
          <Comment id="{A2D48471-513E-40E3-997D-253E1E7FA3B2}"/>
        </Anchor>
        <Create/>
      </Event>
      <Event time="2026-02-04T10:49:22.42" id="{785C52B9-6C3D-4A1D-931B-B65236DD66DE}">
        <Attribution userId="S::philipp.henningsen@europarl.europa.eu::c71fb78c-8e8a-4f3a-a419-4af985ccfba2" userName="HENNINGSEN Philipp Alexander" userProvider="AD"/>
        <Anchor>
          <Comment id="{A2D48471-513E-40E3-997D-253E1E7FA3B2}"/>
        </Anchor>
        <Assign userId="S::mariana.krajcova@europarl.europa.eu::9406e375-a50e-423a-8a93-350a89b5b4e0" userName="KRAJCOVA Mariana" userProvider="AD"/>
      </Event>
      <Event time="2026-02-04T10:49:22.42" id="{5C6A7943-740F-489D-9077-20D1A4AD557B}">
        <Attribution userId="S::philipp.henningsen@europarl.europa.eu::c71fb78c-8e8a-4f3a-a419-4af985ccfba2" userName="HENNINGSEN Philipp Alexander" userProvider="AD"/>
        <Anchor>
          <Comment id="{A2D48471-513E-40E3-997D-253E1E7FA3B2}"/>
        </Anchor>
        <SetTitle title="@KRAJCOVA Mariana Should this stay in the catalogue? It's not a training course and could be done via EP events etc. If it should be removed contact person is MARIA CAROLA CRISCUOLO"/>
      </Event>
      <Event time="2026-02-05T11:20:50.35" id="{900B5F5F-0847-42E3-B7E9-1FC48747C0AB}">
        <Attribution userId="S::philipp.henningsen@europarl.europa.eu::c71fb78c-8e8a-4f3a-a419-4af985ccfba2" userName="HENNINGSEN Philipp Alexander" userProvider="AD"/>
        <Progress percentComplete="100"/>
      </Event>
    </History>
  </Task>
  <Task id="{16E2CEFF-3F12-4D2A-9F92-3087C5D18C83}">
    <Anchor>
      <Comment id="{627CD0B8-B685-4D13-9F93-08462CB5BDB3}"/>
    </Anchor>
    <History>
      <Event time="2026-02-03T15:45:39.55" id="{5EBFDCED-09F6-455A-8921-43FB0D3AB6E4}">
        <Attribution userId="S::philipp.henningsen@europarl.europa.eu::c71fb78c-8e8a-4f3a-a419-4af985ccfba2" userName="HENNINGSEN Philipp Alexander" userProvider="AD"/>
        <Anchor>
          <Comment id="{627CD0B8-B685-4D13-9F93-08462CB5BDB3}"/>
        </Anchor>
        <Create/>
      </Event>
      <Event time="2026-02-03T15:45:39.55" id="{44439DDA-9242-499F-9D24-306B7474D6BD}">
        <Attribution userId="S::philipp.henningsen@europarl.europa.eu::c71fb78c-8e8a-4f3a-a419-4af985ccfba2" userName="HENNINGSEN Philipp Alexander" userProvider="AD"/>
        <Anchor>
          <Comment id="{627CD0B8-B685-4D13-9F93-08462CB5BDB3}"/>
        </Anchor>
        <Assign userId="S::karen.dillon@europarl.europa.eu::b8eeeb34-a665-4084-9189-4fda6e1c6b85" userName="DILLON Karen" userProvider="AD"/>
      </Event>
      <Event time="2026-02-03T15:45:39.55" id="{1C050002-2335-4A2F-8C0E-2014145761CF}">
        <Attribution userId="S::philipp.henningsen@europarl.europa.eu::c71fb78c-8e8a-4f3a-a419-4af985ccfba2" userName="HENNINGSEN Philipp Alexander" userProvider="AD"/>
        <Anchor>
          <Comment id="{627CD0B8-B685-4D13-9F93-08462CB5BDB3}"/>
        </Anchor>
        <SetTitle title="@DILLON Karen please remove one template from the catalogue. Location can be set up on course level."/>
      </Event>
      <Event time="2026-02-12T08:59:20.92" id="{D0803C0E-FC42-4324-9FF3-F7841A6418C4}">
        <Attribution userId="S::philipp.henningsen@europarl.europa.eu::c71fb78c-8e8a-4f3a-a419-4af985ccfba2" userName="HENNINGSEN Philipp Alexander" userProvider="AD"/>
        <Progress percentComplete="100"/>
      </Event>
    </History>
  </Task>
</Tasks>
</file>

<file path=xl/documenttasks/documenttask2.xml><?xml version="1.0" encoding="utf-8"?>
<Tasks xmlns="http://schemas.microsoft.com/office/tasks/2019/documenttasks">
  <Task id="{2E407FDB-19DE-4C19-8E0A-F6B4D75FBCA9}">
    <Anchor>
      <Comment id="{2A1601D6-D720-4368-98F9-2ADD78DF84E5}"/>
    </Anchor>
    <History>
      <Event time="2026-03-09T14:49:35.32" id="{6942C4DE-994D-4897-B680-0F4620C0CD91}">
        <Attribution userId="S::philipp.henningsen@europarl.europa.eu::c71fb78c-8e8a-4f3a-a419-4af985ccfba2" userName="HENNINGSEN Philipp Alexander" userProvider="AD"/>
        <Anchor>
          <Comment id="{2A1601D6-D720-4368-98F9-2ADD78DF84E5}"/>
        </Anchor>
        <Create/>
      </Event>
      <Event time="2026-03-09T14:49:35.32" id="{E3A4EBAC-E85B-45E9-AC4B-24A7CABD1F79}">
        <Attribution userId="S::philipp.henningsen@europarl.europa.eu::c71fb78c-8e8a-4f3a-a419-4af985ccfba2" userName="HENNINGSEN Philipp Alexander" userProvider="AD"/>
        <Anchor>
          <Comment id="{2A1601D6-D720-4368-98F9-2ADD78DF84E5}"/>
        </Anchor>
        <Assign userId="S::carlos.zanoli@europarl.europa.eu::67b254d1-751a-4cf0-975e-7a11bef1b7e1" userName="ZANOLI Carlos" userProvider="AD"/>
      </Event>
      <Event time="2026-03-09T14:49:35.32" id="{2452E133-E546-46F8-91D4-A7F76FDFBDFD}">
        <Attribution userId="S::philipp.henningsen@europarl.europa.eu::c71fb78c-8e8a-4f3a-a419-4af985ccfba2" userName="HENNINGSEN Philipp Alexander" userProvider="AD"/>
        <Anchor>
          <Comment id="{2A1601D6-D720-4368-98F9-2ADD78DF84E5}"/>
        </Anchor>
        <SetTitle title="Why &quot;step 1&quot; in title @ZANOLI Carlos ?"/>
      </Event>
      <Event time="2026-07-09T08:44:53.51" id="{33AE41BE-5ABC-4E4A-95F8-43423DE0EA79}">
        <Attribution userId="S::philipp.henningsen@europarl.europa.eu::c71fb78c-8e8a-4f3a-a419-4af985ccfba2" userName="HENNINGSEN Philipp Alexander"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ŠTIH Kaja" id="{D40186F2-BD0F-4C10-8711-621D111A54D9}" userId="kaja.stih@europarl.europa.eu" providerId="PeoplePicker"/>
  <person displayName="DILLON Karen" id="{EC36668F-21A6-4AE2-BE66-C108283A1032}" userId="karen.dillon@europarl.europa.eu" providerId="PeoplePicker"/>
  <person displayName="SEKULSKA Anna" id="{94AB4E6A-92A7-49BD-ABFC-8E25223083DA}" userId="anna.sekulska@europarl.europa.eu" providerId="PeoplePicker"/>
  <person displayName="ZANOLI Carlos" id="{4BC430D5-0FB4-4B35-9504-324076D4C440}" userId="carlos.zanoli@europarl.europa.eu" providerId="PeoplePicker"/>
  <person displayName="MACLER Elodie" id="{ED721061-213C-49A0-B46A-61EBD5931D35}" userId="elodie.macler@europarl.europa.eu" providerId="PeoplePicker"/>
  <person displayName="FERREIRA Inês" id="{029D657F-A6DE-4934-A156-E42B2A70F78A}" userId="ines.ferreira@europarl.europa.eu" providerId="PeoplePicker"/>
  <person displayName="CONTE Viviana" id="{C6647FBB-2D90-401A-85EB-E2950149DD3C}" userId="viviana.conte@europarl.europa.eu" providerId="PeoplePicker"/>
  <person displayName="COEUDEVEZ Alix" id="{486A3066-0915-4DF9-BDB9-B110679DAA77}" userId="alix.coeudevez@europarl.europa.eu" providerId="PeoplePicker"/>
  <person displayName="MALTONI Simona" id="{ECA4C166-5E4D-4059-ABF8-E307E0B866A7}" userId="simona.maltoni@europarl.europa.eu" providerId="PeoplePicker"/>
  <person displayName="PHILLIPS Susan" id="{1667ACCA-4329-4511-A3C0-B02FFD8C69CE}" userId="susan.phillips@europarl.europa.eu" providerId="PeoplePicker"/>
  <person displayName="BRAVO Francisco" id="{25702EA3-0F11-4593-837D-2BAD1E1C7F42}" userId="Francisco.bravo@europarl.europa.eu" providerId="PeoplePicker"/>
  <person displayName="TORNERYD Annica" id="{517A00C2-EC01-446D-A38B-7EC5E0469691}" userId="annica.torneryd@europarl.europa.eu" providerId="PeoplePicker"/>
  <person displayName="VIANNIS Ioannis" id="{EC9D54C1-C9FF-4C81-959F-DB5C81B01C3D}" userId="ioannis.viannis@europarl.europa.eu" providerId="PeoplePicker"/>
  <person displayName="GABELEIN-PAEHLER Katrin" id="{203DE46C-D5EF-4127-BCC8-CBA718B32697}" userId="katrin.gabelein@europarl.europa.eu" providerId="PeoplePicker"/>
  <person displayName="KRAJCOVA Mariana" id="{656FF2A2-5FFF-4985-84DF-293CDACC7747}" userId="mariana.krajcova@europarl.europa.eu" providerId="PeoplePicker"/>
  <person displayName="LÓPEZ RIVAS Ángela" id="{9D246EC3-136F-41C4-892C-68B201C46950}" userId="angela.lopezrivas@europarl.europa.eu" providerId="PeoplePicker"/>
  <person displayName="BAVIERI Benedetta" id="{6F57D22D-9CC7-4AF7-99A0-B2638C031B2A}" userId="benedetta.bavieri@europarl.europa.eu" providerId="PeoplePicker"/>
  <person displayName="LATTEUR Christine" id="{621B4392-332C-4780-9D34-88DB5C462BD1}" userId="christine.latteur@europarl.europa.eu" providerId="PeoplePicker"/>
  <person displayName="MOLINA MESTRE Lidia" id="{218047C2-4930-4326-8DCE-66BC87BF29F7}" userId="lidia.molinamestre@europarl.europa.eu" providerId="PeoplePicker"/>
  <person displayName="ZAVADILOVA Pavlina" id="{2812DDC0-A256-4216-BFB1-347C75C7E0E7}" userId="pavlina.zavadilova@europarl.europa.eu" providerId="PeoplePicker"/>
  <person displayName="HENNINGSEN Philipp Alexander" id="{BC37D492-A87C-4214-9153-C0CC74E0474C}" userId="philipp.henningsen@europarl.europa.eu" providerId="PeoplePicker"/>
  <person displayName="KRASTEVA Viktoriya" id="{6BD63239-C543-4921-BA7B-9066E9635A02}" userId="viktoriya.krasteva@europarl.europa.eu" providerId="PeoplePicker"/>
  <person displayName="CHARTOL Adeline" id="{7C37A3B2-AC5B-4098-8338-F89234C1C0F5}" userId="adeline.chartol@ext.europarl.europa.eu" providerId="PeoplePicker"/>
  <person displayName="MARUCCIA Alessandra" id="{72BCA8A9-CE45-4507-8D5D-1485351B98B9}" userId="alessandra.maruccia@europarl.europa.eu" providerId="PeoplePicker"/>
  <person displayName="ANCIAUX Laurent" id="{93DE55CA-6558-41C2-9CE7-8867B1165E3B}" userId="laurent.anciaux@ext.europarl.europa.eu" providerId="PeoplePicker"/>
  <person displayName="GOLEMINOVA Veselina" id="{7CEE0834-02AC-4F96-938F-9035C2A8C0C9}" userId="veselina.goleminova@europarl.europa.eu" providerId="PeoplePicker"/>
  <person displayName="GALLEGO GONZALEZ Ana" id="{CE5A207E-D784-4E67-8533-E2847575D683}" userId="ana.gallegogonzalez@ext.europarl.europa.eu" providerId="PeoplePicker"/>
  <person displayName="CHARTOL Adeline Marguerite Rose" id="{EA48D16F-D457-499F-B2D0-7A9A2E7E647B}" userId="adelinemargueriterose.chartol@europarl.europa.eu" providerId="PeoplePicker"/>
  <person displayName="ŠTIH Kaja" id="{F214464C-A349-4E3E-8B83-BEE6E82299B2}" userId="S::kaja.stih@europarl.europa.eu::51fda843-ea10-4b80-9330-effdc0ee0af4" providerId="AD"/>
  <person displayName="ZANOLI Carlos" id="{01E9E077-B30D-46AF-BEFF-FA4BCFE010A3}" userId="S::carlos.zanoli@europarl.europa.eu::67b254d1-751a-4cf0-975e-7a11bef1b7e1" providerId="AD"/>
  <person displayName="MACLER Elodie" id="{C67FBFEC-BA2E-4A6A-845D-615935E1B976}" userId="S::elodie.macler@europarl.europa.eu::bcd004a1-3db2-4e06-bbd8-69a91cd4236b" providerId="AD"/>
  <person displayName="FERREIRA Inês" id="{80A06DF9-7406-4186-8B79-4D46292C6404}" userId="S::ines.ferreira@europarl.europa.eu::8b78382c-78da-49e6-bfbc-4d0b06557aed" providerId="AD"/>
  <person displayName="COEUDEVEZ Alix" id="{F6A65A5A-3D78-4329-82B3-8B2F2FF8957D}" userId="S::alix.coeudevez@europarl.europa.eu::d5579c4d-b11e-42eb-988f-d5f41ce88efd" providerId="AD"/>
  <person displayName="BRAVO Francisco" id="{F0ABF953-098F-4F75-A030-0598F86DBE91}" userId="S::francisco.bravo@europarl.europa.eu::98d5845d-b5c7-4c5f-97fe-d2013c96c3d5" providerId="AD"/>
  <person displayName="VIANNIS Ioannis" id="{48A34555-B584-4B16-B5D2-64EDE69BCBDC}" userId="S::ioannis.viannis@europarl.europa.eu::1c1319b3-7c42-4b7d-99c7-62e6e68d4407" providerId="AD"/>
  <person displayName="GABELEIN-PAEHLER Katrin" id="{3EEEEF99-CD7E-4B9C-9CF9-E03C8B041AFC}" userId="S::katrin.gabelein@europarl.europa.eu::5ae54039-f750-4f1d-a5fd-e1b305f012f8" providerId="AD"/>
  <person displayName="KRAJCOVA Mariana" id="{35EF6A0F-9AEF-47C0-8FAF-AF21BEF607E6}" userId="S::mariana.krajcova@europarl.europa.eu::9406e375-a50e-423a-8a93-350a89b5b4e0" providerId="AD"/>
  <person displayName="LÓPEZ RIVAS Ángela" id="{1A8CDDFC-5681-409E-9568-D4DCF839F857}" userId="S::angela.lopezrivas@europarl.europa.eu::e30b3983-1aa6-4641-959c-945c017e970e" providerId="AD"/>
  <person displayName="BAVIERI Benedetta" id="{4AEEF6C5-95F8-452A-91C8-B285216BAE15}" userId="S::benedetta.bavieri@europarl.europa.eu::057ac9a3-047e-48bb-a223-52a4c0e548cb" providerId="AD"/>
  <person displayName="HENNINGSEN Philipp Alexander" id="{76B72B18-3AEB-4D11-8EEC-5E72D2F46F74}" userId="S::philipp.henningsen@europarl.europa.eu::c71fb78c-8e8a-4f3a-a419-4af985ccfba2" providerId="AD"/>
  <person displayName="KRASTEVA Viktoriya" id="{699B83B1-8FF5-4D64-A156-C288379F6404}" userId="S::viktoriya.krasteva@europarl.europa.eu::f10a207b-7d0f-44ad-bfb0-2ac6584b63f9" providerId="AD"/>
  <person displayName="CHARTOL Adeline" id="{710C1762-C807-417E-9EBE-69445969C5A7}" userId="S::adeline.chartol@ext.europarl.europa.eu::b3cd6b16-3849-4f4d-8c6c-36eee8177c05" providerId="AD"/>
  <person displayName="GALLEGO GONZALEZ Ana" id="{895F79AA-BEEA-4BE0-A169-D5CB1D0C84A5}" userId="S::ana.gallegogonzalez@ext.europarl.europa.eu::16b489f8-e8ac-47a0-b303-8735cf45cf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1.69063391204" createdVersion="8" refreshedVersion="8" minRefreshableVersion="3" recordCount="601" xr:uid="{02661CE2-8DB7-4ACE-85D8-313FC3CD9BF2}">
  <cacheSource type="worksheet">
    <worksheetSource name="Table1"/>
  </cacheSource>
  <cacheFields count="11">
    <cacheField name="Full catalogue path" numFmtId="0">
      <sharedItems containsBlank="1" count="79">
        <s v="Career Development"/>
        <s v="Career Development &gt; Project management"/>
        <s v="Coaching"/>
        <s v="Collection per EP competence"/>
        <s v="Collection per EP competence &gt; Job specific"/>
        <s v="Collection per EP competence &gt; Job specific &gt; Information Technology "/>
        <s v="Collection per EP competence &gt; Job specific &gt; Linguistic"/>
        <s v="Collection per EP competence &gt; Job specific &gt; Parliamentary"/>
        <s v="Collection per EP competence &gt; Managerial  &gt; Developmental"/>
        <s v="Collection per EP competence &gt; Managerial  &gt; Facilitative"/>
        <s v="Collection per EP competence &gt; Managerial  &gt; Strategic"/>
        <s v="Collection per EP competence &gt; Transversal &gt; Core"/>
        <s v="Collection per EP competence &gt; Transversal &gt; Digital"/>
        <s v="Collection per EP competence &gt; Transversal &gt; Interpersonal"/>
        <s v="Collection per EP competence &gt; Transversal &gt; Operational"/>
        <s v="Collection per EP competence &gt; Transversal &gt; Systemic"/>
        <s v="Communication competencies"/>
        <s v="Digital competencies &gt; Accessibility"/>
        <s v="Digital competencies &gt; Adobe"/>
        <s v="Digital competencies &gt; Artificial Intelligence"/>
        <s v="Digital competencies &gt; Cloud"/>
        <s v="Digital competencies &gt; Cloud &gt; AWS"/>
        <s v="Digital competencies &gt; Cloud &gt; Azure"/>
        <s v="Digital competencies &gt; EP/EU applications"/>
        <s v="Digital competencies "/>
        <s v="Digital competencies &gt; Excel"/>
        <s v="Digital competencies &gt; IT security &amp; management"/>
        <s v="Digital competencies &gt; Other applications"/>
        <s v="Digital competencies &gt; Outlook"/>
        <s v="Digital competencies &gt; PowerPoint"/>
        <s v="Digital competencies &gt; Teams"/>
        <s v="Digital competencies &gt; Word"/>
        <s v="EP Competencies"/>
        <s v="EP Talks &gt; EP Talks - recordings"/>
        <s v="EP work tools &amp; rules"/>
        <s v="EP work tools &amp; rules &gt; Administrative Skills and Tools"/>
        <s v="EP work tools &amp; rules &gt; Behaviour and Attitude at the Workplace"/>
        <m/>
        <s v="EP work tools &amp; rules &gt; Retirement, unemployment, mobility"/>
        <s v="Data protection"/>
        <s v="Ethics &amp; data protection"/>
        <s v="Ethics"/>
        <s v="EU policies &amp; EP core business"/>
        <s v="EU policies &amp; EP core business &gt; How the EP works"/>
        <s v="EU policies &amp; EP core business &gt; Policies"/>
        <s v="EU policies &amp; EP core business &gt; Powers"/>
        <s v="Events"/>
        <s v="Events &gt; SG EU Policymaking Hub"/>
        <s v="Finance tools &amp; regulations"/>
        <s v="Finance tools &amp; regulations &gt; Flash sessions"/>
        <s v="Finance tools &amp; regulations &gt; Learning Paths by actors"/>
        <s v="Finance tools &amp; regulations &gt; Miscellaneous"/>
        <s v="Finance tools &amp; regulations &gt; Videos - EP Finance Academy"/>
        <s v="Interinsitutional catalogue &gt; GoFluent"/>
        <s v="Jean Monnet Academy"/>
        <s v="Language courses"/>
        <s v="Language courses &gt; Brussels"/>
        <s v="Language courses &gt; Luxembourg"/>
        <s v="Leadership &amp; management"/>
        <s v="Leadership &amp; management &gt; Managing information"/>
        <s v="Leadership &amp; management &gt; Managing people"/>
        <s v="Leadership &amp; management &gt; Managing relations"/>
        <s v="Leadership &amp; management &gt; Managing self"/>
        <s v="Leadership &amp; management &gt; Managing tasks"/>
        <s v="learn.EP catalogue"/>
        <s v="MEP &amp; APA training"/>
        <s v="Newcomers &amp; mandatory courses"/>
        <s v="Onboarding learning paths"/>
        <s v="Onboarding learning paths &gt; ADM"/>
        <s v="Onboarding learning paths &gt; FIN"/>
        <s v="Onboarding learning paths &gt; INF"/>
        <s v="Onboarding learning paths &gt; LING"/>
        <s v="Onboarding learning paths &gt; PARL"/>
        <s v="Wellbeing"/>
        <s v="Collection per EP competence &gt; Family Specific" u="1"/>
        <s v="Collection per EP competence &gt; Family Specific &gt; Information Technology " u="1"/>
        <s v="Collection per EP competence &gt; Family Specific &gt; Linguistic" u="1"/>
        <s v="Collection per EP competence &gt; Family Specific &gt; Parliamentary" u="1"/>
        <s v="Test" u="1"/>
      </sharedItems>
    </cacheField>
    <cacheField name="Object name" numFmtId="0">
      <sharedItems containsBlank="1"/>
    </cacheField>
    <cacheField name="Object identification code" numFmtId="0">
      <sharedItems containsBlank="1"/>
    </cacheField>
    <cacheField name="Object type" numFmtId="0">
      <sharedItems containsBlank="1"/>
    </cacheField>
    <cacheField name="EOI allowed" numFmtId="0">
      <sharedItems containsBlank="1"/>
    </cacheField>
    <cacheField name="Number of current EOIs" numFmtId="0">
      <sharedItems containsString="0" containsBlank="1" containsNumber="1" containsInteger="1" minValue="0" maxValue="267"/>
    </cacheField>
    <cacheField name="(Max.) Course start date" numFmtId="14">
      <sharedItems containsDate="1" containsBlank="1" containsMixedTypes="1" minDate="2024-01-25T09:00:00" maxDate="2026-12-08T09:30:00"/>
    </cacheField>
    <cacheField name="(Max.) Course end date" numFmtId="0">
      <sharedItems containsNonDate="0" containsDate="1" containsString="0" containsBlank="1" minDate="2024-01-25T17:00:00" maxDate="2035-04-20T08:00:00"/>
    </cacheField>
    <cacheField name="Latest enrolment/EOI" numFmtId="0">
      <sharedItems containsDate="1" containsBlank="1" containsMixedTypes="1" minDate="2024-08-08T00:00:00" maxDate="2026-03-10T00:00:00"/>
    </cacheField>
    <cacheField name="Course should be included" numFmtId="0">
      <sharedItems containsBlank="1" count="3">
        <s v="No"/>
        <s v="Yes"/>
        <m u="1"/>
      </sharedItems>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NINGSEN Philipp Alexander" refreshedDate="46163.606940046295" createdVersion="8" refreshedVersion="8" minRefreshableVersion="3" recordCount="1083" xr:uid="{8B154D66-2FF6-43FD-AEB8-07F7EC439EBF}">
  <cacheSource type="worksheet">
    <worksheetSource name="Table3"/>
  </cacheSource>
  <cacheFields count="11">
    <cacheField name="Full catalogue path" numFmtId="0">
      <sharedItems/>
    </cacheField>
    <cacheField name="Object name" numFmtId="0">
      <sharedItems/>
    </cacheField>
    <cacheField name="Object identification code" numFmtId="0">
      <sharedItems containsBlank="1"/>
    </cacheField>
    <cacheField name="Object type" numFmtId="0">
      <sharedItems count="4">
        <s v="Course template"/>
        <s v="Learning path"/>
        <s v="Course"/>
        <s v="Media"/>
      </sharedItems>
    </cacheField>
    <cacheField name="EOI allowed" numFmtId="0">
      <sharedItems containsBlank="1"/>
    </cacheField>
    <cacheField name="Number of current EOIs" numFmtId="0">
      <sharedItems containsString="0" containsBlank="1" containsNumber="1" containsInteger="1" minValue="0" maxValue="303"/>
    </cacheField>
    <cacheField name="(Max.) Course start date" numFmtId="0">
      <sharedItems containsDate="1" containsBlank="1" containsMixedTypes="1" minDate="2024-05-07T08:00:00" maxDate="2026-12-08T09:30:00"/>
    </cacheField>
    <cacheField name="(Max.) Course end date" numFmtId="0">
      <sharedItems containsNonDate="0" containsDate="1" containsString="0" containsBlank="1" minDate="2025-01-15T14:00:00" maxDate="2035-04-20T08:00:00"/>
    </cacheField>
    <cacheField name="Latest enrolment/EOI" numFmtId="0">
      <sharedItems containsDate="1" containsBlank="1" containsMixedTypes="1" minDate="2024-01-24T00:00:00" maxDate="2026-05-22T00:00:00"/>
    </cacheField>
    <cacheField name="Price if training centre is not your institution" numFmtId="0">
      <sharedItems containsBlank="1"/>
    </cacheField>
    <cacheField name="Main catalogue folder" numFmtId="0">
      <sharedItems count="19">
        <s v="Career Development"/>
        <s v="Coaching"/>
        <s v="Collection per EP competence"/>
        <s v="Communication competencies"/>
        <s v="Digital competencies"/>
        <s v="EP Talks"/>
        <s v="EP work tools &amp; rules"/>
        <s v="Ethics &amp; data protection"/>
        <s v="EU policies &amp; EP core business"/>
        <s v="Events"/>
        <s v="Finance tools &amp; regulations"/>
        <s v="Jean Monnet Academy"/>
        <s v="Language courses"/>
        <s v="Leadership &amp; management"/>
        <s v="learn.EP catalogue"/>
        <s v="MEP &amp; APA training"/>
        <s v="Newcomers &amp; mandatory courses"/>
        <s v="Onboarding learning paths"/>
        <s v="Wellbe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x v="0"/>
    <s v="Career Walk Luxembourg"/>
    <s v="049920-LUX GEN"/>
    <s v="Course template"/>
    <s v="Yes"/>
    <n v="20"/>
    <d v="2025-09-23T09:00:00"/>
    <d v="2025-09-23T13:00:00"/>
    <d v="2025-10-02T00:00:00"/>
    <x v="0"/>
    <s v="Not EP course"/>
  </r>
  <r>
    <x v="0"/>
    <s v="Entry-Level Participatory Leadership Training"/>
    <s v="059621-EP"/>
    <s v="Course template"/>
    <s v="Yes"/>
    <n v="48"/>
    <d v="2026-11-17T09:00:00"/>
    <d v="2025-11-06T17:00:00"/>
    <d v="2025-10-15T00:00:00"/>
    <x v="1"/>
    <s v="ok"/>
  </r>
  <r>
    <x v="0"/>
    <s v="Entry-Level Participatory Leadership Training (Luxembourg)"/>
    <s v="070071-EP"/>
    <s v="Course template"/>
    <s v="Yes"/>
    <n v="39"/>
    <d v="2026-04-28T09:00:00"/>
    <d v="2025-05-14T17:00:00"/>
    <d v="2025-10-07T00:00:00"/>
    <x v="0"/>
    <s v="Removed from catalogue"/>
  </r>
  <r>
    <x v="0"/>
    <s v="EPSO - General Introduction to the Assessment Centre (ORCE) - CoR"/>
    <s v="029166-EPSO"/>
    <s v="Course template"/>
    <s v="NO"/>
    <m/>
    <d v="2025-07-04T09:00:00"/>
    <d v="2025-07-04T12:30:00"/>
    <d v="2025-06-24T00:00:00"/>
    <x v="0"/>
    <s v="Removed from catalogue"/>
  </r>
  <r>
    <x v="0"/>
    <s v="EPSO - Situational competency-based interview (SCBI) - CoR"/>
    <s v="029249-EPSO"/>
    <s v="Course template"/>
    <s v="NO"/>
    <m/>
    <d v="2024-09-05T09:00:00"/>
    <d v="2024-09-05T17:30:00"/>
    <d v="2025-04-02T00:00:00"/>
    <x v="0"/>
    <s v="Removed from catalogue"/>
  </r>
  <r>
    <x v="0"/>
    <s v="How to prepare for an internal interview"/>
    <s v="057530-EP"/>
    <s v="Course template"/>
    <s v="Yes"/>
    <n v="37"/>
    <d v="2026-03-02T09:00:00"/>
    <d v="2025-12-15T12:30:00"/>
    <d v="2025-10-15T00:00:00"/>
    <x v="1"/>
    <s v="ok"/>
  </r>
  <r>
    <x v="0"/>
    <s v="Individual internal coaching"/>
    <s v="057000-EP"/>
    <s v="Course template"/>
    <s v="Yes"/>
    <n v="36"/>
    <d v="2026-01-05T08:00:00"/>
    <d v="2025-12-31T08:00:00"/>
    <d v="2025-10-14T00:00:00"/>
    <x v="0"/>
    <s v="ok"/>
  </r>
  <r>
    <x v="0"/>
    <s v="Internal Trainers - Learning Path"/>
    <s v="EP_004800"/>
    <s v="Learning path"/>
    <m/>
    <m/>
    <m/>
    <m/>
    <d v="2025-10-13T00:00:00"/>
    <x v="0"/>
    <s v="Removed from catalogue"/>
  </r>
  <r>
    <x v="0"/>
    <s v="Kick-start your competition preparation"/>
    <s v="071483-EP"/>
    <s v="Course template"/>
    <s v="Yes"/>
    <n v="10"/>
    <d v="2025-10-16T09:30:00"/>
    <d v="2025-10-16T17:00:00"/>
    <d v="2025-10-14T00:00:00"/>
    <x v="1"/>
    <s v="ok"/>
  </r>
  <r>
    <x v="0"/>
    <s v="How to develop professionally"/>
    <m/>
    <m/>
    <m/>
    <m/>
    <m/>
    <m/>
    <m/>
    <x v="1"/>
    <s v="Combine all modules in one item"/>
  </r>
  <r>
    <x v="0"/>
    <s v="Module 1 - How to develop professionally"/>
    <s v="023472-EP"/>
    <s v="Course template"/>
    <s v="Yes"/>
    <n v="86"/>
    <d v="2025-11-03T09:30:00"/>
    <d v="2025-11-03T12:30:00"/>
    <d v="2025-10-09T00:00:00"/>
    <x v="0"/>
    <s v="ok"/>
  </r>
  <r>
    <x v="0"/>
    <s v="Module 2 - How to develop professionally "/>
    <s v="023474-EP"/>
    <s v="Course template"/>
    <s v="Yes"/>
    <n v="36"/>
    <d v="2025-11-10T09:30:00"/>
    <d v="2025-11-10T12:30:00"/>
    <d v="2025-10-07T00:00:00"/>
    <x v="0"/>
    <s v="ok"/>
  </r>
  <r>
    <x v="0"/>
    <s v="Module 3 - How to develop professionally "/>
    <s v="023475-EP"/>
    <s v="Course template"/>
    <s v="Yes"/>
    <n v="32"/>
    <d v="2025-11-11T09:30:00"/>
    <d v="2025-11-11T12:30:00"/>
    <d v="2025-10-10T00:00:00"/>
    <x v="0"/>
    <s v="ok"/>
  </r>
  <r>
    <x v="0"/>
    <s v="Module 4 - How to develop professionally "/>
    <s v="023476-EP"/>
    <s v="Course template"/>
    <s v="Yes"/>
    <n v="25"/>
    <d v="2025-12-05T09:30:00"/>
    <d v="2025-12-05T12:30:00"/>
    <d v="2025-10-07T00:00:00"/>
    <x v="0"/>
    <s v="ok"/>
  </r>
  <r>
    <x v="0"/>
    <s v="Participatory Leadership Advanced Practice Days "/>
    <s v="061520-EP"/>
    <s v="Course template"/>
    <s v="Yes"/>
    <n v="41"/>
    <d v="2024-05-29T09:00:00"/>
    <d v="2024-05-29T17:00:00"/>
    <d v="2025-08-26T00:00:00"/>
    <x v="0"/>
    <s v="Removed from catalogue"/>
  </r>
  <r>
    <x v="0"/>
    <s v="Peer learning: prepare for your next job in the EP"/>
    <s v="065101-EP"/>
    <s v="Course template"/>
    <s v="Yes"/>
    <n v="44"/>
    <d v="2025-11-20T14:00:00"/>
    <d v="2025-11-20T17:00:00"/>
    <d v="2025-10-15T00:00:00"/>
    <x v="0"/>
    <s v="Removed from catalogue"/>
  </r>
  <r>
    <x v="1"/>
    <m/>
    <m/>
    <m/>
    <m/>
    <m/>
    <m/>
    <m/>
    <m/>
    <x v="1"/>
    <s v="Only link to the subfolder: https://eulearn.europa.eu/ilp/pages/catalogsearch.jsf?catalogId=34288614"/>
  </r>
  <r>
    <x v="1"/>
    <s v="ENGAGE - PM exam preparation"/>
    <s v="056843-EP"/>
    <s v="Course template"/>
    <s v="Yes"/>
    <n v="18"/>
    <d v="2026-02-24T10:30:00"/>
    <d v="2025-11-18T12:00:00"/>
    <d v="2025-10-08T00:00:00"/>
    <x v="0"/>
    <s v="ok"/>
  </r>
  <r>
    <x v="1"/>
    <s v="Introduction to Project Management Concepts"/>
    <s v="035165-EP-0001-EN-GB"/>
    <s v="Course template"/>
    <s v="Yes"/>
    <n v="200"/>
    <s v="duration of use"/>
    <m/>
    <d v="2025-10-14T00:00:00"/>
    <x v="0"/>
    <s v="ok"/>
  </r>
  <r>
    <x v="1"/>
    <s v="Programme Management Essentials"/>
    <s v="065048-EP"/>
    <s v="Course template"/>
    <s v="Yes"/>
    <n v="20"/>
    <d v="2026-03-09T09:00:00"/>
    <d v="2026-03-10T12:30:00"/>
    <d v="2026-02-03T00:00:00"/>
    <x v="0"/>
    <s v="Removed from catalogue"/>
  </r>
  <r>
    <x v="1"/>
    <s v="Programme Management Essentials"/>
    <s v="074843-EP"/>
    <m/>
    <m/>
    <m/>
    <m/>
    <m/>
    <m/>
    <x v="0"/>
    <s v="ok. new umbrella template!"/>
  </r>
  <r>
    <x v="1"/>
    <s v="Project Management - Artefacts, Tools &amp; Techniques"/>
    <s v="063004-EP"/>
    <s v="Course template"/>
    <s v="Yes"/>
    <n v="16"/>
    <d v="2026-02-09T09:00:00"/>
    <d v="2025-12-12T17:00:00"/>
    <d v="2025-10-13T00:00:00"/>
    <x v="0"/>
    <s v="Removed from catalogue"/>
  </r>
  <r>
    <x v="1"/>
    <s v="Project Management - Artefacts, Tools &amp; Techniques"/>
    <s v="055741-EP"/>
    <s v="Course template"/>
    <s v="Yes"/>
    <n v="52"/>
    <d v="2025-03-05T09:00:00"/>
    <d v="2025-03-06T17:00:00"/>
    <d v="2025-09-05T00:00:00"/>
    <x v="0"/>
    <s v="Removed from catalogue"/>
  </r>
  <r>
    <x v="1"/>
    <s v="Project Management - Artefacts, Tools &amp; Techniques"/>
    <s v="074842-EP"/>
    <m/>
    <m/>
    <m/>
    <m/>
    <m/>
    <m/>
    <x v="0"/>
    <s v="ok. new umbrella template!"/>
  </r>
  <r>
    <x v="1"/>
    <s v="Project Management - Certification Exam"/>
    <s v="052072-EP"/>
    <s v="Course template"/>
    <s v="Yes"/>
    <n v="18"/>
    <d v="2026-03-03T10:15:00"/>
    <d v="2025-11-25T11:30:00"/>
    <d v="2025-10-02T00:00:00"/>
    <x v="0"/>
    <s v="ok"/>
  </r>
  <r>
    <x v="1"/>
    <s v="Project Management - Driving Results for Managers"/>
    <s v="061781-EP"/>
    <s v="Course template"/>
    <s v="Yes"/>
    <n v="24"/>
    <m/>
    <m/>
    <d v="2025-10-08T00:00:00"/>
    <x v="0"/>
    <s v="ok"/>
  </r>
  <r>
    <x v="1"/>
    <s v="Project Management - Methodology &amp; Guidelines"/>
    <s v="055740-EP"/>
    <s v="Course template"/>
    <s v="Yes"/>
    <n v="76"/>
    <d v="2026-02-05T09:00:00"/>
    <d v="2025-11-13T17:00:00"/>
    <d v="2025-10-15T00:00:00"/>
    <x v="0"/>
    <s v="Removed from catalogue"/>
  </r>
  <r>
    <x v="1"/>
    <s v="Project Management - Methodology &amp; Guidelines "/>
    <s v="048760-EP"/>
    <s v="Course template"/>
    <s v="Yes"/>
    <n v="37"/>
    <d v="2026-02-05T09:00:00"/>
    <d v="2025-11-10T17:00:00"/>
    <d v="2025-10-10T00:00:00"/>
    <x v="0"/>
    <s v="Removed from catalogue"/>
  </r>
  <r>
    <x v="1"/>
    <s v="Project Management - Methodology &amp; Guidelines "/>
    <s v="074840-EP"/>
    <m/>
    <m/>
    <m/>
    <m/>
    <m/>
    <m/>
    <x v="0"/>
    <s v="ok. new umbrella template!"/>
  </r>
  <r>
    <x v="2"/>
    <s v="Individual external coaching"/>
    <s v="058606-EP"/>
    <s v="Course template"/>
    <s v="Yes"/>
    <n v="18"/>
    <d v="2026-01-01T08:00:00"/>
    <d v="2025-12-31T18:00:00"/>
    <d v="2025-10-14T00:00:00"/>
    <x v="0"/>
    <s v="ok"/>
  </r>
  <r>
    <x v="2"/>
    <s v="Individual internal coaching"/>
    <s v="057000-EP"/>
    <s v="Course template"/>
    <s v="Yes"/>
    <n v="36"/>
    <d v="2026-01-05T08:00:00"/>
    <d v="2025-12-31T08:00:00"/>
    <d v="2025-10-14T00:00:00"/>
    <x v="0"/>
    <s v="ok"/>
  </r>
  <r>
    <x v="3"/>
    <s v="EP Competency Dictionary"/>
    <m/>
    <s v="Media"/>
    <m/>
    <m/>
    <m/>
    <m/>
    <m/>
    <x v="0"/>
    <s v="ok"/>
  </r>
  <r>
    <x v="3"/>
    <m/>
    <m/>
    <m/>
    <m/>
    <m/>
    <m/>
    <m/>
    <m/>
    <x v="1"/>
    <s v="Link to cataloge should be included below new competency tile: https://eulearn.europa.eu/ilp/pages/catalogsearch.jsf?catalogId=78316164"/>
  </r>
  <r>
    <x v="4"/>
    <s v="Provide policy advisory"/>
    <s v="EP_004619"/>
    <s v="Learning path"/>
    <m/>
    <m/>
    <m/>
    <m/>
    <d v="2025-11-10T00:00:00"/>
    <x v="0"/>
    <s v="Removed from catalogue"/>
  </r>
  <r>
    <x v="5"/>
    <s v="Execute ICT governance, risk, and compliance"/>
    <s v="EP_002435"/>
    <s v="Learning path"/>
    <m/>
    <m/>
    <m/>
    <m/>
    <d v="2026-01-30T00:00:00"/>
    <x v="0"/>
    <s v="ok"/>
  </r>
  <r>
    <x v="5"/>
    <s v="Manage cybersecurity"/>
    <s v="EP_002430"/>
    <s v="Learning path"/>
    <m/>
    <m/>
    <m/>
    <m/>
    <d v="2026-01-30T00:00:00"/>
    <x v="0"/>
    <s v="ok"/>
  </r>
  <r>
    <x v="5"/>
    <s v="Manage data"/>
    <s v="EP_002433"/>
    <s v="Learning path"/>
    <m/>
    <m/>
    <m/>
    <m/>
    <d v="2026-01-16T00:00:00"/>
    <x v="0"/>
    <s v="ok"/>
  </r>
  <r>
    <x v="5"/>
    <s v="Manage enterprise architecture"/>
    <s v="EP_002427"/>
    <s v="Learning path"/>
    <m/>
    <m/>
    <m/>
    <m/>
    <d v="2026-01-26T00:00:00"/>
    <x v="0"/>
    <s v="ok"/>
  </r>
  <r>
    <x v="5"/>
    <s v="Manage ICT relationship and engagement"/>
    <s v="EP_002439"/>
    <s v="Learning path"/>
    <m/>
    <m/>
    <m/>
    <m/>
    <d v="2026-01-30T00:00:00"/>
    <x v="0"/>
    <s v="ok"/>
  </r>
  <r>
    <x v="5"/>
    <s v="Manage ICT systems and networks"/>
    <s v="EP_002437"/>
    <s v="Learning path"/>
    <m/>
    <m/>
    <m/>
    <m/>
    <d v="2025-01-31T00:00:00"/>
    <x v="0"/>
    <s v="ok"/>
  </r>
  <r>
    <x v="5"/>
    <s v="Manage IT assets"/>
    <s v="EP_002428"/>
    <s v="Learning path"/>
    <m/>
    <m/>
    <m/>
    <m/>
    <d v="2026-01-14T00:00:00"/>
    <x v="0"/>
    <s v="ok"/>
  </r>
  <r>
    <x v="5"/>
    <s v="Manage software &amp; applications"/>
    <s v="EP_002429"/>
    <s v="Learning path"/>
    <m/>
    <m/>
    <m/>
    <m/>
    <d v="2025-11-25T00:00:00"/>
    <x v="0"/>
    <s v="ok"/>
  </r>
  <r>
    <x v="5"/>
    <s v="Manage vendors"/>
    <s v="EP_002486"/>
    <s v="Learning path"/>
    <m/>
    <m/>
    <m/>
    <m/>
    <d v="2025-05-26T00:00:00"/>
    <x v="0"/>
    <s v="ok"/>
  </r>
  <r>
    <x v="6"/>
    <s v="Localise, transcreate &amp; adapt"/>
    <s v="EP_002436"/>
    <s v="Learning path"/>
    <m/>
    <m/>
    <m/>
    <m/>
    <d v="2024-10-04T00:00:00"/>
    <x v="0"/>
    <s v="ok"/>
  </r>
  <r>
    <x v="6"/>
    <s v="Manage LING-TECH"/>
    <s v="EP_002431"/>
    <s v="Learning path"/>
    <m/>
    <m/>
    <m/>
    <m/>
    <d v="2024-08-08T00:00:00"/>
    <x v="0"/>
    <s v="ok"/>
  </r>
  <r>
    <x v="6"/>
    <s v="Translate effectively"/>
    <s v="EP_002434"/>
    <s v="Learning path"/>
    <m/>
    <m/>
    <m/>
    <m/>
    <d v="2025-11-03T00:00:00"/>
    <x v="0"/>
    <s v="ok"/>
  </r>
  <r>
    <x v="7"/>
    <s v="Assist in bi/multilateral policy negotiation"/>
    <s v="EP_006022"/>
    <s v="Learning path"/>
    <m/>
    <m/>
    <m/>
    <m/>
    <m/>
    <x v="0"/>
    <s v="ok"/>
  </r>
  <r>
    <x v="7"/>
    <s v="Communicate scientific findings to non-scientific audience"/>
    <s v="EP_006023"/>
    <s v="Learning path"/>
    <m/>
    <m/>
    <m/>
    <m/>
    <m/>
    <x v="0"/>
    <s v="ok"/>
  </r>
  <r>
    <x v="7"/>
    <s v="Manage information and knowledge ecosystem"/>
    <s v="EP_006028"/>
    <s v="Learning path"/>
    <m/>
    <m/>
    <m/>
    <m/>
    <m/>
    <x v="0"/>
    <s v="ok"/>
  </r>
  <r>
    <x v="7"/>
    <s v="Manage ParlTech services"/>
    <s v="EP_006027"/>
    <s v="Learning path"/>
    <m/>
    <m/>
    <m/>
    <m/>
    <m/>
    <x v="0"/>
    <s v="ok"/>
  </r>
  <r>
    <x v="7"/>
    <s v="Manage protocol"/>
    <s v="EP_006024"/>
    <s v="Learning path"/>
    <m/>
    <m/>
    <m/>
    <m/>
    <d v="2026-03-02T00:00:00"/>
    <x v="0"/>
    <s v="ok"/>
  </r>
  <r>
    <x v="7"/>
    <s v="Provide legislative advisory"/>
    <s v="EP_005921"/>
    <s v="Learning path"/>
    <m/>
    <m/>
    <m/>
    <m/>
    <d v="2026-03-05T00:00:00"/>
    <x v="0"/>
    <s v="ok"/>
  </r>
  <r>
    <x v="7"/>
    <s v="Provide policy advisory"/>
    <s v="EP_004619"/>
    <s v="Learning path"/>
    <m/>
    <m/>
    <m/>
    <m/>
    <d v="2025-11-10T00:00:00"/>
    <x v="0"/>
    <s v="ok"/>
  </r>
  <r>
    <x v="7"/>
    <s v="Strengthen foresight capacity"/>
    <s v="EP_006025"/>
    <s v="Learning path"/>
    <m/>
    <m/>
    <m/>
    <m/>
    <d v="2026-02-26T00:00:00"/>
    <x v="0"/>
    <s v="ok"/>
  </r>
  <r>
    <x v="7"/>
    <s v="Support parliamentary business"/>
    <s v="EP_006020"/>
    <s v="Learning path"/>
    <m/>
    <m/>
    <m/>
    <m/>
    <m/>
    <x v="0"/>
    <s v="ok"/>
  </r>
  <r>
    <x v="8"/>
    <s v="Cultivate culture of continuous learning"/>
    <s v="EP_002487"/>
    <s v="Learning path"/>
    <m/>
    <m/>
    <m/>
    <m/>
    <d v="2025-12-09T00:00:00"/>
    <x v="0"/>
    <s v="ok"/>
  </r>
  <r>
    <x v="8"/>
    <s v="Develop yourself"/>
    <s v="EP_002438"/>
    <s v="Learning path"/>
    <m/>
    <m/>
    <m/>
    <m/>
    <d v="2025-09-10T00:00:00"/>
    <x v="0"/>
    <s v="ok"/>
  </r>
  <r>
    <x v="8"/>
    <s v="Value others"/>
    <s v="EP_002499"/>
    <s v="Learning path"/>
    <m/>
    <m/>
    <m/>
    <m/>
    <d v="2025-01-08T00:00:00"/>
    <x v="0"/>
    <s v="ok"/>
  </r>
  <r>
    <x v="9"/>
    <s v="Hold team together"/>
    <s v="EP_002484"/>
    <s v="Learning path"/>
    <m/>
    <m/>
    <m/>
    <m/>
    <d v="2025-12-16T00:00:00"/>
    <x v="0"/>
    <s v="ok"/>
  </r>
  <r>
    <x v="9"/>
    <s v="Manage resources in a changing environment"/>
    <s v="EP_002425"/>
    <s v="Learning path"/>
    <m/>
    <m/>
    <m/>
    <m/>
    <d v="2025-12-11T00:00:00"/>
    <x v="0"/>
    <s v="ok"/>
  </r>
  <r>
    <x v="9"/>
    <s v="Work towards shared vision"/>
    <s v="EP_002432"/>
    <s v="Learning path"/>
    <m/>
    <m/>
    <m/>
    <m/>
    <d v="2025-04-24T00:00:00"/>
    <x v="0"/>
    <s v="ok"/>
  </r>
  <r>
    <x v="10"/>
    <s v="Act strategically"/>
    <s v="EP_002400"/>
    <s v="Learning path"/>
    <m/>
    <m/>
    <m/>
    <m/>
    <d v="2026-01-08T00:00:00"/>
    <x v="0"/>
    <s v="ok"/>
  </r>
  <r>
    <x v="10"/>
    <s v="Respond to change"/>
    <s v="EP_002420"/>
    <s v="Learning path"/>
    <m/>
    <m/>
    <m/>
    <m/>
    <d v="2025-08-25T00:00:00"/>
    <x v="0"/>
    <s v="ok"/>
  </r>
  <r>
    <x v="10"/>
    <s v="Sustain momentum"/>
    <s v="EP_002423"/>
    <s v="Learning path"/>
    <m/>
    <m/>
    <m/>
    <m/>
    <d v="2025-04-02T00:00:00"/>
    <x v="0"/>
    <s v="ok"/>
  </r>
  <r>
    <x v="11"/>
    <s v="Be result-oriented"/>
    <s v="EP_004419"/>
    <s v="Learning path"/>
    <m/>
    <m/>
    <m/>
    <m/>
    <d v="2026-01-21T00:00:00"/>
    <x v="0"/>
    <s v="ok"/>
  </r>
  <r>
    <x v="11"/>
    <s v="Demonstrate team spirit and cooperation"/>
    <s v="EP_004442"/>
    <s v="Learning path"/>
    <m/>
    <m/>
    <m/>
    <m/>
    <d v="2025-08-25T00:00:00"/>
    <x v="0"/>
    <s v="ok"/>
  </r>
  <r>
    <x v="11"/>
    <s v="Improve continuously"/>
    <s v="EP_004399"/>
    <s v="Learning path"/>
    <m/>
    <m/>
    <m/>
    <m/>
    <d v="2025-08-25T00:00:00"/>
    <x v="0"/>
    <s v="ok"/>
  </r>
  <r>
    <x v="11"/>
    <s v="Show flexibility"/>
    <s v="EP_004420"/>
    <s v="Learning path"/>
    <m/>
    <m/>
    <m/>
    <m/>
    <d v="2025-08-25T00:00:00"/>
    <x v="0"/>
    <s v="ok"/>
  </r>
  <r>
    <x v="11"/>
    <s v="Show integrity"/>
    <s v="EP_004422"/>
    <s v="Learning path"/>
    <m/>
    <m/>
    <m/>
    <m/>
    <d v="2025-08-25T00:00:00"/>
    <x v="0"/>
    <s v="ok"/>
  </r>
  <r>
    <x v="12"/>
    <s v="Be digitally safe, savvy and social"/>
    <s v="EP_002481"/>
    <s v="Learning path"/>
    <m/>
    <m/>
    <m/>
    <m/>
    <d v="2025-12-04T00:00:00"/>
    <x v="0"/>
    <s v="ok"/>
  </r>
  <r>
    <x v="12"/>
    <s v="Navigate data and information"/>
    <s v="EP_002424"/>
    <s v="Learning path"/>
    <m/>
    <m/>
    <m/>
    <m/>
    <d v="2026-01-16T00:00:00"/>
    <x v="0"/>
    <s v="ok"/>
  </r>
  <r>
    <x v="12"/>
    <s v="Navigate digital ecosystems"/>
    <s v="EP_002426"/>
    <s v="Learning path"/>
    <m/>
    <m/>
    <m/>
    <m/>
    <d v="2024-08-29T00:00:00"/>
    <x v="0"/>
    <s v="ok"/>
  </r>
  <r>
    <x v="12"/>
    <s v="Work with digital content"/>
    <s v="EP_002482"/>
    <s v="Learning path"/>
    <m/>
    <m/>
    <m/>
    <m/>
    <d v="2025-09-15T00:00:00"/>
    <x v="0"/>
    <s v="ok"/>
  </r>
  <r>
    <x v="13"/>
    <s v="Be aware of self and others"/>
    <s v="EP_004441"/>
    <s v="Learning path"/>
    <m/>
    <m/>
    <m/>
    <m/>
    <d v="2026-01-25T00:00:00"/>
    <x v="0"/>
    <s v="ok"/>
  </r>
  <r>
    <x v="13"/>
    <s v="Communicate effectively"/>
    <s v="EP_003999"/>
    <s v="Learning path"/>
    <m/>
    <m/>
    <m/>
    <m/>
    <d v="2025-12-04T00:00:00"/>
    <x v="0"/>
    <s v="ok"/>
  </r>
  <r>
    <x v="13"/>
    <s v="Demonstrate diplomatic sensitivity"/>
    <s v="EP_002422"/>
    <s v="Learning path"/>
    <m/>
    <m/>
    <m/>
    <m/>
    <d v="2025-04-27T00:00:00"/>
    <x v="0"/>
    <s v="ok"/>
  </r>
  <r>
    <x v="13"/>
    <s v="Develop relationships"/>
    <s v="EP_004461"/>
    <s v="Learning path"/>
    <m/>
    <m/>
    <m/>
    <m/>
    <d v="2026-01-29T00:00:00"/>
    <x v="0"/>
    <s v="ok"/>
  </r>
  <r>
    <x v="13"/>
    <s v="Embrace diversity, equity, inclusion and belonging (DEIB)"/>
    <s v="EP_004479"/>
    <s v="Learning path"/>
    <m/>
    <m/>
    <m/>
    <m/>
    <d v="2025-07-24T00:00:00"/>
    <x v="0"/>
    <s v="ok"/>
  </r>
  <r>
    <x v="13"/>
    <s v="Master languages"/>
    <s v="EP_004439"/>
    <s v="Learning path"/>
    <m/>
    <m/>
    <m/>
    <m/>
    <d v="2025-04-24T00:00:00"/>
    <x v="0"/>
    <s v="ok"/>
  </r>
  <r>
    <x v="14"/>
    <s v="Draft impactfully"/>
    <s v="EP_004499"/>
    <s v="Learning path"/>
    <m/>
    <m/>
    <m/>
    <m/>
    <d v="2026-01-29T00:00:00"/>
    <x v="0"/>
    <s v="ok"/>
  </r>
  <r>
    <x v="14"/>
    <s v="Manage documents"/>
    <s v="EP_004561"/>
    <s v="Learning path"/>
    <m/>
    <m/>
    <m/>
    <m/>
    <d v="2025-07-28T00:00:00"/>
    <x v="0"/>
    <s v="ok"/>
  </r>
  <r>
    <x v="14"/>
    <s v="Manage events"/>
    <s v="EP_005440"/>
    <s v="Learning path"/>
    <m/>
    <m/>
    <m/>
    <m/>
    <d v="2025-08-29T00:00:00"/>
    <x v="0"/>
    <s v="ok"/>
  </r>
  <r>
    <x v="14"/>
    <s v="Manage financial transactions"/>
    <s v="EP_005442"/>
    <s v="Learning path"/>
    <m/>
    <m/>
    <m/>
    <m/>
    <d v="2026-01-13T00:00:00"/>
    <x v="0"/>
    <s v="ok"/>
  </r>
  <r>
    <x v="14"/>
    <s v="Present impactfully"/>
    <s v="EP_004560"/>
    <s v="Learning path"/>
    <m/>
    <m/>
    <m/>
    <m/>
    <d v="2026-01-16T00:00:00"/>
    <x v="0"/>
    <s v="ok"/>
  </r>
  <r>
    <x v="15"/>
    <s v="Align objectives strategically"/>
    <s v="EP_002480"/>
    <s v="Learning path"/>
    <m/>
    <m/>
    <m/>
    <m/>
    <m/>
    <x v="0"/>
    <s v="ok"/>
  </r>
  <r>
    <x v="15"/>
    <s v="Demonstrate intrapreneurship spirit"/>
    <s v="EP_004380"/>
    <s v="Learning path"/>
    <m/>
    <m/>
    <m/>
    <m/>
    <d v="2026-01-05T00:00:00"/>
    <x v="0"/>
    <s v="ok"/>
  </r>
  <r>
    <x v="15"/>
    <s v="Demonstrate political sensitivity"/>
    <s v="EP_002459"/>
    <s v="Learning path"/>
    <m/>
    <m/>
    <m/>
    <m/>
    <d v="2025-03-02T00:00:00"/>
    <x v="0"/>
    <s v="ok"/>
  </r>
  <r>
    <x v="15"/>
    <s v="Manage portfolio"/>
    <s v="EP_002679"/>
    <s v="Learning path"/>
    <m/>
    <m/>
    <m/>
    <m/>
    <d v="2026-01-15T00:00:00"/>
    <x v="0"/>
    <s v="ok"/>
  </r>
  <r>
    <x v="15"/>
    <s v="Manage programme"/>
    <s v="EP_002579"/>
    <s v="Learning path"/>
    <m/>
    <m/>
    <m/>
    <m/>
    <d v="2025-11-24T00:00:00"/>
    <x v="0"/>
    <s v="ok"/>
  </r>
  <r>
    <x v="15"/>
    <s v="Manage project"/>
    <s v="EP_002483"/>
    <s v="Learning path"/>
    <m/>
    <m/>
    <m/>
    <m/>
    <d v="2026-01-07T00:00:00"/>
    <x v="0"/>
    <s v="ok"/>
  </r>
  <r>
    <x v="15"/>
    <s v="Think critically"/>
    <s v="EP_004379"/>
    <s v="Learning path"/>
    <m/>
    <m/>
    <m/>
    <m/>
    <d v="2025-09-15T00:00:00"/>
    <x v="0"/>
    <s v="ok"/>
  </r>
  <r>
    <x v="15"/>
    <s v="Work systemically"/>
    <s v="EP_004520"/>
    <s v="Learning path"/>
    <m/>
    <m/>
    <m/>
    <m/>
    <d v="2025-07-01T00:00:00"/>
    <x v="0"/>
    <s v="ok"/>
  </r>
  <r>
    <x v="16"/>
    <s v="Back to school and university"/>
    <s v="038320-EP"/>
    <s v="Course template"/>
    <s v="Yes"/>
    <n v="53"/>
    <d v="2026-06-23T09:00:00"/>
    <d v="2025-12-02T12:30:00"/>
    <d v="2025-10-10T00:00:00"/>
    <x v="1"/>
    <s v="ok"/>
  </r>
  <r>
    <x v="16"/>
    <s v="Becoming a mentor"/>
    <s v="065992-EP-0007-EN-GB"/>
    <s v="Course"/>
    <m/>
    <m/>
    <d v="2025-10-02T09:00:00"/>
    <d v="2025-10-02T17:00:00"/>
    <d v="2025-10-03T00:00:00"/>
    <x v="0"/>
    <s v="Removed from catalogue"/>
  </r>
  <r>
    <x v="16"/>
    <s v="Brainstorming techniques - unleash your creativity  "/>
    <s v="074501-EP"/>
    <s v="Course template"/>
    <s v="Yes"/>
    <n v="2"/>
    <d v="2026-03-25T09:30:00"/>
    <d v="2026-03-25T13:00:00"/>
    <d v="2026-03-05T00:00:00"/>
    <x v="1"/>
    <m/>
  </r>
  <r>
    <x v="16"/>
    <s v="Brand Guidelines for the European Parliament's Administration"/>
    <s v="069624-EP"/>
    <s v="Course template"/>
    <s v="NO"/>
    <m/>
    <d v="2025-01-10T08:00:00"/>
    <d v="2029-07-13T08:00:00"/>
    <s v=" "/>
    <x v="1"/>
    <s v="ok"/>
  </r>
  <r>
    <x v="16"/>
    <s v="Clear language essentials"/>
    <s v="069175-EP"/>
    <s v="Course template"/>
    <s v="NO"/>
    <m/>
    <d v="2025-01-29T08:00:00"/>
    <d v="2029-07-31T08:00:00"/>
    <s v=" "/>
    <x v="1"/>
    <s v="ok"/>
  </r>
  <r>
    <x v="16"/>
    <s v="Collective Story Harvesting – Stories of Application"/>
    <s v="059822-EP"/>
    <s v="Course template"/>
    <s v="Yes"/>
    <n v="32"/>
    <d v="2024-03-21T14:00:00"/>
    <d v="2024-03-21T16:30:00"/>
    <d v="2025-09-25T00:00:00"/>
    <x v="0"/>
    <s v="Removed from catalogue"/>
  </r>
  <r>
    <x v="16"/>
    <s v="Collective Storytelling Harvesting Design"/>
    <s v="059800-EP"/>
    <s v="Course template"/>
    <s v="Yes"/>
    <n v="19"/>
    <d v="2024-03-21T09:30:00"/>
    <d v="2024-03-21T12:00:00"/>
    <d v="2025-10-02T00:00:00"/>
    <x v="0"/>
    <s v="Removed from catalogue"/>
  </r>
  <r>
    <x v="16"/>
    <s v="Conflict resolution"/>
    <s v="023524-EP"/>
    <s v="Course template"/>
    <s v="NO"/>
    <m/>
    <d v="2025-03-13T08:00:00"/>
    <d v="2029-07-31T08:00:00"/>
    <s v=" "/>
    <x v="0"/>
    <s v="ok"/>
  </r>
  <r>
    <x v="16"/>
    <s v="Continue the Conversation - a Circle Way Practice"/>
    <s v="057720-EP"/>
    <s v="Course template"/>
    <s v="Yes"/>
    <n v="4"/>
    <d v="2024-03-20T09:30:00"/>
    <d v="2024-03-20T12:30:00"/>
    <d v="2025-03-31T00:00:00"/>
    <x v="0"/>
    <s v="Removed from catalogue"/>
  </r>
  <r>
    <x v="16"/>
    <s v="Designing and delivering a team event"/>
    <s v="067601-EP"/>
    <s v="Course template"/>
    <s v="Yes"/>
    <n v="5"/>
    <d v="2025-05-13T09:00:00"/>
    <d v="2025-05-14T17:00:00"/>
    <d v="2025-10-07T00:00:00"/>
    <x v="0"/>
    <s v="Removed from catalogue"/>
  </r>
  <r>
    <x v="16"/>
    <s v="Developing your personal brand"/>
    <s v="071969-EP"/>
    <s v="Course template"/>
    <s v="Yes"/>
    <n v="2"/>
    <d v="2025-09-26T09:30:00"/>
    <d v="2025-09-26T12:30:00"/>
    <d v="2025-10-04T00:00:00"/>
    <x v="0"/>
    <s v="Removed from catalogue"/>
  </r>
  <r>
    <x v="16"/>
    <s v="Diplomatic protocol and etiquette"/>
    <s v="072491-EP-0001-EN-GB"/>
    <s v="Course"/>
    <m/>
    <m/>
    <d v="2025-12-11T09:30:00"/>
    <d v="2025-12-11T17:30:00"/>
    <d v="2026-01-26T00:00:00"/>
    <x v="0"/>
    <s v="Removed from catalogue"/>
  </r>
  <r>
    <x v="16"/>
    <s v="Diplomatic protocol and etiquette"/>
    <s v="072491-EP"/>
    <s v="Course template"/>
    <s v="Yes"/>
    <n v="2"/>
    <d v="2026-11-09T09:00:00"/>
    <d v="2026-11-09T17:00:00"/>
    <d v="2026-03-05T00:00:00"/>
    <x v="1"/>
    <m/>
  </r>
  <r>
    <x v="16"/>
    <s v="Effective networking"/>
    <s v="073584-EP"/>
    <s v="Course template"/>
    <s v="Yes"/>
    <n v="0"/>
    <d v="2026-09-30T14:00:00"/>
    <d v="2026-09-30T17:30:00"/>
    <d v="2026-03-08T00:00:00"/>
    <x v="1"/>
    <m/>
  </r>
  <r>
    <x v="16"/>
    <s v="Flow Game"/>
    <s v="071122-EP"/>
    <s v="Course template"/>
    <s v="Yes"/>
    <n v="7"/>
    <d v="2025-06-19T14:00:00"/>
    <d v="2025-06-19T17:00:00"/>
    <d v="2025-09-18T00:00:00"/>
    <x v="0"/>
    <s v="Removed from catalogue"/>
  </r>
  <r>
    <x v="16"/>
    <s v="Getting the most out of your feedback"/>
    <s v="070083-EP"/>
    <s v="Course template"/>
    <s v="NO"/>
    <m/>
    <d v="2025-03-13T08:00:00"/>
    <d v="2029-07-31T08:00:00"/>
    <s v=" "/>
    <x v="1"/>
    <s v="ok"/>
  </r>
  <r>
    <x v="16"/>
    <s v="Guided tours of the European Parliament Contemporary Art Collection"/>
    <s v="062402-EP"/>
    <s v="Course template"/>
    <s v="Yes"/>
    <n v="19"/>
    <d v="2026-03-19T12:00:00"/>
    <d v="2025-12-11T15:45:00"/>
    <d v="2025-10-14T00:00:00"/>
    <x v="0"/>
    <s v="ok"/>
  </r>
  <r>
    <x v="16"/>
    <s v="High impact data visualisation: from complex insights to engaging communication"/>
    <s v="070304-EP"/>
    <s v="Course template"/>
    <s v="NO"/>
    <m/>
    <d v="2025-02-05T08:00:00"/>
    <d v="2029-07-31T08:00:00"/>
    <s v=" "/>
    <x v="0"/>
    <s v="Removed from catalogue"/>
  </r>
  <r>
    <x v="16"/>
    <s v="How to self-organise a walk with your team "/>
    <s v="070473-EP"/>
    <s v="Course template"/>
    <s v="NO"/>
    <m/>
    <d v="2025-05-12T13:30:00"/>
    <d v="2025-05-12T17:30:00"/>
    <d v="2025-05-13T00:00:00"/>
    <x v="0"/>
    <s v="Removed from catalogue"/>
  </r>
  <r>
    <x v="16"/>
    <s v="Iberian echoes in the EU – The linguistic legacy of Spanish and Portuguese after four decades as official EU languages (Online)"/>
    <s v="073002-EP TRAD-0001-EN-GB"/>
    <s v="Course"/>
    <m/>
    <m/>
    <d v="2026-01-29T14:00:00"/>
    <d v="2026-01-29T17:01:00"/>
    <d v="2026-02-02T00:00:00"/>
    <x v="0"/>
    <s v="Removed from catalogue"/>
  </r>
  <r>
    <x v="16"/>
    <s v="Iberian echoes in the EU – The linguistic legacy of Spanish and Portuguese after four decades as official EU languages (Onsite)"/>
    <s v="073003-EP TRAD-0001-EN-GB"/>
    <s v="Course"/>
    <m/>
    <m/>
    <d v="2026-01-29T14:00:00"/>
    <d v="2026-01-29T17:00:00"/>
    <d v="2026-02-02T00:00:00"/>
    <x v="0"/>
    <s v="Removed from catalogue"/>
  </r>
  <r>
    <x v="16"/>
    <s v="Introduction to Diversity &amp; Inclusion at work"/>
    <s v="064464-EP"/>
    <s v="Course template"/>
    <s v="Yes"/>
    <n v="17"/>
    <d v="2026-11-09T13:30:00"/>
    <d v="2025-10-13T17:30:00"/>
    <d v="2025-10-13T00:00:00"/>
    <x v="1"/>
    <s v="ok"/>
  </r>
  <r>
    <x v="16"/>
    <s v="Learning path to support walking events in the EP"/>
    <s v="EP_005399"/>
    <s v="Learning path"/>
    <m/>
    <m/>
    <m/>
    <m/>
    <d v="2025-10-03T00:00:00"/>
    <x v="0"/>
    <s v="Removed from catalogue"/>
  </r>
  <r>
    <x v="16"/>
    <s v="Mentoring skills - learning pack"/>
    <s v="EP_004440"/>
    <s v="Learning path"/>
    <m/>
    <m/>
    <m/>
    <m/>
    <d v="2025-10-08T00:00:00"/>
    <x v="0"/>
    <s v="ok"/>
  </r>
  <r>
    <x v="16"/>
    <s v="Multilingualism Talks – Multilingualism from a cognitive perspective"/>
    <s v="072920-EP TRAD-0001-EN-GB"/>
    <s v="Course"/>
    <m/>
    <m/>
    <d v="2026-01-15T17:00:00"/>
    <d v="2026-01-15T18:00:00"/>
    <d v="2026-01-20T00:00:00"/>
    <x v="0"/>
    <s v="Removed from catalogue"/>
  </r>
  <r>
    <x v="16"/>
    <s v="How to facilitate online"/>
    <s v="070784-EP"/>
    <s v="Course template"/>
    <s v="Yes"/>
    <n v="5"/>
    <d v="2026-03-25T09:30:00"/>
    <d v="2025-12-12T11:30:00"/>
    <d v="2025-10-14T00:00:00"/>
    <x v="1"/>
    <s v="ok"/>
  </r>
  <r>
    <x v="16"/>
    <s v="PowerVisuals Basic"/>
    <s v="057440-EP"/>
    <s v="Course template"/>
    <s v="Yes"/>
    <n v="28"/>
    <d v="2025-11-24T09:30:00"/>
    <d v="2025-06-23T17:00:00"/>
    <d v="2025-10-13T00:00:00"/>
    <x v="0"/>
    <s v="ok"/>
  </r>
  <r>
    <x v="16"/>
    <s v="Presenting with impact"/>
    <s v="070400-EP"/>
    <s v="Course template"/>
    <s v="NO"/>
    <m/>
    <d v="2025-03-13T08:00:00"/>
    <d v="2029-07-31T08:00:00"/>
    <s v=" "/>
    <x v="1"/>
    <s v="In shall be called: Presenting with impact"/>
  </r>
  <r>
    <x v="16"/>
    <s v="Public speaking : catching and keeping your audience attention"/>
    <s v="071661-EP"/>
    <s v="Course template"/>
    <s v="Yes"/>
    <n v="10"/>
    <d v="2026-05-18T13:30:00"/>
    <d v="2025-11-06T12:30:00"/>
    <d v="2025-10-09T00:00:00"/>
    <x v="1"/>
    <s v="ok"/>
  </r>
  <r>
    <x v="16"/>
    <s v="Tough talks - Mastering the Art of Difficult Conversations"/>
    <s v="071080-EP"/>
    <s v="Course template"/>
    <s v="Yes"/>
    <n v="28"/>
    <d v="2026-05-27T09:00:00"/>
    <d v="2025-11-13T18:00:00"/>
    <d v="2025-10-13T00:00:00"/>
    <x v="1"/>
    <s v="ok"/>
  </r>
  <r>
    <x v="16"/>
    <s v="Train the Trainer"/>
    <s v="073542-EP"/>
    <s v="Course template"/>
    <s v="NO"/>
    <m/>
    <d v="2026-10-29T09:00:00"/>
    <d v="2026-10-29T17:00:00"/>
    <s v=" "/>
    <x v="1"/>
    <s v="ok"/>
  </r>
  <r>
    <x v="16"/>
    <s v="Train the Trainer"/>
    <s v="068080-EP"/>
    <s v="Course template"/>
    <s v="Yes"/>
    <n v="13"/>
    <d v="2026-06-29T09:30:00"/>
    <d v="2025-12-03T17:30:00"/>
    <d v="2025-10-14T00:00:00"/>
    <x v="0"/>
    <s v="Only 1, either line 112 or 113"/>
  </r>
  <r>
    <x v="16"/>
    <s v="Unconscious bias"/>
    <s v="070397-EP"/>
    <s v="Course template"/>
    <s v="NO"/>
    <m/>
    <d v="2025-03-13T08:00:00"/>
    <d v="2029-03-30T08:00:00"/>
    <s v=" "/>
    <x v="0"/>
    <s v="Removed from catalogue"/>
  </r>
  <r>
    <x v="16"/>
    <s v="Voice Techniques for Clear Communication"/>
    <s v="071623-EP"/>
    <s v="Course template"/>
    <s v="Yes"/>
    <n v="8"/>
    <d v="2026-05-19T09:00:00"/>
    <d v="2025-12-01T17:00:00"/>
    <d v="2025-10-15T00:00:00"/>
    <x v="1"/>
    <s v="ok"/>
  </r>
  <r>
    <x v="16"/>
    <s v="Working with different generations"/>
    <s v="049426-LT-0020-EN-GB"/>
    <s v="Course"/>
    <m/>
    <m/>
    <s v="duration of use"/>
    <m/>
    <d v="2025-10-09T00:00:00"/>
    <x v="0"/>
    <s v="Removed from catalogue"/>
  </r>
  <r>
    <x v="17"/>
    <m/>
    <m/>
    <m/>
    <m/>
    <m/>
    <m/>
    <m/>
    <m/>
    <x v="1"/>
    <s v="Onle one with all accessibility courses"/>
  </r>
  <r>
    <x v="17"/>
    <s v="Accessibility principles in practice: implementing WCAG and EN 301 549"/>
    <s v="074720-EP"/>
    <m/>
    <m/>
    <m/>
    <m/>
    <m/>
    <m/>
    <x v="0"/>
    <s v="ok"/>
  </r>
  <r>
    <x v="17"/>
    <s v="Accessible Forms in Acrobat Pro Online"/>
    <s v="070014-EP"/>
    <s v="Course template"/>
    <s v="Yes"/>
    <n v="3"/>
    <d v="2025-06-18T09:00:00"/>
    <d v="2025-06-18T12:30:00"/>
    <d v="2025-09-10T00:00:00"/>
    <x v="0"/>
    <s v="ok"/>
  </r>
  <r>
    <x v="17"/>
    <s v="Accessible Forms in InDesign Online"/>
    <s v="070016-EP"/>
    <s v="Course template"/>
    <s v="Yes"/>
    <n v="4"/>
    <d v="2025-09-12T09:00:00"/>
    <d v="2025-09-12T12:30:00"/>
    <d v="2025-09-03T00:00:00"/>
    <x v="0"/>
    <s v="ok"/>
  </r>
  <r>
    <x v="17"/>
    <s v="Accessible Forms in Word Online"/>
    <s v="070011-EP"/>
    <s v="Course template"/>
    <s v="Yes"/>
    <n v="7"/>
    <d v="2025-09-15T09:00:00"/>
    <d v="2025-09-15T12:30:00"/>
    <d v="2025-09-09T00:00:00"/>
    <x v="0"/>
    <s v="ok"/>
  </r>
  <r>
    <x v="17"/>
    <s v="Accessible InDesign"/>
    <s v="054148-EP"/>
    <s v="Course template"/>
    <s v="Yes"/>
    <n v="30"/>
    <d v="2025-09-11T09:00:00"/>
    <d v="2025-09-11T12:30:00"/>
    <d v="2025-09-29T00:00:00"/>
    <x v="0"/>
    <s v="ok"/>
  </r>
  <r>
    <x v="17"/>
    <s v="Accessible PDF (part 1) - online"/>
    <s v="053341-EP"/>
    <s v="Course template"/>
    <s v="Yes"/>
    <n v="28"/>
    <d v="2025-09-08T09:00:00"/>
    <d v="2025-09-08T12:30:00"/>
    <d v="2025-09-29T00:00:00"/>
    <x v="0"/>
    <s v="ok"/>
  </r>
  <r>
    <x v="17"/>
    <s v="Accessible PDF (part 2) - online"/>
    <s v="054008-EP"/>
    <s v="Course template"/>
    <s v="Yes"/>
    <n v="12"/>
    <d v="2025-09-09T09:00:00"/>
    <d v="2025-09-09T12:30:00"/>
    <d v="2025-09-09T00:00:00"/>
    <x v="0"/>
    <s v="ok"/>
  </r>
  <r>
    <x v="17"/>
    <s v="Accessible PowerPoint - online"/>
    <s v="054007-EP"/>
    <s v="Course template"/>
    <s v="Yes"/>
    <n v="31"/>
    <d v="2025-09-05T09:00:00"/>
    <d v="2025-09-05T12:30:00"/>
    <d v="2025-09-17T00:00:00"/>
    <x v="0"/>
    <s v="ok"/>
  </r>
  <r>
    <x v="17"/>
    <s v="Accessible Word - online"/>
    <s v="053340-EP"/>
    <s v="Course template"/>
    <s v="Yes"/>
    <n v="35"/>
    <d v="2025-09-03T09:00:00"/>
    <d v="2025-09-03T12:30:00"/>
    <d v="2025-09-29T00:00:00"/>
    <x v="0"/>
    <s v="ok"/>
  </r>
  <r>
    <x v="17"/>
    <s v="Digital Accessibility"/>
    <s v="EP_002819"/>
    <s v="Learning path"/>
    <m/>
    <m/>
    <m/>
    <m/>
    <d v="2025-10-07T00:00:00"/>
    <x v="0"/>
    <s v="ok"/>
  </r>
  <r>
    <x v="17"/>
    <s v="DLP: Accessible digital publications – An introduction to accessibility CURRENT"/>
    <s v="028440-OP"/>
    <s v="Course template"/>
    <s v="Yes"/>
    <n v="102"/>
    <d v="2026-06-12T10:00:00"/>
    <d v="2026-06-12T11:30:00"/>
    <d v="2026-02-02T00:00:00"/>
    <x v="0"/>
    <s v="Not EP course"/>
  </r>
  <r>
    <x v="17"/>
    <s v="DLP: Accessible digital publications – Checking PDFs - CURRENT"/>
    <s v="024900-OP"/>
    <s v="Course template"/>
    <s v="Yes"/>
    <n v="73"/>
    <d v="2026-10-13T10:00:00"/>
    <d v="2026-10-13T11:30:00"/>
    <d v="2026-02-02T00:00:00"/>
    <x v="0"/>
    <s v="Not EP course"/>
  </r>
  <r>
    <x v="17"/>
    <s v="DLP: Accessible digital publications – MS Word - CURRENT"/>
    <s v="024901-OP"/>
    <s v="Course template"/>
    <s v="Yes"/>
    <n v="59"/>
    <d v="2026-10-20T10:00:00"/>
    <d v="2026-10-20T11:30:00"/>
    <d v="2026-02-02T00:00:00"/>
    <x v="0"/>
    <s v="Not EP course"/>
  </r>
  <r>
    <x v="17"/>
    <s v="DLP: How to create accessible presentations in Power Point - CURRENT"/>
    <s v="049802-OP"/>
    <s v="Course template"/>
    <s v="Yes"/>
    <n v="53"/>
    <d v="2026-11-10T10:00:00"/>
    <d v="2026-11-10T11:30:00"/>
    <d v="2026-01-31T00:00:00"/>
    <x v="0"/>
    <s v="Not EP course"/>
  </r>
  <r>
    <x v="17"/>
    <s v="Introduction to digital accessibility"/>
    <s v="052307-EP"/>
    <s v="Course template"/>
    <s v="Yes"/>
    <n v="103"/>
    <d v="2025-08-27T09:00:00"/>
    <d v="2025-08-27T12:30:00"/>
    <d v="2025-10-07T00:00:00"/>
    <x v="0"/>
    <s v="ok"/>
  </r>
  <r>
    <x v="17"/>
    <s v="Introduction to digital accessibility for Managers"/>
    <s v="052585-EP"/>
    <s v="Course template"/>
    <s v="Yes"/>
    <n v="11"/>
    <d v="2025-09-04T11:00:00"/>
    <d v="2025-09-04T12:00:00"/>
    <d v="2025-10-07T00:00:00"/>
    <x v="0"/>
    <s v="ok"/>
  </r>
  <r>
    <x v="17"/>
    <s v="Introduction to document accessibility"/>
    <s v="052273-EP"/>
    <s v="Course template"/>
    <s v="Yes"/>
    <n v="45"/>
    <d v="2025-08-29T09:00:00"/>
    <d v="2025-08-29T12:30:00"/>
    <d v="2025-09-19T00:00:00"/>
    <x v="0"/>
    <s v="ok"/>
  </r>
  <r>
    <x v="18"/>
    <s v="Adobe Acrobat Pro"/>
    <s v="035842-EP"/>
    <s v="Course template"/>
    <s v="Yes"/>
    <n v="52"/>
    <d v="2026-01-21T09:00:00"/>
    <d v="2025-11-18T17:00:00"/>
    <d v="2025-10-13T00:00:00"/>
    <x v="1"/>
    <s v="ok"/>
  </r>
  <r>
    <x v="18"/>
    <s v="Adobe Premiere Pro CC (step 1)"/>
    <s v="071501-EP"/>
    <s v="Course template"/>
    <s v="Yes"/>
    <n v="6"/>
    <d v="2026-01-09T09:00:00"/>
    <d v="2025-10-08T17:00:00"/>
    <d v="2025-10-15T00:00:00"/>
    <x v="1"/>
    <s v="ok"/>
  </r>
  <r>
    <x v="19"/>
    <m/>
    <m/>
    <m/>
    <m/>
    <m/>
    <m/>
    <m/>
    <m/>
    <x v="1"/>
    <s v="Only include catalogue folder link"/>
  </r>
  <r>
    <x v="19"/>
    <s v="AI in Policymaking MasterClass"/>
    <s v="066080-SG POLICY"/>
    <s v="Course template"/>
    <s v="NO"/>
    <m/>
    <d v="2026-03-17T11:00:00"/>
    <d v="2025-11-19T12:00:00"/>
    <d v="2025-10-14T00:00:00"/>
    <x v="0"/>
    <s v="Not EP course"/>
  </r>
  <r>
    <x v="19"/>
    <s v="AI in policymaking MasterClass (Recorded sessions)"/>
    <s v="068960-SG POLICY"/>
    <s v="Course template"/>
    <s v="NO"/>
    <m/>
    <m/>
    <m/>
    <d v="2025-10-14T00:00:00"/>
    <x v="0"/>
    <s v="Not EP course"/>
  </r>
  <r>
    <x v="19"/>
    <s v="Artificial Intelligence learning collection"/>
    <s v="EP_004559"/>
    <s v="Learning path"/>
    <m/>
    <m/>
    <m/>
    <m/>
    <d v="2025-10-15T00:00:00"/>
    <x v="0"/>
    <s v="ok"/>
  </r>
  <r>
    <x v="19"/>
    <s v="Elements of AI part I: Introduction to AI"/>
    <s v="059340-EP-0001-EN-GB"/>
    <s v="Course"/>
    <m/>
    <m/>
    <s v="duration of use"/>
    <m/>
    <d v="2025-10-13T00:00:00"/>
    <x v="0"/>
    <s v="ok"/>
  </r>
  <r>
    <x v="19"/>
    <s v="Elements of AI part II: Building AI"/>
    <s v="059340-EP-0002-EN-GB"/>
    <s v="Course"/>
    <m/>
    <m/>
    <s v="duration of use"/>
    <m/>
    <d v="2025-10-09T00:00:00"/>
    <x v="0"/>
    <s v="ok"/>
  </r>
  <r>
    <x v="19"/>
    <s v="Generative AI Essentials"/>
    <s v="064631-EP"/>
    <s v="Course template"/>
    <s v="Yes"/>
    <n v="94"/>
    <d v="2026-03-04T13:30:00"/>
    <d v="2025-11-14T12:00:00"/>
    <d v="2025-10-15T00:00:00"/>
    <x v="0"/>
    <s v="ok"/>
  </r>
  <r>
    <x v="19"/>
    <s v="Recording of the event AI@EC: Large language models (LLMs) in production with Azure"/>
    <s v="058420-DGT-0009-EN-GB"/>
    <s v="Course"/>
    <m/>
    <m/>
    <s v="duration of use"/>
    <m/>
    <d v="2025-10-14T00:00:00"/>
    <x v="0"/>
    <s v="Not EP course"/>
  </r>
  <r>
    <x v="20"/>
    <m/>
    <m/>
    <m/>
    <m/>
    <m/>
    <m/>
    <m/>
    <m/>
    <x v="1"/>
    <s v="Only link to catalogue folder"/>
  </r>
  <r>
    <x v="20"/>
    <s v="Data Management"/>
    <s v="072384-EP"/>
    <s v="Course template"/>
    <s v="Yes"/>
    <n v="4"/>
    <d v="2026-03-19T09:00:00"/>
    <d v="2026-03-19T13:00:00"/>
    <d v="2026-02-03T00:00:00"/>
    <x v="0"/>
    <s v="ok"/>
  </r>
  <r>
    <x v="20"/>
    <s v="Demistifying Cloud (Non-Technical)"/>
    <s v="057643-DTS"/>
    <s v="Course template"/>
    <s v="Yes"/>
    <n v="23"/>
    <d v="2024-09-13T14:00:00"/>
    <d v="2024-09-13T17:30:00"/>
    <d v="2025-07-09T00:00:00"/>
    <x v="0"/>
    <s v="Removed from catalogue"/>
  </r>
  <r>
    <x v="21"/>
    <s v="Architecting on AWS"/>
    <s v="022741-DTS-0008-EN-GB"/>
    <s v="Course"/>
    <m/>
    <m/>
    <d v="2025-02-04T09:00:00"/>
    <d v="2025-02-06T17:00:00"/>
    <d v="2025-02-04T00:00:00"/>
    <x v="0"/>
    <s v="Removed from catalogue"/>
  </r>
  <r>
    <x v="21"/>
    <s v="Prepare for AWS Solutions Architect – Professional Certification"/>
    <s v="024628-EP-0001-EN-GB"/>
    <s v="Course"/>
    <m/>
    <m/>
    <s v="duration of use"/>
    <m/>
    <d v="2025-06-12T00:00:00"/>
    <x v="0"/>
    <s v="ok"/>
  </r>
  <r>
    <x v="21"/>
    <s v="Prepare for the AWS Certified Cloud Practitioner Exam"/>
    <s v="024536-EP-0001-EN-GB"/>
    <s v="Course"/>
    <m/>
    <m/>
    <s v="duration of use"/>
    <m/>
    <d v="2025-01-23T00:00:00"/>
    <x v="0"/>
    <s v="Removed from catalogue"/>
  </r>
  <r>
    <x v="21"/>
    <s v="Prepare for the AWS Certified Developer Associate Exam"/>
    <s v="024630-EP-0001-EN-GB"/>
    <s v="Course"/>
    <m/>
    <m/>
    <s v="duration of use"/>
    <m/>
    <d v="2024-09-25T00:00:00"/>
    <x v="0"/>
    <s v="Removed from catalogue"/>
  </r>
  <r>
    <x v="22"/>
    <s v="FL_MS_AZ_900_Microsoft Azure Fundamentals (1 day)"/>
    <s v="025053-DTS"/>
    <s v="Course template"/>
    <s v="Yes"/>
    <n v="49"/>
    <d v="2025-01-22T09:00:00"/>
    <d v="2025-01-22T17:00:00"/>
    <d v="2025-10-08T00:00:00"/>
    <x v="0"/>
    <s v="Not EP course"/>
  </r>
  <r>
    <x v="23"/>
    <s v="Démystifier la signature électronique"/>
    <m/>
    <s v="Media"/>
    <m/>
    <m/>
    <m/>
    <m/>
    <m/>
    <x v="0"/>
    <s v="ok"/>
  </r>
  <r>
    <x v="23"/>
    <s v="Demystifying Electronic Signature"/>
    <m/>
    <s v="Media"/>
    <m/>
    <m/>
    <m/>
    <m/>
    <m/>
    <x v="0"/>
    <s v="ok"/>
  </r>
  <r>
    <x v="23"/>
    <s v="Digital Basics for Newcomers at the EP"/>
    <s v="064812-EP"/>
    <s v="Course template"/>
    <s v="Yes"/>
    <n v="10"/>
    <d v="2026-03-10T09:30:00"/>
    <d v="2025-12-03T12:00:00"/>
    <d v="2025-10-10T00:00:00"/>
    <x v="1"/>
    <s v="ok"/>
  </r>
  <r>
    <x v="23"/>
    <s v="Digital Learning Path for Newcomers"/>
    <s v="EP_003939"/>
    <s v="Learning path"/>
    <m/>
    <m/>
    <m/>
    <m/>
    <d v="2025-09-26T00:00:00"/>
    <x v="0"/>
    <s v="ok"/>
  </r>
  <r>
    <x v="23"/>
    <s v="EU Learn course manager light"/>
    <s v="049744-LT"/>
    <s v="Course template"/>
    <s v="Yes"/>
    <n v="39"/>
    <d v="2026-04-22T09:30:00"/>
    <d v="2026-01-19T16:00:00"/>
    <d v="2025-10-14T00:00:00"/>
    <x v="0"/>
    <s v="Not EP course"/>
  </r>
  <r>
    <x v="23"/>
    <s v="File - video_Please welcome ELI2E – our new communication tool"/>
    <m/>
    <s v="Media"/>
    <m/>
    <m/>
    <m/>
    <m/>
    <m/>
    <x v="0"/>
    <s v="ok"/>
  </r>
  <r>
    <x v="23"/>
    <s v="Introduction to EU Learn"/>
    <s v="062282-EP"/>
    <s v="Course template"/>
    <s v="Yes"/>
    <n v="8"/>
    <d v="2026-03-23T09:30:00"/>
    <d v="2025-12-10T09:30:00"/>
    <d v="2025-10-01T00:00:00"/>
    <x v="0"/>
    <s v="ok"/>
  </r>
  <r>
    <x v="23"/>
    <s v="Mastering EP Events (Event Registration software) - Basic"/>
    <s v="062966-EP LINC-0001-EN-GB"/>
    <s v="Course"/>
    <m/>
    <m/>
    <s v="duration of use"/>
    <m/>
    <d v="2025-09-28T00:00:00"/>
    <x v="0"/>
    <s v="ok"/>
  </r>
  <r>
    <x v="24"/>
    <m/>
    <m/>
    <m/>
    <m/>
    <m/>
    <m/>
    <m/>
    <m/>
    <x v="1"/>
    <s v="Create tile with office 365"/>
  </r>
  <r>
    <x v="25"/>
    <s v="MS Excel - All about charts"/>
    <s v="058961-EP"/>
    <s v="Course template"/>
    <s v="Yes"/>
    <n v="26"/>
    <d v="2026-03-23T13:30:00"/>
    <d v="2026-01-16T17:00:00"/>
    <d v="2025-10-14T00:00:00"/>
    <x v="0"/>
    <s v="ok"/>
  </r>
  <r>
    <x v="25"/>
    <s v="MS Excel – All About Pivot Tables "/>
    <s v="022382-EP"/>
    <s v="Course template"/>
    <s v="Yes"/>
    <n v="37"/>
    <d v="2024-10-24T09:00:00"/>
    <d v="2024-10-24T12:30:00"/>
    <d v="2025-10-13T00:00:00"/>
    <x v="0"/>
    <s v="ok"/>
  </r>
  <r>
    <x v="25"/>
    <s v="MS Excel – Managing Your Data Lists "/>
    <s v="022383-EP"/>
    <s v="Course template"/>
    <s v="Yes"/>
    <n v="32"/>
    <d v="2026-03-05T09:00:00"/>
    <d v="2025-12-09T12:30:00"/>
    <d v="2025-10-13T00:00:00"/>
    <x v="0"/>
    <s v="ok"/>
  </r>
  <r>
    <x v="25"/>
    <s v="MS Excel – Mastering Functions in Excel "/>
    <s v="022384-EP"/>
    <s v="Course template"/>
    <s v="Yes"/>
    <n v="31"/>
    <d v="2026-03-03T13:30:00"/>
    <d v="2025-10-22T12:30:00"/>
    <d v="2025-10-15T00:00:00"/>
    <x v="0"/>
    <s v="ok"/>
  </r>
  <r>
    <x v="25"/>
    <s v="MS Excel – Tips &amp; Tricks "/>
    <s v="022385-EP"/>
    <s v="Course template"/>
    <s v="Yes"/>
    <n v="31"/>
    <d v="2026-01-23T09:00:00"/>
    <d v="2026-01-23T12:30:00"/>
    <d v="2025-10-15T00:00:00"/>
    <x v="0"/>
    <s v="ok"/>
  </r>
  <r>
    <x v="26"/>
    <s v="Basics of Cybersecurity - Part 1"/>
    <s v="022511-GEN-0010-EN-GB"/>
    <s v="Course"/>
    <m/>
    <m/>
    <s v="duration of use"/>
    <m/>
    <d v="2025-10-15T00:00:00"/>
    <x v="0"/>
    <s v="Not EP course"/>
  </r>
  <r>
    <x v="26"/>
    <s v="Basics of Cybersecurity - Part 2"/>
    <s v="022511-GEN-0013-EN-GB"/>
    <s v="Course"/>
    <m/>
    <m/>
    <s v="duration of use"/>
    <m/>
    <d v="2025-10-14T00:00:00"/>
    <x v="0"/>
    <s v="Not EP course"/>
  </r>
  <r>
    <x v="26"/>
    <s v="Basics of Cybersecurity - Part 3"/>
    <s v="022511-GEN-0027-EN-GB"/>
    <s v="Course"/>
    <m/>
    <m/>
    <s v="duration of use"/>
    <m/>
    <d v="2025-10-10T00:00:00"/>
    <x v="0"/>
    <s v="Not EP course"/>
  </r>
  <r>
    <x v="26"/>
    <s v="Basics of Cybersecurity - Part 4"/>
    <s v="022511-GEN-0028-EN-GB"/>
    <s v="Course"/>
    <m/>
    <m/>
    <s v="duration of use"/>
    <m/>
    <d v="2025-10-10T00:00:00"/>
    <x v="0"/>
    <s v="Not EP course"/>
  </r>
  <r>
    <x v="26"/>
    <s v="CCSP (Certified Cloud Security Professional)"/>
    <s v="060660-DTS-0003-EN-GB"/>
    <s v="Course"/>
    <m/>
    <m/>
    <d v="2025-06-02T09:00:00"/>
    <d v="2025-06-06T17:00:00"/>
    <d v="2025-06-18T00:00:00"/>
    <x v="0"/>
    <s v="Not EP course"/>
  </r>
  <r>
    <x v="26"/>
    <s v="CERTIFIED INFORMATION SYSTEMS SECURITY PROFESSIONAL"/>
    <s v="064080-DTS"/>
    <s v="Course template"/>
    <s v="Yes"/>
    <n v="48"/>
    <d v="2025-06-23T09:00:00"/>
    <d v="2025-06-27T17:00:00"/>
    <d v="2025-10-13T00:00:00"/>
    <x v="0"/>
    <s v="Not EP course"/>
  </r>
  <r>
    <x v="26"/>
    <s v="CERTIFIED INFORMATION SYSTEMS SECURITY PROFESSIONAL"/>
    <s v="064080-DTS-0003-EN-GB"/>
    <s v="Course"/>
    <m/>
    <m/>
    <d v="2025-06-23T09:00:00"/>
    <d v="2025-06-27T17:00:00"/>
    <d v="2025-06-30T00:00:00"/>
    <x v="0"/>
    <s v="Not EP course"/>
  </r>
  <r>
    <x v="26"/>
    <s v="CG_ITIL4_FOUND_V2days_2021"/>
    <s v="025805-DTS"/>
    <s v="Course template"/>
    <s v="Yes"/>
    <n v="113"/>
    <d v="2026-03-30T09:00:00"/>
    <d v="2026-03-31T17:00:00"/>
    <d v="2025-10-15T00:00:00"/>
    <x v="0"/>
    <s v="Not EP course"/>
  </r>
  <r>
    <x v="26"/>
    <s v="CG_ITIL4_SP_HIGHVELO"/>
    <s v="025791-DTS"/>
    <s v="Course template"/>
    <s v="Yes"/>
    <n v="59"/>
    <d v="2025-10-07T09:00:00"/>
    <d v="2025-10-09T17:00:00"/>
    <d v="2025-10-10T00:00:00"/>
    <x v="0"/>
    <s v="Not EP course"/>
  </r>
  <r>
    <x v="26"/>
    <s v="CG_ITIL4_SPCREATE"/>
    <s v="025788-DTS"/>
    <s v="Course template"/>
    <s v="Yes"/>
    <n v="56"/>
    <d v="2025-06-02T09:00:00"/>
    <d v="2025-06-04T17:00:00"/>
    <d v="2025-10-08T00:00:00"/>
    <x v="0"/>
    <s v="Not EP course"/>
  </r>
  <r>
    <x v="26"/>
    <s v="CG_ITIL4_SPDRIVE"/>
    <s v="025762-DTS"/>
    <s v="Course template"/>
    <s v="Yes"/>
    <n v="48"/>
    <d v="2025-04-02T09:00:00"/>
    <d v="2025-04-04T17:00:00"/>
    <d v="2025-10-08T00:00:00"/>
    <x v="0"/>
    <s v="Not EP course"/>
  </r>
  <r>
    <x v="26"/>
    <s v="CG_ITIL4_STRATEGIST DIRECT"/>
    <s v="025789-DTS"/>
    <s v="Course template"/>
    <s v="Yes"/>
    <n v="64"/>
    <d v="2025-09-01T09:00:00"/>
    <d v="2025-09-03T17:00:00"/>
    <d v="2025-10-13T00:00:00"/>
    <x v="0"/>
    <s v="Not EP course"/>
  </r>
  <r>
    <x v="26"/>
    <m/>
    <m/>
    <m/>
    <m/>
    <m/>
    <m/>
    <m/>
    <m/>
    <x v="1"/>
    <s v="Create tile with all cyber security course templates + counter eSpionage trainings"/>
  </r>
  <r>
    <x v="26"/>
    <s v="Cyber Escape Game"/>
    <s v="069783-EP"/>
    <s v="Course template"/>
    <s v="Yes"/>
    <n v="42"/>
    <d v="2025-10-16T17:00:00"/>
    <d v="2025-10-16T17:45:00"/>
    <d v="2025-10-15T00:00:00"/>
    <x v="0"/>
    <s v="ok"/>
  </r>
  <r>
    <x v="26"/>
    <s v="Cyber Investigation live game"/>
    <s v="070721-EP"/>
    <s v="Course template"/>
    <s v="Yes"/>
    <n v="48"/>
    <d v="2025-12-02T10:00:00"/>
    <d v="2025-06-24T11:00:00"/>
    <d v="2025-10-03T00:00:00"/>
    <x v="0"/>
    <s v="ok"/>
  </r>
  <r>
    <x v="26"/>
    <s v="CyberAware Lunch Talks "/>
    <s v="000723-DTS"/>
    <s v="Course template"/>
    <s v="Yes"/>
    <n v="17"/>
    <d v="2026-02-12T12:30:00"/>
    <d v="2025-07-17T14:00:00"/>
    <d v="2025-10-14T00:00:00"/>
    <x v="0"/>
    <s v="Not EP course"/>
  </r>
  <r>
    <x v="26"/>
    <s v="Cybersecurity Awareness"/>
    <s v="068520-EP"/>
    <s v="Course template"/>
    <s v="Yes"/>
    <n v="20"/>
    <d v="2026-03-25T13:30:00"/>
    <d v="2025-12-17T12:30:00"/>
    <d v="2025-10-15T00:00:00"/>
    <x v="0"/>
    <s v="ok"/>
  </r>
  <r>
    <x v="26"/>
    <s v="Cybersecurity SPY GAME"/>
    <s v="069782-EP"/>
    <s v="Course template"/>
    <s v="Yes"/>
    <n v="30"/>
    <d v="2025-10-22T14:59:00"/>
    <d v="2025-10-22T16:30:00"/>
    <d v="2025-10-15T00:00:00"/>
    <x v="0"/>
    <s v="ok"/>
  </r>
  <r>
    <x v="26"/>
    <s v="IT Security in the EP"/>
    <s v="020588-EP-0001-EN-GB"/>
    <s v="Course"/>
    <m/>
    <m/>
    <s v="duration of use"/>
    <m/>
    <d v="2025-09-09T00:00:00"/>
    <x v="0"/>
    <s v="ok"/>
  </r>
  <r>
    <x v="26"/>
    <s v="Prepare for the CompTIA Security+ (SY0-601) Certification Exam"/>
    <s v="EP_002159"/>
    <s v="Learning path"/>
    <m/>
    <m/>
    <m/>
    <m/>
    <d v="2025-10-03T00:00:00"/>
    <x v="0"/>
    <s v="ok"/>
  </r>
  <r>
    <x v="27"/>
    <s v="Alice in the Cipher World"/>
    <s v="061961-EP-0001-EN-GB"/>
    <s v="Course"/>
    <m/>
    <m/>
    <s v="duration of use"/>
    <m/>
    <d v="2026-02-26T00:00:00"/>
    <x v="0"/>
    <m/>
  </r>
  <r>
    <x v="27"/>
    <s v="Electronic Signature - Alice in Cipher World"/>
    <s v="061961-EP"/>
    <s v="Course template"/>
    <s v="Yes"/>
    <n v="49"/>
    <m/>
    <m/>
    <d v="2025-10-13T00:00:00"/>
    <x v="0"/>
    <s v="Removed from catalogue"/>
  </r>
  <r>
    <x v="27"/>
    <s v="How to use Eurostat data like a pro!"/>
    <s v="020593-ESTAT"/>
    <s v="Course template"/>
    <s v="Yes"/>
    <n v="88"/>
    <d v="2026-03-17T14:00:00"/>
    <d v="2026-03-17T16:30:00"/>
    <d v="2026-03-06T00:00:00"/>
    <x v="0"/>
    <s v="Not EP course"/>
  </r>
  <r>
    <x v="27"/>
    <s v="Howspace admin onboarding session"/>
    <m/>
    <s v="Media"/>
    <m/>
    <m/>
    <m/>
    <m/>
    <m/>
    <x v="0"/>
    <s v="ok"/>
  </r>
  <r>
    <x v="27"/>
    <s v="Intermediate Python"/>
    <s v="031029-DTS-0008-EN-GB"/>
    <s v="Course"/>
    <m/>
    <m/>
    <d v="2025-04-24T09:00:00"/>
    <d v="2025-04-25T17:00:00"/>
    <d v="2025-07-10T00:00:00"/>
    <x v="0"/>
    <s v="Not EP course"/>
  </r>
  <r>
    <x v="27"/>
    <s v="Introduction to Power Automate and Power Apps"/>
    <s v="072340-EP"/>
    <s v="Course template"/>
    <m/>
    <m/>
    <d v="2026-03-11T09:00:00"/>
    <m/>
    <m/>
    <x v="0"/>
    <s v="ok"/>
  </r>
  <r>
    <x v="27"/>
    <s v="KJ LD_MS - Mastering SPARQL "/>
    <s v="037260-DTS"/>
    <s v="Course template"/>
    <s v="Yes"/>
    <n v="29"/>
    <d v="2024-09-25T10:30:00"/>
    <d v="2024-09-30T15:00:00"/>
    <d v="2025-10-08T00:00:00"/>
    <x v="0"/>
    <s v="Removed from catalogue"/>
  </r>
  <r>
    <x v="27"/>
    <s v="KJ SAP Business Objects 4.3 Basics"/>
    <s v="033249-DTS"/>
    <s v="Course template"/>
    <s v="Yes"/>
    <n v="256"/>
    <d v="2026-03-23T09:00:00"/>
    <d v="2025-02-18T17:00:00"/>
    <d v="2025-10-14T00:00:00"/>
    <x v="0"/>
    <s v="Not EP course"/>
  </r>
  <r>
    <x v="27"/>
    <s v="Lost in superposition: quantum computing for non-specialists"/>
    <s v="073141-CONS-0014-EN-GB"/>
    <s v="Course"/>
    <m/>
    <m/>
    <d v="2026-02-04T10:30:00"/>
    <d v="2026-02-04T11:30:00"/>
    <d v="2026-02-03T00:00:00"/>
    <x v="0"/>
    <s v="Removed from catalogue"/>
  </r>
  <r>
    <x v="27"/>
    <s v="Multimedia formats in publishing"/>
    <s v="071194-OP-0001-EN-GB"/>
    <s v="Course"/>
    <m/>
    <m/>
    <s v="duration of use"/>
    <m/>
    <d v="2026-02-03T00:00:00"/>
    <x v="0"/>
    <s v="Not EP course"/>
  </r>
  <r>
    <x v="27"/>
    <m/>
    <m/>
    <m/>
    <m/>
    <m/>
    <m/>
    <m/>
    <m/>
    <x v="1"/>
    <s v="Create tile with &quot;Data analytics&quot; courses"/>
  </r>
  <r>
    <x v="27"/>
    <s v="Power BI - Advanced"/>
    <s v="069205-EP"/>
    <s v="Course template"/>
    <s v="Yes"/>
    <n v="19"/>
    <d v="2026-03-23T09:00:00"/>
    <d v="2025-09-11T17:30:00"/>
    <d v="2025-10-13T00:00:00"/>
    <x v="0"/>
    <s v="ok"/>
  </r>
  <r>
    <x v="27"/>
    <s v="Power BI - Introduction"/>
    <s v="069204-EP"/>
    <s v="Course template"/>
    <s v="Yes"/>
    <n v="46"/>
    <d v="2026-03-02T09:00:00"/>
    <d v="2025-09-03T17:30:00"/>
    <d v="2025-10-14T00:00:00"/>
    <x v="0"/>
    <s v="ok"/>
  </r>
  <r>
    <x v="27"/>
    <s v="REBEL REBEL – The Rock’n’Roll Guide  to Digital Innovation"/>
    <s v="073141-CONS-0017-EN-GB"/>
    <s v="Course"/>
    <m/>
    <m/>
    <d v="2026-02-03T12:30:00"/>
    <d v="2026-02-03T14:00:00"/>
    <d v="2026-02-03T00:00:00"/>
    <x v="0"/>
    <s v="Removed from catalogue"/>
  </r>
  <r>
    <x v="27"/>
    <m/>
    <m/>
    <m/>
    <m/>
    <m/>
    <m/>
    <m/>
    <m/>
    <x v="1"/>
    <s v="Create tile with &quot;SharePoint&quot; courses"/>
  </r>
  <r>
    <x v="27"/>
    <s v="SharePoint on-premises - END USERS"/>
    <s v="065420-EP"/>
    <s v="Course template"/>
    <s v="Yes"/>
    <n v="23"/>
    <d v="2026-03-16T09:00:00"/>
    <d v="2025-12-09T12:30:00"/>
    <d v="2025-10-09T00:00:00"/>
    <x v="0"/>
    <s v="ok"/>
  </r>
  <r>
    <x v="27"/>
    <s v="SharePoint on-premises - POWER USERS"/>
    <s v="065422-EP"/>
    <s v="Course template"/>
    <s v="Yes"/>
    <n v="9"/>
    <d v="2026-03-16T13:30:00"/>
    <d v="2025-12-09T17:00:00"/>
    <d v="2025-10-14T00:00:00"/>
    <x v="0"/>
    <s v="ok"/>
  </r>
  <r>
    <x v="27"/>
    <s v="Social engineering"/>
    <s v="049426-LT-0019-EN-GB"/>
    <s v="Course"/>
    <m/>
    <m/>
    <s v="duration of use"/>
    <m/>
    <d v="2025-10-13T00:00:00"/>
    <x v="0"/>
    <s v="Not EP course"/>
  </r>
  <r>
    <x v="27"/>
    <s v="What's New in Windows 11?"/>
    <s v="073000-EP"/>
    <s v="Course template"/>
    <s v="Yes"/>
    <n v="5"/>
    <d v="2026-02-26T11:00:00"/>
    <d v="2026-02-26T12:30:00"/>
    <d v="2026-02-02T00:00:00"/>
    <x v="0"/>
    <s v="ok"/>
  </r>
  <r>
    <x v="28"/>
    <s v="MS Outlook - Manage your Mailbox"/>
    <s v="059002-EP"/>
    <s v="Course template"/>
    <s v="Yes"/>
    <n v="38"/>
    <d v="2026-02-03T09:00:00"/>
    <d v="2025-12-01T12:30:00"/>
    <d v="2025-10-09T00:00:00"/>
    <x v="0"/>
    <s v="ok"/>
  </r>
  <r>
    <x v="28"/>
    <s v="MS Outlook - Tips and tricks"/>
    <s v="059020-EP"/>
    <s v="Course template"/>
    <s v="Yes"/>
    <n v="38"/>
    <d v="2026-02-03T13:30:00"/>
    <d v="2025-12-01T17:00:00"/>
    <d v="2025-10-14T00:00:00"/>
    <x v="0"/>
    <s v="ok"/>
  </r>
  <r>
    <x v="29"/>
    <s v="MS PowerPoint - Introduction"/>
    <s v="059028-EP"/>
    <s v="Course template"/>
    <s v="Yes"/>
    <n v="24"/>
    <d v="2024-04-11T09:00:00"/>
    <d v="2024-04-11T17:00:00"/>
    <d v="2025-09-23T00:00:00"/>
    <x v="0"/>
    <s v="Removed from catalogue"/>
  </r>
  <r>
    <x v="30"/>
    <m/>
    <m/>
    <m/>
    <m/>
    <m/>
    <m/>
    <m/>
    <m/>
    <x v="1"/>
    <s v="Forward to subfolder"/>
  </r>
  <r>
    <x v="30"/>
    <s v="MICROSOFT TEAMS Advanced Tips &amp; tricks for Champions"/>
    <s v="028276-EP"/>
    <s v="Course template"/>
    <s v="Yes"/>
    <n v="40"/>
    <d v="2026-02-26T15:30:00"/>
    <d v="2025-11-18T17:00:00"/>
    <d v="2025-10-15T00:00:00"/>
    <x v="0"/>
    <s v="ok"/>
  </r>
  <r>
    <x v="30"/>
    <s v="MICROSOFT TEAMS Essential 1"/>
    <s v="025865-EP"/>
    <s v="Course template"/>
    <s v="Yes"/>
    <n v="151"/>
    <d v="2026-03-19T09:00:00"/>
    <d v="2025-11-18T10:30:00"/>
    <d v="2025-10-13T00:00:00"/>
    <x v="0"/>
    <s v="ok"/>
  </r>
  <r>
    <x v="30"/>
    <s v="MICROSOFT TEAMS Essential 2"/>
    <s v="026255-EP"/>
    <s v="Course template"/>
    <s v="Yes"/>
    <n v="90"/>
    <d v="2026-03-19T11:00:00"/>
    <d v="2025-11-18T12:30:00"/>
    <d v="2025-10-13T00:00:00"/>
    <x v="0"/>
    <s v="ok"/>
  </r>
  <r>
    <x v="30"/>
    <s v="MICROSOFT TEAMS: Collaborate on Documents in Teams"/>
    <s v="028495-EP"/>
    <s v="Course template"/>
    <s v="Yes"/>
    <n v="43"/>
    <d v="2026-03-19T15:30:00"/>
    <d v="2025-10-21T17:00:00"/>
    <d v="2025-10-14T00:00:00"/>
    <x v="0"/>
    <s v="ok"/>
  </r>
  <r>
    <x v="30"/>
    <s v="MICROSOFT TEAMS: Getting started with OneDrive"/>
    <s v="028384-EP"/>
    <s v="Course template"/>
    <s v="Yes"/>
    <n v="40"/>
    <d v="2026-02-26T13:30:00"/>
    <d v="2025-11-18T15:00:00"/>
    <d v="2025-10-13T00:00:00"/>
    <x v="0"/>
    <s v="ok"/>
  </r>
  <r>
    <x v="30"/>
    <s v="MICROSOFT TEAMS: How to organise successful meetings in Teams"/>
    <s v="028300-EP"/>
    <s v="Course template"/>
    <s v="Yes"/>
    <n v="63"/>
    <d v="2026-03-19T13:30:00"/>
    <d v="2025-10-21T15:00:00"/>
    <d v="2025-10-13T00:00:00"/>
    <x v="0"/>
    <s v="ok"/>
  </r>
  <r>
    <x v="31"/>
    <s v="KJ Become a Word ninja!"/>
    <s v="011283-DTS"/>
    <s v="Course template"/>
    <s v="Yes"/>
    <n v="166"/>
    <d v="2026-03-13T09:00:00"/>
    <d v="2025-10-17T17:00:00"/>
    <d v="2025-10-14T00:00:00"/>
    <x v="0"/>
    <s v="Not EP course"/>
  </r>
  <r>
    <x v="31"/>
    <s v="MS Word – Tips &amp; Tricks "/>
    <s v="022360-EP"/>
    <s v="Course template"/>
    <s v="Yes"/>
    <n v="23"/>
    <d v="2026-03-10T13:30:00"/>
    <d v="2025-12-09T17:00:00"/>
    <d v="2025-10-15T00:00:00"/>
    <x v="0"/>
    <s v="ok"/>
  </r>
  <r>
    <x v="31"/>
    <s v="MS Word – Using Styles &amp; Templates "/>
    <s v="022380-EP"/>
    <s v="Course template"/>
    <s v="Yes"/>
    <n v="10"/>
    <d v="2026-03-25T09:00:00"/>
    <d v="2025-11-26T12:30:00"/>
    <d v="2025-10-14T00:00:00"/>
    <x v="0"/>
    <s v="ok"/>
  </r>
  <r>
    <x v="31"/>
    <s v="MS Word – Working with Long Documents "/>
    <s v="022379-EP"/>
    <s v="Course template"/>
    <s v="Yes"/>
    <n v="14"/>
    <d v="2026-01-19T13:30:00"/>
    <d v="2026-01-19T17:00:00"/>
    <d v="2025-10-14T00:00:00"/>
    <x v="0"/>
    <s v="ok"/>
  </r>
  <r>
    <x v="32"/>
    <m/>
    <m/>
    <m/>
    <m/>
    <m/>
    <m/>
    <m/>
    <m/>
    <x v="0"/>
    <s v="New tile on front page needed for this."/>
  </r>
  <r>
    <x v="33"/>
    <s v="EP Talks: EU elections – what is at stake and how YOU can contribute!"/>
    <m/>
    <s v="Media"/>
    <m/>
    <m/>
    <m/>
    <m/>
    <m/>
    <x v="0"/>
    <s v="ok"/>
  </r>
  <r>
    <x v="33"/>
    <s v="EP Talks: EU Elections 2024 – an EU expert's insights"/>
    <m/>
    <s v="Media"/>
    <m/>
    <m/>
    <m/>
    <m/>
    <m/>
    <x v="0"/>
    <s v="ok"/>
  </r>
  <r>
    <x v="33"/>
    <s v="EP Talks: Everyday Resilience with Karen Northshield"/>
    <m/>
    <s v="Media"/>
    <m/>
    <m/>
    <m/>
    <m/>
    <m/>
    <x v="0"/>
    <s v="ok"/>
  </r>
  <r>
    <x v="33"/>
    <s v="EP Talks: Inclusion as a catalyst: unlocking the future of organisational success - how to make the most of our diverse teams"/>
    <m/>
    <s v="Media"/>
    <m/>
    <m/>
    <m/>
    <m/>
    <m/>
    <x v="0"/>
    <s v="ok"/>
  </r>
  <r>
    <x v="33"/>
    <s v="EP Talks: Kick-start your competition preparation"/>
    <m/>
    <s v="Media"/>
    <m/>
    <m/>
    <m/>
    <m/>
    <m/>
    <x v="0"/>
    <s v="ok"/>
  </r>
  <r>
    <x v="33"/>
    <s v="EP Talks: Navigating the world of politics – a practical guide to being resilient (resilience masterclass online)"/>
    <m/>
    <s v="Media"/>
    <m/>
    <m/>
    <m/>
    <m/>
    <m/>
    <x v="0"/>
    <s v="ok"/>
  </r>
  <r>
    <x v="33"/>
    <s v="EP Talks: Navigating uncertainties in a fragmented world - the case of the Greek sovereign debt crisis"/>
    <m/>
    <s v="Media"/>
    <m/>
    <m/>
    <m/>
    <m/>
    <m/>
    <x v="0"/>
    <s v="ok"/>
  </r>
  <r>
    <x v="33"/>
    <s v="EP Talks: Politics is the art of the impossible – learning to make things happen in a complex, crisis driven environment with Chris Tamdjidi"/>
    <m/>
    <s v="Media"/>
    <m/>
    <m/>
    <m/>
    <m/>
    <m/>
    <x v="0"/>
    <s v="ok"/>
  </r>
  <r>
    <x v="33"/>
    <s v="EP Talks: Preventing Harassment: everybody’s business"/>
    <m/>
    <s v="Media"/>
    <m/>
    <m/>
    <m/>
    <m/>
    <m/>
    <x v="0"/>
    <s v="ok"/>
  </r>
  <r>
    <x v="33"/>
    <s v="EP Talks: Ready for your appraisal? What is the right training for you in 2025?"/>
    <m/>
    <s v="Media"/>
    <m/>
    <m/>
    <m/>
    <m/>
    <m/>
    <x v="0"/>
    <s v="ok"/>
  </r>
  <r>
    <x v="33"/>
    <s v="EP Talks: Speechwriting 101"/>
    <m/>
    <s v="Media"/>
    <m/>
    <m/>
    <m/>
    <m/>
    <m/>
    <x v="0"/>
    <s v="ok"/>
  </r>
  <r>
    <x v="33"/>
    <s v="EP Talks: Turn your PowerPoints into inspiring stories"/>
    <m/>
    <s v="Media"/>
    <m/>
    <m/>
    <m/>
    <m/>
    <m/>
    <x v="0"/>
    <s v="ok"/>
  </r>
  <r>
    <x v="33"/>
    <s v="EP Talks: Turning conflict into a conversation - #DontWaitMediate"/>
    <m/>
    <s v="Media"/>
    <m/>
    <m/>
    <m/>
    <m/>
    <m/>
    <x v="0"/>
    <s v="ok"/>
  </r>
  <r>
    <x v="33"/>
    <s v="EP Talks: US Elections – latest update and possible impact on EU-US relations"/>
    <m/>
    <s v="Media"/>
    <m/>
    <m/>
    <m/>
    <m/>
    <m/>
    <x v="0"/>
    <s v="ok"/>
  </r>
  <r>
    <x v="33"/>
    <m/>
    <m/>
    <m/>
    <m/>
    <m/>
    <m/>
    <m/>
    <m/>
    <x v="1"/>
    <s v="Please link to EP talks catalogue, not individual EP talks"/>
  </r>
  <r>
    <x v="34"/>
    <s v="Flash session: Inventory Management reporting - SAP Analytics Cloud (SAC)"/>
    <s v="073954-EP"/>
    <s v="Course template"/>
    <s v="Yes"/>
    <n v="0"/>
    <d v="2026-03-26T10:00:00"/>
    <d v="2026-03-26T12:00:00"/>
    <d v="2026-01-28T00:00:00"/>
    <x v="0"/>
    <s v="ok"/>
  </r>
  <r>
    <x v="34"/>
    <s v="iTrack v2 - Suivi des actifs avec la nouvelle version de l’application"/>
    <s v="073801-EP"/>
    <s v="Course template"/>
    <s v="Yes"/>
    <n v="0"/>
    <d v="2026-03-12T09:00:00"/>
    <d v="2026-03-12T13:00:00"/>
    <d v="2026-02-03T00:00:00"/>
    <x v="0"/>
    <s v="ok"/>
  </r>
  <r>
    <x v="34"/>
    <s v="New courses from the Learning &amp; Development Unit"/>
    <s v="EP_005363"/>
    <s v="Learning path"/>
    <m/>
    <m/>
    <m/>
    <m/>
    <d v="2025-10-08T00:00:00"/>
    <x v="0"/>
    <s v="ok"/>
  </r>
  <r>
    <x v="35"/>
    <s v="Staff Regulation training"/>
    <s v="073702-EP"/>
    <m/>
    <m/>
    <m/>
    <m/>
    <m/>
    <m/>
    <x v="1"/>
    <m/>
  </r>
  <r>
    <x v="34"/>
    <s v="Staff regulations"/>
    <s v="020616-EP-0001-EN-GB"/>
    <s v="Course"/>
    <m/>
    <m/>
    <s v="duration of use"/>
    <m/>
    <d v="2025-10-15T00:00:00"/>
    <x v="0"/>
    <s v="Replace with new course template with in person training."/>
  </r>
  <r>
    <x v="34"/>
    <s v="Your mind at work"/>
    <s v="071521-EP-0001-EN-GB"/>
    <s v="Course"/>
    <m/>
    <m/>
    <d v="2025-10-20T09:00:00"/>
    <d v="2025-12-08T10:30:00"/>
    <d v="2025-10-03T00:00:00"/>
    <x v="0"/>
    <s v="Removed from catalogue. Template assigned to wellbeing folder now."/>
  </r>
  <r>
    <x v="35"/>
    <m/>
    <m/>
    <m/>
    <m/>
    <m/>
    <m/>
    <m/>
    <m/>
    <x v="1"/>
    <s v="Create tile with both mission courses"/>
  </r>
  <r>
    <x v="35"/>
    <s v="After mission - how to properly complete your declaration of expenses"/>
    <s v="073144-EP"/>
    <s v="Course template"/>
    <s v="NO"/>
    <m/>
    <d v="2026-02-05T14:00:00"/>
    <d v="2026-02-05T16:00:00"/>
    <d v="2026-02-02T00:00:00"/>
    <x v="0"/>
    <s v="ok"/>
  </r>
  <r>
    <x v="35"/>
    <s v="Cat4Trad e-learning course"/>
    <s v="020570-EP-0001-EN-GB"/>
    <s v="Course"/>
    <m/>
    <m/>
    <s v="duration of use"/>
    <m/>
    <d v="2025-10-13T00:00:00"/>
    <x v="0"/>
    <s v="ok"/>
  </r>
  <r>
    <x v="35"/>
    <s v="Document management and GEDA"/>
    <m/>
    <m/>
    <m/>
    <m/>
    <m/>
    <m/>
    <m/>
    <x v="1"/>
    <s v="Tile with both eLearning versions and GEDA course template"/>
  </r>
  <r>
    <x v="35"/>
    <s v="Document Management at  EP"/>
    <s v="028836-EP-0003-EN-GB"/>
    <s v="Course template"/>
    <s v="NO"/>
    <m/>
    <m/>
    <m/>
    <d v="2025-10-03T00:00:00"/>
    <x v="0"/>
    <s v="ok"/>
  </r>
  <r>
    <x v="35"/>
    <s v="Electronic Signatures and Seals"/>
    <s v="023615-EP"/>
    <s v="Course template"/>
    <s v="Yes"/>
    <n v="80"/>
    <d v="2024-06-05T09:30:00"/>
    <d v="2024-06-05T12:45:00"/>
    <d v="2025-10-04T00:00:00"/>
    <x v="0"/>
    <s v="Removed from catalogue"/>
  </r>
  <r>
    <x v="35"/>
    <s v="EP Missions Rules and eMiss application UMBRELLA course template"/>
    <s v="068968-EP"/>
    <s v="Course template"/>
    <s v="NO"/>
    <m/>
    <d v="2025-03-03T08:00:00"/>
    <d v="2035-04-20T08:00:00"/>
    <s v=" "/>
    <x v="0"/>
    <s v="ok"/>
  </r>
  <r>
    <x v="35"/>
    <s v="GEDA Online Course "/>
    <s v="023489-EP"/>
    <s v="Course template"/>
    <s v="Yes"/>
    <n v="54"/>
    <d v="2026-05-28T09:00:00"/>
    <d v="2025-12-04T12:00:00"/>
    <d v="2025-10-15T00:00:00"/>
    <x v="0"/>
    <s v="ok"/>
  </r>
  <r>
    <x v="35"/>
    <s v="Gestion Documentaire au EP"/>
    <s v="028847-EP"/>
    <s v="Course template"/>
    <s v="Yes"/>
    <n v="2"/>
    <m/>
    <m/>
    <d v="2025-10-09T00:00:00"/>
    <x v="0"/>
    <s v="Removed from catalogue"/>
  </r>
  <r>
    <x v="35"/>
    <s v="Gestion Documentaire au Parlement  (FR)"/>
    <s v="028847-EP-0002-FR-FR"/>
    <s v="Course"/>
    <m/>
    <m/>
    <s v="duration of use"/>
    <m/>
    <d v="2025-11-02T00:00:00"/>
    <x v="0"/>
    <m/>
  </r>
  <r>
    <x v="35"/>
    <s v="Intellectual Property Rights in Public Procurement"/>
    <s v="020651-EP-0001-EN-GB"/>
    <s v="Course"/>
    <m/>
    <m/>
    <s v="duration of use"/>
    <m/>
    <d v="2025-10-06T00:00:00"/>
    <x v="0"/>
    <s v="ok"/>
  </r>
  <r>
    <x v="35"/>
    <s v="KJ EU Survey"/>
    <s v="001094-DTS"/>
    <s v="Course template"/>
    <s v="Yes"/>
    <n v="148"/>
    <d v="2026-03-10T09:00:00"/>
    <d v="2025-11-24T17:00:00"/>
    <d v="2025-10-14T00:00:00"/>
    <x v="0"/>
    <s v="Not EP course"/>
  </r>
  <r>
    <x v="35"/>
    <s v="Leading with PowerVisuals"/>
    <s v="066400-EP"/>
    <s v="Course template"/>
    <s v="Yes"/>
    <n v="14"/>
    <d v="2025-11-07T09:30:00"/>
    <d v="2025-11-07T12:30:00"/>
    <d v="2025-10-03T00:00:00"/>
    <x v="0"/>
    <s v="ok"/>
  </r>
  <r>
    <x v="35"/>
    <s v="Risk Management in the European Parliament"/>
    <s v="EP_005820"/>
    <s v="Learning path"/>
    <m/>
    <m/>
    <m/>
    <m/>
    <d v="2026-02-03T00:00:00"/>
    <x v="1"/>
    <s v="ok - not from our unit but RCBC unit"/>
  </r>
  <r>
    <x v="35"/>
    <s v="The e-signature for everyone"/>
    <s v="058801-EP"/>
    <s v="Course template"/>
    <s v="Yes"/>
    <n v="25"/>
    <d v="2026-01-15T09:30:00"/>
    <d v="2025-11-11T17:00:00"/>
    <d v="2025-10-14T00:00:00"/>
    <x v="0"/>
    <s v="ok"/>
  </r>
  <r>
    <x v="35"/>
    <s v="Videoconferencing Facilities in KOHL building"/>
    <s v="074123-EP"/>
    <s v="Course template"/>
    <s v="Yes"/>
    <n v="70"/>
    <d v="2026-03-18T15:30:00"/>
    <d v="2026-03-18T17:00:00"/>
    <d v="2026-03-06T00:00:00"/>
    <x v="0"/>
    <m/>
  </r>
  <r>
    <x v="36"/>
    <m/>
    <m/>
    <m/>
    <m/>
    <m/>
    <m/>
    <m/>
    <m/>
    <x v="1"/>
    <s v="Combine ALL CLEAR eLearnings"/>
  </r>
  <r>
    <x v="36"/>
    <s v="ALL CLEAR! LE BRIEFING SUR LA SÉCURITÉ DES INFORMATIONS DU PARLEMENT EUROPÉEN"/>
    <s v="070503-EP SAFE-0002-EN-GB"/>
    <s v="Course"/>
    <m/>
    <m/>
    <s v="duration of use"/>
    <m/>
    <d v="2025-10-15T00:00:00"/>
    <x v="0"/>
    <s v="ok"/>
  </r>
  <r>
    <x v="36"/>
    <s v="ALL CLEAR! THE EUROPEAN PARLIAMENT INFORMATION SECURITY BRIEFING"/>
    <s v="070503-EP SAFE-0001-EN-GB"/>
    <s v="Course"/>
    <m/>
    <m/>
    <s v="duration of use"/>
    <m/>
    <d v="2025-10-14T00:00:00"/>
    <x v="0"/>
    <s v="ok"/>
  </r>
  <r>
    <x v="37"/>
    <m/>
    <m/>
    <m/>
    <m/>
    <m/>
    <m/>
    <m/>
    <m/>
    <x v="1"/>
    <s v="Create tile with all first aid courses - to be seen with Mariana"/>
  </r>
  <r>
    <x v="36"/>
    <s v="Basic life support (BLS) provider"/>
    <s v="070524-EP"/>
    <s v="Course template"/>
    <s v="Yes"/>
    <n v="22"/>
    <d v="2025-06-11T09:00:00"/>
    <d v="2025-06-11T13:00:00"/>
    <d v="2025-10-14T00:00:00"/>
    <x v="0"/>
    <s v="ok"/>
  </r>
  <r>
    <x v="37"/>
    <m/>
    <m/>
    <m/>
    <m/>
    <m/>
    <m/>
    <m/>
    <m/>
    <x v="1"/>
    <s v="Create one tile with all EMAS course (including chemical handling)"/>
  </r>
  <r>
    <x v="36"/>
    <s v="Building and Maintaining a High-Impact EMAS Network"/>
    <s v="075221-EP"/>
    <s v="Course template"/>
    <s v="Yes"/>
    <n v="0"/>
    <d v="2026-03-23T14:00:00"/>
    <d v="2026-03-23T17:30:00"/>
    <d v="2026-03-05T00:00:00"/>
    <x v="0"/>
    <m/>
  </r>
  <r>
    <x v="36"/>
    <s v="Chemicals handling "/>
    <s v="069492-EP"/>
    <s v="Course template"/>
    <s v="Yes"/>
    <n v="1"/>
    <d v="2026-10-09T09:00:00"/>
    <d v="2025-09-25T10:30:00"/>
    <d v="2025-10-14T00:00:00"/>
    <x v="0"/>
    <s v="ok"/>
  </r>
  <r>
    <x v="36"/>
    <s v="Contre-espionnage eLearning"/>
    <s v="057441-EP SAFE-0002-FR-FR"/>
    <s v="Course"/>
    <m/>
    <m/>
    <s v="duration of use"/>
    <m/>
    <d v="2025-10-09T00:00:00"/>
    <x v="0"/>
    <s v="ok"/>
  </r>
  <r>
    <x v="36"/>
    <s v="Counter Intelligence eLearning"/>
    <s v="057441-EP SAFE-0001-EN-GB"/>
    <s v="Course"/>
    <m/>
    <m/>
    <s v="duration of use"/>
    <m/>
    <d v="2025-10-08T00:00:00"/>
    <x v="0"/>
    <s v="ok"/>
  </r>
  <r>
    <x v="36"/>
    <s v="EEAS - SAFE (Security Awareness in Fragile Environments)"/>
    <m/>
    <s v="Media"/>
    <m/>
    <m/>
    <m/>
    <m/>
    <m/>
    <x v="0"/>
    <s v="ok"/>
  </r>
  <r>
    <x v="36"/>
    <s v="EESC-CoR- Neurodiversity"/>
    <s v="069065-EESC-0008-EN-GB"/>
    <s v="Course"/>
    <m/>
    <m/>
    <d v="2025-06-20T11:00:00"/>
    <d v="2025-06-20T13:00:00"/>
    <d v="2025-07-08T00:00:00"/>
    <x v="0"/>
    <s v="Not EP course"/>
  </r>
  <r>
    <x v="36"/>
    <s v="EMAS basics for EC Staff"/>
    <s v="026395-HR"/>
    <s v="Course template"/>
    <s v="NO"/>
    <m/>
    <d v="2026-03-13T10:00:00"/>
    <d v="2025-11-14T11:30:00"/>
    <d v="2025-10-15T00:00:00"/>
    <x v="0"/>
    <s v="Removed from catalogue"/>
  </r>
  <r>
    <x v="36"/>
    <s v="EMAS basics for EP staff"/>
    <s v="074246-EP"/>
    <s v="Course template"/>
    <s v="Yes"/>
    <n v="0"/>
    <d v="2026-09-21T14:00:00"/>
    <d v="2026-09-21T15:30:00"/>
    <s v=" "/>
    <x v="0"/>
    <s v="ok"/>
  </r>
  <r>
    <x v="36"/>
    <s v="EMAS Internal Auditor training"/>
    <s v="070946-EP"/>
    <s v="Course template"/>
    <s v="NO"/>
    <m/>
    <d v="2025-05-13T08:00:00"/>
    <d v="2029-07-26T08:00:00"/>
    <s v=" "/>
    <x v="0"/>
    <s v="ok"/>
  </r>
  <r>
    <x v="36"/>
    <s v="From boomers to Gen Z: working together in multigenerational teams"/>
    <s v="070912-EP"/>
    <s v="Course template"/>
    <s v="Yes"/>
    <n v="3"/>
    <d v="2026-04-23T09:00:00"/>
    <d v="2025-11-25T12:30:00"/>
    <d v="2025-10-14T00:00:00"/>
    <x v="1"/>
    <s v="ok"/>
  </r>
  <r>
    <x v="36"/>
    <s v="Green Public Procurement"/>
    <s v="070838-EP"/>
    <s v="Course template"/>
    <s v="NO"/>
    <m/>
    <d v="2026-11-10T09:00:00"/>
    <d v="2025-11-10T12:30:00"/>
    <d v="2025-10-06T00:00:00"/>
    <x v="0"/>
    <s v="Removed from catalogue"/>
  </r>
  <r>
    <x v="36"/>
    <s v="Green Public Procurement "/>
    <s v="075006-EP"/>
    <s v="Course template"/>
    <s v="Yes"/>
    <n v="1"/>
    <d v="2026-04-14T09:00:00"/>
    <d v="2026-04-14T12:30:00"/>
    <d v="2026-03-05T00:00:00"/>
    <x v="0"/>
    <s v="ok. Add to EMAS"/>
  </r>
  <r>
    <x v="36"/>
    <s v="How to plan and lead a productive meeting "/>
    <s v="071491-EP"/>
    <s v="Course template"/>
    <s v="NO"/>
    <m/>
    <d v="2026-05-28T09:00:00"/>
    <d v="2029-07-31T08:00:00"/>
    <s v=" "/>
    <x v="1"/>
    <s v="ok - keep close with &quot;Online facilitation&quot;"/>
  </r>
  <r>
    <x v="36"/>
    <s v="Socially responsible Public Procurement"/>
    <s v="074244-EP"/>
    <s v="Course template"/>
    <s v="Yes"/>
    <n v="0"/>
    <d v="2026-11-10T14:00:00"/>
    <d v="2026-11-10T17:30:00"/>
    <s v=" "/>
    <x v="0"/>
    <s v="Removed from catalogue"/>
  </r>
  <r>
    <x v="36"/>
    <s v="Socially responsible Public Procurement"/>
    <s v="075007-EP"/>
    <s v="Course template"/>
    <s v="Yes"/>
    <n v="0"/>
    <d v="2026-04-14T14:00:00"/>
    <d v="2026-04-14T17:30:00"/>
    <d v="2026-03-05T00:00:00"/>
    <x v="0"/>
    <s v="ok. Add to EMAS"/>
  </r>
  <r>
    <x v="36"/>
    <s v="Understanding greenhouse gas (GHG) emissions calculations"/>
    <s v="069487-EP"/>
    <s v="Course template"/>
    <s v="Yes"/>
    <n v="3"/>
    <d v="2026-09-28T09:30:00"/>
    <d v="2025-09-15T11:30:00"/>
    <d v="2025-10-14T00:00:00"/>
    <x v="0"/>
    <s v="ok. Add to EMAS"/>
  </r>
  <r>
    <x v="38"/>
    <s v="EU Rights at the end of service for Temporary and Contract Agents – information session"/>
    <s v="017440-GEN"/>
    <s v="Course template"/>
    <s v="Yes"/>
    <n v="85"/>
    <d v="2026-04-21T14:00:00"/>
    <d v="2025-12-15T15:00:00"/>
    <d v="2025-10-13T00:00:00"/>
    <x v="0"/>
    <s v="ok"/>
  </r>
  <r>
    <x v="38"/>
    <s v="EU Unemployment allowance rights – information session"/>
    <s v="038664-GEN"/>
    <s v="Course template"/>
    <s v="Yes"/>
    <n v="67"/>
    <d v="2026-04-30T14:00:00"/>
    <d v="2025-12-18T15:30:00"/>
    <d v="2025-10-14T00:00:00"/>
    <x v="0"/>
    <s v="ok"/>
  </r>
  <r>
    <x v="38"/>
    <s v="Pension rights – information session"/>
    <s v="038920-GEN"/>
    <s v="Course template"/>
    <s v="Yes"/>
    <n v="267"/>
    <d v="2026-04-21T14:00:00"/>
    <d v="2025-12-09T11:30:00"/>
    <d v="2025-10-15T00:00:00"/>
    <x v="0"/>
    <s v="ok"/>
  </r>
  <r>
    <x v="38"/>
    <s v="Transfer OUT of pension rights – information session"/>
    <s v="038901-GEN"/>
    <s v="Course template"/>
    <s v="Yes"/>
    <n v="51"/>
    <d v="2026-04-29T14:00:00"/>
    <d v="2025-12-11T12:00:00"/>
    <d v="2025-10-14T00:00:00"/>
    <x v="0"/>
    <s v="ok"/>
  </r>
  <r>
    <x v="39"/>
    <m/>
    <m/>
    <m/>
    <m/>
    <m/>
    <m/>
    <m/>
    <m/>
    <x v="1"/>
    <s v="Tile with all data protection trainings"/>
  </r>
  <r>
    <x v="40"/>
    <s v="Data Protection - Role of the Controllers"/>
    <s v="070388-EP"/>
    <s v="Course template"/>
    <s v="Yes"/>
    <n v="0"/>
    <d v="2025-11-19T09:30:00"/>
    <d v="2025-11-19T12:30:00"/>
    <d v="2025-10-07T00:00:00"/>
    <x v="0"/>
    <s v="ok"/>
  </r>
  <r>
    <x v="40"/>
    <s v="Data protection in human resources processing operations"/>
    <s v="037982-EP"/>
    <s v="Course template"/>
    <s v="Yes"/>
    <n v="10"/>
    <d v="2025-12-10T10:30:00"/>
    <d v="2025-12-10T12:30:00"/>
    <d v="2025-10-14T00:00:00"/>
    <x v="0"/>
    <s v="ok"/>
  </r>
  <r>
    <x v="40"/>
    <s v="Data protection in public procurements"/>
    <s v="038560-EP"/>
    <s v="Course template"/>
    <s v="Yes"/>
    <n v="17"/>
    <d v="2026-01-15T10:30:00"/>
    <d v="2026-01-15T12:30:00"/>
    <d v="2025-10-13T00:00:00"/>
    <x v="0"/>
    <s v="ok"/>
  </r>
  <r>
    <x v="40"/>
    <s v="Data protection in the age of AI"/>
    <s v="071260-EP"/>
    <s v="Course template"/>
    <s v="NO"/>
    <m/>
    <d v="2026-04-23T14:30:00"/>
    <d v="2025-11-19T11:30:00"/>
    <d v="2025-07-04T00:00:00"/>
    <x v="0"/>
    <s v="ok"/>
  </r>
  <r>
    <x v="40"/>
    <s v="Dealing effectively with lobbyists "/>
    <s v="023221-EP"/>
    <s v="Course template"/>
    <s v="Yes"/>
    <n v="26"/>
    <d v="2025-12-10T09:30:00"/>
    <d v="2025-12-10T17:30:00"/>
    <d v="2025-10-07T00:00:00"/>
    <x v="0"/>
    <s v="ok"/>
  </r>
  <r>
    <x v="40"/>
    <s v="Essentials of data protection in the European Parliament"/>
    <s v="023379-EP"/>
    <s v="Course template"/>
    <s v="Yes"/>
    <n v="139"/>
    <d v="2026-12-02T09:00:00"/>
    <d v="2026-12-03T12:30:00"/>
    <d v="2026-02-01T00:00:00"/>
    <x v="0"/>
    <s v="Removed from catalogue. Umbrella created."/>
  </r>
  <r>
    <x v="40"/>
    <s v="Essentials of data protection in the European Parliament"/>
    <s v="058680-EP"/>
    <s v="Course template"/>
    <s v="Yes"/>
    <n v="28"/>
    <d v="2026-11-19T09:30:00"/>
    <d v="2025-12-04T17:00:00"/>
    <d v="2025-10-15T00:00:00"/>
    <x v="0"/>
    <s v="Removed from catalogue. Umbrella created."/>
  </r>
  <r>
    <x v="40"/>
    <s v="Essentials of data protection in the European Parliament"/>
    <s v="074660-EP"/>
    <m/>
    <m/>
    <m/>
    <m/>
    <m/>
    <m/>
    <x v="0"/>
    <s v="New created umbrella for 023379-EP and 058680-EP"/>
  </r>
  <r>
    <x v="41"/>
    <m/>
    <m/>
    <m/>
    <m/>
    <m/>
    <m/>
    <m/>
    <m/>
    <x v="1"/>
    <s v="Tile with all ethic courses"/>
  </r>
  <r>
    <x v="40"/>
    <s v="Let's Talk Ethics"/>
    <s v="070182-EP"/>
    <s v="Course template"/>
    <s v="NO"/>
    <m/>
    <d v="2025-02-20T08:00:00"/>
    <d v="2029-07-31T08:00:00"/>
    <s v=" "/>
    <x v="0"/>
    <s v="ok"/>
  </r>
  <r>
    <x v="40"/>
    <s v="Personal Data Breaches - identify and act"/>
    <s v="061923-EP"/>
    <s v="Course template"/>
    <s v="Yes"/>
    <n v="16"/>
    <d v="2025-10-27T09:30:00"/>
    <d v="2025-10-27T12:30:00"/>
    <d v="2025-10-13T00:00:00"/>
    <x v="0"/>
    <s v="There are online and offline version attached to the catalogue."/>
  </r>
  <r>
    <x v="40"/>
    <s v="Personal Data Breaches - identify and act"/>
    <s v="061922-EP"/>
    <s v="Course template"/>
    <s v="Yes"/>
    <n v="22"/>
    <d v="2025-04-29T14:30:00"/>
    <d v="2025-04-29T16:30:00"/>
    <d v="2025-10-06T00:00:00"/>
    <x v="0"/>
    <s v="There are online and offline version attached to the catalogue."/>
  </r>
  <r>
    <x v="40"/>
    <s v="Privacy Enhancing Technologies (PETs)"/>
    <s v="061925-EP"/>
    <s v="Course template"/>
    <s v="Yes"/>
    <n v="8"/>
    <d v="2025-10-29T14:30:00"/>
    <d v="2025-10-29T17:00:00"/>
    <d v="2025-10-14T00:00:00"/>
    <x v="0"/>
    <s v="The  data protection offer is bit intimidating. Do we really need to showcase everything???"/>
  </r>
  <r>
    <x v="40"/>
    <s v="Privacy Enhancing Technologies (PETs)"/>
    <s v="061870-EP"/>
    <s v="Course template"/>
    <s v="Yes"/>
    <n v="13"/>
    <d v="2024-06-13T10:00:00"/>
    <d v="2024-06-13T12:00:00"/>
    <d v="2025-04-10T00:00:00"/>
    <x v="0"/>
    <s v="Removed from catalogue"/>
  </r>
  <r>
    <x v="40"/>
    <s v="Privacy risks and Data Protection Impact Assessment"/>
    <s v="071133-EP"/>
    <s v="Course template"/>
    <s v="Yes"/>
    <n v="4"/>
    <d v="2025-12-10T09:30:00"/>
    <d v="2025-12-10T12:00:00"/>
    <d v="2025-10-02T00:00:00"/>
    <x v="0"/>
    <s v="ok"/>
  </r>
  <r>
    <x v="40"/>
    <s v="Risk Assessment and DPIA - workshop"/>
    <s v="071135-EP"/>
    <s v="Course template"/>
    <s v="Yes"/>
    <n v="2"/>
    <d v="2025-12-10T14:30:00"/>
    <d v="2025-12-10T17:00:00"/>
    <d v="2025-10-02T00:00:00"/>
    <x v="0"/>
    <s v="ok"/>
  </r>
  <r>
    <x v="40"/>
    <s v="Transfer Impact Assessment in the European Parliament (TIA)"/>
    <s v="071681-EP"/>
    <s v="Course template"/>
    <s v="Yes"/>
    <n v="0"/>
    <d v="2025-11-12T10:00:00"/>
    <d v="2025-11-12T12:30:00"/>
    <d v="2025-10-15T00:00:00"/>
    <x v="0"/>
    <s v="ok"/>
  </r>
  <r>
    <x v="42"/>
    <s v="What you need to know about Economics (and were afraid to ask)"/>
    <s v="024107-EP"/>
    <s v="Course template"/>
    <s v="Yes"/>
    <n v="8"/>
    <d v="2026-03-03T09:00:00"/>
    <d v="2025-09-30T13:00:00"/>
    <d v="2025-10-14T00:00:00"/>
    <x v="1"/>
    <s v="ok"/>
  </r>
  <r>
    <x v="43"/>
    <s v="EU Delegated and Implementing Acts at a glance"/>
    <s v="069224-EP"/>
    <s v="Course template"/>
    <s v="NO"/>
    <m/>
    <d v="2025-02-11T08:00:00"/>
    <d v="2029-07-27T08:00:00"/>
    <s v=" "/>
    <x v="1"/>
    <s v="ok"/>
  </r>
  <r>
    <x v="43"/>
    <s v="EU law for non-lawyers"/>
    <s v="069925-EP"/>
    <s v="Course template"/>
    <s v="NO"/>
    <m/>
    <d v="2025-09-24T09:00:00"/>
    <d v="2029-07-27T08:00:00"/>
    <s v=" "/>
    <x v="0"/>
    <s v="Removed from catalogue"/>
  </r>
  <r>
    <x v="43"/>
    <s v="EU Law for non-lawyers"/>
    <s v="030740-EP"/>
    <s v="Course template"/>
    <s v="Yes"/>
    <n v="19"/>
    <d v="2026-09-23T09:00:00"/>
    <d v="2026-09-23T17:00:00"/>
    <d v="2026-03-08T00:00:00"/>
    <x v="1"/>
    <m/>
  </r>
  <r>
    <x v="43"/>
    <s v="EU Social Law"/>
    <s v="061364-EP"/>
    <s v="Course template"/>
    <s v="Yes"/>
    <n v="23"/>
    <d v="2026-03-03T09:00:00"/>
    <d v="2025-09-22T17:00:00"/>
    <d v="2025-09-22T00:00:00"/>
    <x v="1"/>
    <s v="ok"/>
  </r>
  <r>
    <x v="43"/>
    <s v="Legislative Amendments from A to Z: drafting, tabling, voting"/>
    <s v="029006-EP"/>
    <s v="Course template"/>
    <s v="Yes"/>
    <n v="29"/>
    <d v="2026-10-26T09:00:00"/>
    <d v="2026-10-27T16:30:00"/>
    <d v="2026-03-08T00:00:00"/>
    <x v="1"/>
    <s v="ok"/>
  </r>
  <r>
    <x v="43"/>
    <s v="Legislative Amendments from A-Z"/>
    <s v="070064-EP"/>
    <s v="Course template"/>
    <s v="NO"/>
    <m/>
    <d v="2026-02-02T08:00:00"/>
    <d v="2029-07-28T08:00:00"/>
    <s v=" "/>
    <x v="0"/>
    <s v="Removed from catalogue"/>
  </r>
  <r>
    <x v="43"/>
    <s v="Ordinary Legislative Procedure - Walkthrough the OLP / COD procedure - 1st reading"/>
    <s v="073440-EP"/>
    <s v="Course template"/>
    <s v="Yes"/>
    <n v="2"/>
    <d v="2026-05-12T09:00:00"/>
    <d v="2026-05-12T17:30:00"/>
    <d v="2026-02-03T00:00:00"/>
    <x v="1"/>
    <s v="ok"/>
  </r>
  <r>
    <x v="43"/>
    <s v="Recorded Foresight talks &amp; Futures insights sessions"/>
    <s v="037661-SG POLICY"/>
    <s v="Course template"/>
    <s v="NO"/>
    <m/>
    <m/>
    <m/>
    <d v="2026-01-29T00:00:00"/>
    <x v="0"/>
    <s v="ok"/>
  </r>
  <r>
    <x v="43"/>
    <s v="Ten things you need to know about the European Parliament"/>
    <s v="054231-EP"/>
    <s v="Course template"/>
    <s v="Yes"/>
    <n v="55"/>
    <d v="2026-04-14T13:30:00"/>
    <d v="2026-04-14T17:00:00"/>
    <d v="2026-02-03T00:00:00"/>
    <x v="1"/>
    <s v="ok"/>
  </r>
  <r>
    <x v="44"/>
    <s v="Artificial Intelligence and Copyright : a practical legal guidance"/>
    <s v="074823-EP"/>
    <s v="Course template"/>
    <s v="Yes"/>
    <n v="0"/>
    <d v="2026-03-19T10:00:00"/>
    <d v="2026-03-19T12:00:00"/>
    <d v="2026-02-27T00:00:00"/>
    <x v="0"/>
    <s v="Add to AI tile"/>
  </r>
  <r>
    <x v="44"/>
    <s v="Asylum, Migration and Border Management"/>
    <s v="031203-EP"/>
    <s v="Course template"/>
    <s v="NO"/>
    <m/>
    <d v="2025-09-18T09:00:00"/>
    <d v="2025-09-18T17:00:00"/>
    <d v="2025-09-22T00:00:00"/>
    <x v="1"/>
    <s v="ok"/>
  </r>
  <r>
    <x v="44"/>
    <s v="Cybersecurity "/>
    <s v="073760-EP"/>
    <s v="Course template"/>
    <s v="Yes"/>
    <n v="0"/>
    <d v="2026-09-21T09:00:00"/>
    <d v="2026-09-21T17:00:00"/>
    <d v="2026-02-02T00:00:00"/>
    <x v="1"/>
    <s v="ok"/>
  </r>
  <r>
    <x v="44"/>
    <s v="Environmental law and the European Green Deal"/>
    <s v="069208-EP"/>
    <s v="Course template"/>
    <s v="NO"/>
    <m/>
    <d v="2025-02-12T08:00:00"/>
    <d v="2030-07-26T08:00:00"/>
    <s v=" "/>
    <x v="0"/>
    <s v="Removed from catalogue"/>
  </r>
  <r>
    <x v="44"/>
    <s v="Environmental law and the European Green Deal"/>
    <s v="035720-EP"/>
    <s v="Course template"/>
    <s v="Yes"/>
    <n v="19"/>
    <d v="2026-09-02T09:00:00"/>
    <d v="2026-09-02T17:00:00"/>
    <d v="2026-03-05T00:00:00"/>
    <x v="1"/>
    <s v="ok"/>
  </r>
  <r>
    <x v="44"/>
    <s v="EU Food Law "/>
    <s v="061620-EP"/>
    <s v="Course template"/>
    <s v="Yes"/>
    <n v="4"/>
    <d v="2026-01-29T09:00:00"/>
    <d v="2025-12-09T17:00:00"/>
    <d v="2025-10-15T00:00:00"/>
    <x v="0"/>
    <s v="Removed from catalogue"/>
  </r>
  <r>
    <x v="44"/>
    <s v="EU Food Law "/>
    <s v="074441-EP"/>
    <s v="Course template"/>
    <s v="Yes"/>
    <n v="2"/>
    <d v="2026-09-03T09:00:00"/>
    <d v="2026-09-04T12:30:00"/>
    <d v="2026-03-09T00:00:00"/>
    <x v="1"/>
    <s v="ok"/>
  </r>
  <r>
    <x v="44"/>
    <s v="EU Public Health"/>
    <s v="061624-EP"/>
    <s v="Course template"/>
    <s v="Yes"/>
    <n v="21"/>
    <d v="2026-01-15T09:00:00"/>
    <d v="2025-11-17T17:00:00"/>
    <d v="2025-10-14T00:00:00"/>
    <x v="0"/>
    <s v="Removed from catalogue"/>
  </r>
  <r>
    <x v="44"/>
    <s v="EU Public Health"/>
    <s v="074320-EP"/>
    <s v="Course template"/>
    <s v="Yes"/>
    <n v="4"/>
    <d v="2026-05-27T09:00:00"/>
    <d v="2026-05-28T17:00:00"/>
    <d v="2026-02-19T00:00:00"/>
    <x v="1"/>
    <s v="ok"/>
  </r>
  <r>
    <x v="44"/>
    <s v="EU Trade Policy and Geoeconomics "/>
    <s v="071430-EP"/>
    <s v="Course template"/>
    <s v="Yes"/>
    <n v="8"/>
    <d v="2025-10-30T09:00:00"/>
    <d v="2025-10-30T17:00:00"/>
    <d v="2025-10-15T00:00:00"/>
    <x v="1"/>
    <s v="ok"/>
  </r>
  <r>
    <x v="44"/>
    <s v="General introduction to business continuity management - Remote live training  "/>
    <s v="024154-SG POLICY"/>
    <s v="Course template"/>
    <s v="Yes"/>
    <n v="16"/>
    <d v="2025-09-16T09:15:00"/>
    <d v="2025-09-16T12:00:00"/>
    <d v="2025-10-13T00:00:00"/>
    <x v="0"/>
    <s v="Not EP template"/>
  </r>
  <r>
    <x v="44"/>
    <s v="Innovative Policymaking - MasterClass"/>
    <s v="070994-SG POLICY"/>
    <s v="Course template"/>
    <s v="NO"/>
    <m/>
    <d v="2026-02-26T14:30:00"/>
    <d v="2026-02-26T15:30:00"/>
    <d v="2025-09-17T00:00:00"/>
    <x v="0"/>
    <s v="Not EP template"/>
  </r>
  <r>
    <x v="44"/>
    <s v="Legislating for the European Union"/>
    <s v="023500-EP"/>
    <s v="Course template"/>
    <s v="Yes"/>
    <n v="145"/>
    <d v="2026-04-10T09:00:00"/>
    <d v="2025-10-23T12:30:00"/>
    <d v="2025-10-13T00:00:00"/>
    <x v="1"/>
    <s v="ok"/>
  </r>
  <r>
    <x v="44"/>
    <s v="Security, Defence and the EU"/>
    <s v="072448-EP-0002-EN-GB"/>
    <s v="Course"/>
    <m/>
    <m/>
    <d v="2026-02-06T09:00:00"/>
    <d v="2026-02-06T17:00:00"/>
    <d v="2026-02-03T00:00:00"/>
    <x v="0"/>
    <s v="Removed from catalogue"/>
  </r>
  <r>
    <x v="44"/>
    <s v="Security, Defence and the EU"/>
    <s v="049483-EP"/>
    <s v="Course template"/>
    <s v="NO"/>
    <m/>
    <d v="2026-06-02T09:00:00"/>
    <d v="2025-07-10T17:01:00"/>
    <d v="2025-07-14T00:00:00"/>
    <x v="1"/>
    <s v="ok"/>
  </r>
  <r>
    <x v="44"/>
    <s v="The future of our energy: what is the EU’s policy?"/>
    <s v="069207-EP"/>
    <s v="Course template"/>
    <s v="NO"/>
    <m/>
    <d v="2025-02-08T08:00:00"/>
    <d v="2029-07-31T08:00:00"/>
    <s v=" "/>
    <x v="1"/>
    <s v="ok"/>
  </r>
  <r>
    <x v="45"/>
    <s v="EP powers and EU policies"/>
    <s v="069222-EP"/>
    <s v="Course template"/>
    <s v="NO"/>
    <m/>
    <d v="2025-02-01T08:00:00"/>
    <d v="2029-07-26T08:00:00"/>
    <s v=" "/>
    <x v="0"/>
    <s v="Removed from catalogue"/>
  </r>
  <r>
    <x v="45"/>
    <s v="EP powers and EU policies"/>
    <s v="030741-EP"/>
    <s v="Course template"/>
    <s v="Yes"/>
    <n v="31"/>
    <d v="2026-11-16T09:00:00"/>
    <d v="2026-11-16T17:00:00"/>
    <d v="2026-03-06T00:00:00"/>
    <x v="1"/>
    <s v="ok"/>
  </r>
  <r>
    <x v="45"/>
    <s v="Powers of Scrutiny of the European Parliament "/>
    <s v="071273-EP"/>
    <s v="Course template"/>
    <s v="Yes"/>
    <n v="6"/>
    <d v="2026-02-02T09:00:00"/>
    <d v="2025-12-09T17:00:00"/>
    <d v="2025-10-13T00:00:00"/>
    <x v="1"/>
    <s v="ok"/>
  </r>
  <r>
    <x v="45"/>
    <s v="Rule of Law as a fundamental value of the European Union"/>
    <s v="029173-EP"/>
    <s v="Course template"/>
    <s v="NO"/>
    <m/>
    <d v="2026-05-13T09:00:00"/>
    <d v="2026-05-13T17:00:00"/>
    <d v="2024-09-04T00:00:00"/>
    <x v="1"/>
    <s v="ok"/>
  </r>
  <r>
    <x v="45"/>
    <s v="Rules of Procedure"/>
    <s v="068961-EP"/>
    <s v="Course template"/>
    <s v="NO"/>
    <m/>
    <d v="2024-09-01T08:00:00"/>
    <d v="2029-09-01T08:00:00"/>
    <s v=" "/>
    <x v="0"/>
    <s v="Removed from catalogue"/>
  </r>
  <r>
    <x v="45"/>
    <s v="Rules of Procedure"/>
    <s v="031103-EP"/>
    <s v="Course template"/>
    <s v="Yes"/>
    <n v="78"/>
    <d v="2026-11-17T09:00:00"/>
    <d v="2026-11-17T17:00:00"/>
    <d v="2026-03-06T00:00:00"/>
    <x v="1"/>
    <s v="ok"/>
  </r>
  <r>
    <x v="45"/>
    <s v="Understanding the EU Budget"/>
    <s v="069223-EP"/>
    <s v="Course template"/>
    <s v="NO"/>
    <m/>
    <d v="2025-01-09T17:00:00"/>
    <d v="2029-07-26T08:00:00"/>
    <s v=" "/>
    <x v="0"/>
    <s v="Removed from catalogue"/>
  </r>
  <r>
    <x v="45"/>
    <s v="Understanding the EU Budget"/>
    <s v="058777-EP"/>
    <s v="Course template"/>
    <s v="Yes"/>
    <n v="93"/>
    <d v="2026-10-26T09:00:00"/>
    <d v="2026-10-26T17:00:00"/>
    <d v="2026-03-05T00:00:00"/>
    <x v="1"/>
    <s v="ok"/>
  </r>
  <r>
    <x v="46"/>
    <s v="DG PERS Learning Community "/>
    <s v="071851-EP"/>
    <s v="Course template"/>
    <s v="Yes"/>
    <n v="39"/>
    <d v="2025-12-01T09:25:00"/>
    <m/>
    <d v="2025-10-14T00:00:00"/>
    <x v="0"/>
    <s v="ok"/>
  </r>
  <r>
    <x v="46"/>
    <s v="EP Choir - open to staff from all Brussels’ based EU institutions"/>
    <s v="071716-EP"/>
    <s v="Course template"/>
    <s v="NO"/>
    <m/>
    <d v="2025-08-22T09:26:00"/>
    <d v="2029-07-13T09:26:00"/>
    <s v=" "/>
    <x v="0"/>
    <s v="Removed from catalogue"/>
  </r>
  <r>
    <x v="46"/>
    <s v="EP role play"/>
    <s v="068964-EP"/>
    <s v="Course template"/>
    <s v="NO"/>
    <m/>
    <d v="2024-12-02T08:00:00"/>
    <d v="2029-07-02T08:00:00"/>
    <s v=" "/>
    <x v="1"/>
    <s v="ok"/>
  </r>
  <r>
    <x v="46"/>
    <s v="EP Talks Channel"/>
    <s v="069085-EP-0007-EN-GB"/>
    <s v="Course"/>
    <m/>
    <m/>
    <s v="duration of use"/>
    <m/>
    <m/>
    <x v="1"/>
    <s v="ok"/>
  </r>
  <r>
    <x v="46"/>
    <s v="EU Policy Making HUB e-talk series  – What`s new in Better Regulation?"/>
    <s v="027384-SG POLICY"/>
    <s v="Course template"/>
    <s v="Yes"/>
    <n v="21"/>
    <d v="2024-09-24T14:30:00"/>
    <d v="2024-09-24T15:30:00"/>
    <d v="2025-07-31T00:00:00"/>
    <x v="0"/>
    <s v="Removed from catalogue"/>
  </r>
  <r>
    <x v="46"/>
    <s v="Evacuation Volunteers - Learning Path Trainings"/>
    <m/>
    <m/>
    <m/>
    <m/>
    <m/>
    <m/>
    <m/>
    <x v="1"/>
    <s v="Create tile with all 3 evacuation LPs"/>
  </r>
  <r>
    <x v="46"/>
    <s v="Evacuation Volunteers - Learning Path Trainings - Brussels"/>
    <s v="EP SAFE_000159"/>
    <s v="Learning path"/>
    <m/>
    <m/>
    <m/>
    <m/>
    <d v="2025-10-01T00:00:00"/>
    <x v="0"/>
    <s v="ok"/>
  </r>
  <r>
    <x v="46"/>
    <s v="Evacuation Volunteers - Learning Path Trainings - Luxembourg"/>
    <s v="EP SAFE_000240"/>
    <s v="Learning path"/>
    <m/>
    <m/>
    <m/>
    <m/>
    <d v="2025-09-24T00:00:00"/>
    <x v="0"/>
    <s v="ok"/>
  </r>
  <r>
    <x v="46"/>
    <s v="Evacuation Volunteers - Learning Path Trainings - Strasbourg"/>
    <s v="EP SAFE_000459"/>
    <s v="Learning path"/>
    <m/>
    <m/>
    <m/>
    <m/>
    <d v="2025-08-06T00:00:00"/>
    <x v="0"/>
    <s v="ok"/>
  </r>
  <r>
    <x v="46"/>
    <s v="External voices series: EC Response to Draghi innovation challenge"/>
    <s v="022964-SG POLICY-0151-EN-GB"/>
    <s v="Course"/>
    <m/>
    <m/>
    <d v="2026-02-12T15:00:00"/>
    <d v="2026-02-12T16:00:00"/>
    <d v="2026-02-13T00:00:00"/>
    <x v="0"/>
    <s v="Not EP course"/>
  </r>
  <r>
    <x v="46"/>
    <s v="Getting Started with Digital Facilitation in Howspace"/>
    <s v="070324-EP"/>
    <s v="Course template"/>
    <s v="Yes"/>
    <n v="4"/>
    <d v="2025-12-02T14:31:00"/>
    <d v="2025-12-02T16:30:00"/>
    <d v="2025-12-08T00:00:00"/>
    <x v="0"/>
    <s v="Removed from catalogue"/>
  </r>
  <r>
    <x v="46"/>
    <s v="Make your CV and cover letter stand out! face-to-face in Luxembourg"/>
    <s v="056794-LUX GEN"/>
    <s v="Course template"/>
    <s v="NO"/>
    <m/>
    <d v="2025-03-20T10:00:00"/>
    <d v="2025-03-20T12:30:00"/>
    <d v="2025-03-21T00:00:00"/>
    <x v="0"/>
    <s v="Removed from catalogue"/>
  </r>
  <r>
    <x v="46"/>
    <s v="Pre-Award User Group (Preparation, Submission &amp; Evaluation) - 23/10/2024"/>
    <m/>
    <s v="Media"/>
    <m/>
    <m/>
    <m/>
    <m/>
    <m/>
    <x v="0"/>
    <s v="Removed from catalogue"/>
  </r>
  <r>
    <x v="46"/>
    <s v="Treasure Hunt at the Museum"/>
    <s v="069230-EP"/>
    <s v="Course template"/>
    <s v="Yes"/>
    <n v="4"/>
    <d v="2025-06-24T09:30:00"/>
    <d v="2025-06-24T12:30:00"/>
    <d v="2025-06-18T00:00:00"/>
    <x v="1"/>
    <s v="ok"/>
  </r>
  <r>
    <x v="46"/>
    <s v="Workshop on hosting a Peer Learning Group"/>
    <s v="071852-EP"/>
    <s v="Course template"/>
    <s v="Yes"/>
    <n v="0"/>
    <d v="2025-11-07T10:00:00"/>
    <d v="2025-11-07T12:00:00"/>
    <d v="2025-10-13T00:00:00"/>
    <x v="0"/>
    <s v="ok"/>
  </r>
  <r>
    <x v="47"/>
    <s v="AI in Policymaking MasterClass"/>
    <s v="066080-SG POLICY"/>
    <s v="Course template"/>
    <s v="NO"/>
    <m/>
    <d v="2026-03-17T11:00:00"/>
    <d v="2026-03-17T12:00:00"/>
    <d v="2026-02-16T00:00:00"/>
    <x v="0"/>
    <s v="Not EP template"/>
  </r>
  <r>
    <x v="47"/>
    <s v="AI in policymaking MasterClass (Recorded sessions)"/>
    <s v="068960-SG POLICY"/>
    <s v="Course template"/>
    <s v="NO"/>
    <m/>
    <m/>
    <m/>
    <d v="2026-02-13T00:00:00"/>
    <x v="0"/>
    <s v="Not EP template"/>
  </r>
  <r>
    <x v="47"/>
    <s v="EU Policymaking Hub - Recorded e-talks"/>
    <s v="024273-SG POLICY"/>
    <s v="Course template"/>
    <s v="NO"/>
    <m/>
    <m/>
    <m/>
    <d v="2026-02-12T00:00:00"/>
    <x v="0"/>
    <s v="Not EP template"/>
  </r>
  <r>
    <x v="47"/>
    <s v="EU Policymaking hub e-talks"/>
    <s v="022964-SG POLICY"/>
    <s v="Course template"/>
    <s v="NO"/>
    <m/>
    <d v="2026-09-14T11:00:00"/>
    <d v="2026-09-14T12:00:00"/>
    <d v="2026-02-16T00:00:00"/>
    <x v="0"/>
    <s v="Not EP template"/>
  </r>
  <r>
    <x v="47"/>
    <s v="External voices series"/>
    <s v="074601-SG POLICY"/>
    <s v="Course template"/>
    <s v="NO"/>
    <m/>
    <m/>
    <m/>
    <s v=" "/>
    <x v="0"/>
    <s v="Not EP template"/>
  </r>
  <r>
    <x v="47"/>
    <s v="External voices series - recorded e-talks"/>
    <s v="074602-SG POLICY"/>
    <s v="Course template"/>
    <s v="NO"/>
    <m/>
    <m/>
    <m/>
    <d v="2026-02-16T00:00:00"/>
    <x v="0"/>
    <s v="Not EP template"/>
  </r>
  <r>
    <x v="47"/>
    <s v="Foresight Talks"/>
    <s v="024763-SG POLICY"/>
    <s v="Course template"/>
    <s v="Yes"/>
    <n v="36"/>
    <d v="2025-11-27T11:30:00"/>
    <d v="2025-11-27T12:30:00"/>
    <d v="2026-02-23T00:00:00"/>
    <x v="0"/>
    <s v="Not EP template"/>
  </r>
  <r>
    <x v="47"/>
    <s v="Futures Insights "/>
    <s v="024764-SG POLICY"/>
    <s v="Course template"/>
    <s v="Yes"/>
    <n v="23"/>
    <d v="2026-05-06T11:30:00"/>
    <d v="2026-05-06T12:30:00"/>
    <d v="2026-02-26T00:00:00"/>
    <x v="0"/>
    <s v="Not EP template"/>
  </r>
  <r>
    <x v="47"/>
    <s v="High Level Competitiveness Talk Series (Recordings)"/>
    <s v="070841-SG POLICY"/>
    <s v="Course template"/>
    <s v="NO"/>
    <m/>
    <m/>
    <m/>
    <d v="2026-02-12T00:00:00"/>
    <x v="0"/>
    <s v="Not EP template"/>
  </r>
  <r>
    <x v="47"/>
    <s v="High-Level Competitiveness Talks "/>
    <s v="070477-SG POLICY"/>
    <s v="Course template"/>
    <s v="NO"/>
    <m/>
    <d v="2026-02-03T11:00:00"/>
    <d v="2026-02-03T12:00:00"/>
    <d v="2026-02-03T00:00:00"/>
    <x v="0"/>
    <s v="Not EP template"/>
  </r>
  <r>
    <x v="47"/>
    <s v="Innovative Policymaking - MasterClass"/>
    <s v="070994-SG POLICY"/>
    <s v="Course template"/>
    <s v="NO"/>
    <m/>
    <d v="2026-02-26T14:30:00"/>
    <d v="2026-02-26T15:30:00"/>
    <d v="2026-02-16T00:00:00"/>
    <x v="0"/>
    <s v="Not EP template"/>
  </r>
  <r>
    <x v="47"/>
    <s v="Innovative Policymaking - MasterClass (Recordings)"/>
    <s v="071296-SG POLICY"/>
    <s v="Course template"/>
    <s v="NO"/>
    <m/>
    <m/>
    <m/>
    <d v="2026-01-29T00:00:00"/>
    <x v="0"/>
    <s v="Not EP template"/>
  </r>
  <r>
    <x v="47"/>
    <s v="Political Priorities Deliveries - Recorded e-talks "/>
    <s v="071436-SG POLICY"/>
    <s v="Course template"/>
    <s v="NO"/>
    <m/>
    <m/>
    <m/>
    <d v="2026-02-14T00:00:00"/>
    <x v="0"/>
    <s v="Not EP template"/>
  </r>
  <r>
    <x v="47"/>
    <s v="Political priorities deliveries e-talk series"/>
    <s v="069831-SG POLICY"/>
    <s v="Course template"/>
    <s v="NO"/>
    <m/>
    <d v="2026-04-20T11:00:00"/>
    <d v="2026-04-20T12:00:00"/>
    <d v="2026-02-16T00:00:00"/>
    <x v="0"/>
    <s v="Not EP template"/>
  </r>
  <r>
    <x v="47"/>
    <s v="Recorded &amp;quot;Design in, with, for Policy: creativity in action&amp;quot; sessions"/>
    <s v="074703-SG POLICY"/>
    <s v="Course template"/>
    <s v="NO"/>
    <m/>
    <m/>
    <m/>
    <d v="2026-02-24T00:00:00"/>
    <x v="0"/>
    <s v="Not EP template"/>
  </r>
  <r>
    <x v="47"/>
    <s v="Recorded Foresight talks &amp; Futures insights sessions"/>
    <s v="037661-SG POLICY"/>
    <s v="Course template"/>
    <s v="NO"/>
    <m/>
    <m/>
    <m/>
    <d v="2026-02-25T00:00:00"/>
    <x v="0"/>
    <s v="Not EP template"/>
  </r>
  <r>
    <x v="47"/>
    <s v="Reimagining policy solutions through design"/>
    <s v="072840-SG POLICY"/>
    <s v="Course template"/>
    <s v="Yes"/>
    <n v="1"/>
    <d v="2026-02-13T11:30:00"/>
    <d v="2026-02-13T12:30:00"/>
    <d v="2026-02-16T00:00:00"/>
    <x v="0"/>
    <s v="Not EP template"/>
  </r>
  <r>
    <x v="48"/>
    <s v="Bid rigging"/>
    <s v="071159-COMP-0001-EN-GB"/>
    <s v="Course"/>
    <m/>
    <m/>
    <s v="duration of use"/>
    <m/>
    <d v="2025-10-15T00:00:00"/>
    <x v="0"/>
    <s v="Not EP course"/>
  </r>
  <r>
    <x v="48"/>
    <s v="Business Objects (BO) for WebContracts"/>
    <s v="063241-EP"/>
    <s v="Course template"/>
    <s v="Yes"/>
    <n v="12"/>
    <m/>
    <m/>
    <d v="2025-08-27T00:00:00"/>
    <x v="0"/>
    <s v="Removed from catalogue"/>
  </r>
  <r>
    <x v="48"/>
    <s v="eProcurement User Group pre-award (Preparation, Submission &amp; Evaluation) recording - 04/10/2023"/>
    <m/>
    <s v="Media"/>
    <m/>
    <m/>
    <m/>
    <m/>
    <m/>
    <x v="0"/>
    <s v="Removed from catalogue"/>
  </r>
  <r>
    <x v="48"/>
    <s v="Introduction to BUDGpedia (classroom)"/>
    <s v="026964-GEN"/>
    <s v="Course template"/>
    <s v="Yes"/>
    <n v="101"/>
    <d v="2024-09-18T10:00:00"/>
    <d v="2024-09-18T11:00:00"/>
    <d v="2025-10-11T00:00:00"/>
    <x v="0"/>
    <s v="Removed from catalogue"/>
  </r>
  <r>
    <x v="48"/>
    <s v="Introduction to BUDGpedia on SharePoint Online (online)"/>
    <s v="052903-GEN"/>
    <s v="Course template"/>
    <s v="Yes"/>
    <n v="39"/>
    <d v="2026-11-18T11:00:00"/>
    <d v="2025-11-20T12:00:00"/>
    <d v="2025-10-10T00:00:00"/>
    <x v="0"/>
    <s v="Not EP template"/>
  </r>
  <r>
    <x v="48"/>
    <m/>
    <m/>
    <m/>
    <m/>
    <m/>
    <m/>
    <m/>
    <m/>
    <x v="1"/>
    <s v="Create tiles with all finance courses -&gt; ask Mariana how to devide them"/>
  </r>
  <r>
    <x v="48"/>
    <s v="Introduction to public contracts - legal aspects"/>
    <s v="055040-EP"/>
    <s v="Course template"/>
    <s v="Yes"/>
    <n v="22"/>
    <d v="2026-10-14T09:30:00"/>
    <d v="2025-11-19T16:00:00"/>
    <d v="2025-10-14T00:00:00"/>
    <x v="0"/>
    <s v="ok"/>
  </r>
  <r>
    <x v="48"/>
    <s v="Procurement workshop"/>
    <s v="023444-EP"/>
    <s v="Course template"/>
    <s v="Yes"/>
    <n v="52"/>
    <d v="2024-01-25T09:00:00"/>
    <d v="2024-01-25T17:00:00"/>
    <d v="2025-10-14T00:00:00"/>
    <x v="0"/>
    <s v="Removed from catalogue"/>
  </r>
  <r>
    <x v="49"/>
    <s v="FMS flash session - Decentralisation of AO subdelegations"/>
    <s v="072100-EP"/>
    <s v="Course template"/>
    <s v="NO"/>
    <m/>
    <d v="2025-11-27T09:30:00"/>
    <d v="2025-11-27T10:30:00"/>
    <d v="2025-10-13T00:00:00"/>
    <x v="0"/>
    <s v="ok"/>
  </r>
  <r>
    <x v="49"/>
    <s v="FMS Flash session - FMS Management Reporting"/>
    <s v="071924-EP"/>
    <s v="Course template"/>
    <s v="NO"/>
    <m/>
    <d v="2025-11-13T09:30:00"/>
    <d v="2025-11-13T12:30:00"/>
    <d v="2025-10-15T00:00:00"/>
    <x v="0"/>
    <s v="ok"/>
  </r>
  <r>
    <x v="49"/>
    <s v="FMS Flash session - Introduction to the New FMS User Portal (EP Finance Academy) and SAP Companion Tool"/>
    <s v="072031-EP"/>
    <s v="Course template"/>
    <s v="Yes"/>
    <n v="9"/>
    <d v="2025-11-12T10:00:00"/>
    <d v="2025-11-12T12:00:00"/>
    <d v="2025-10-14T00:00:00"/>
    <x v="0"/>
    <s v="ok"/>
  </r>
  <r>
    <x v="49"/>
    <s v="FMS flash session - Recovery orders’ debit note signature using DISP"/>
    <s v="072102-EP"/>
    <s v="Course template"/>
    <s v="NO"/>
    <m/>
    <d v="2026-03-25T10:00:00"/>
    <d v="2025-11-20T11:30:00"/>
    <d v="2025-10-14T00:00:00"/>
    <x v="0"/>
    <s v="ok"/>
  </r>
  <r>
    <x v="49"/>
    <s v="FMS Flash Session: AirPlus Invoicing Process"/>
    <s v="071826-EP-0002-EN-GB"/>
    <s v="Course"/>
    <m/>
    <m/>
    <d v="2026-01-20T09:00:00"/>
    <d v="2026-01-20T10:30:00"/>
    <d v="2026-01-21T00:00:00"/>
    <x v="0"/>
    <s v="Removed from catalogue"/>
  </r>
  <r>
    <x v="50"/>
    <m/>
    <m/>
    <m/>
    <m/>
    <m/>
    <m/>
    <m/>
    <m/>
    <x v="1"/>
    <s v="Create one tile with &quot;Learning paths for financial roles&quot;"/>
  </r>
  <r>
    <x v="50"/>
    <s v="Accountant/Accounting officer"/>
    <s v="EP_005140"/>
    <s v="Learning path"/>
    <m/>
    <m/>
    <m/>
    <m/>
    <d v="2025-10-10T00:00:00"/>
    <x v="0"/>
    <s v="Do we showcase all financial paths and trainings?_x000a_Shouldn't we just do training offer and no specific paths?"/>
  </r>
  <r>
    <x v="50"/>
    <s v="Agent / Staff involved in the preparation of the financial statements in connection with the missions of Commissions and delegations"/>
    <s v="EP_005144"/>
    <s v="Learning path"/>
    <m/>
    <m/>
    <m/>
    <m/>
    <d v="2025-10-12T00:00:00"/>
    <x v="0"/>
    <s v="ok"/>
  </r>
  <r>
    <x v="50"/>
    <s v="Agent / Staff responsible for preparing budget estimates"/>
    <s v="EP_005143"/>
    <s v="Learning path"/>
    <m/>
    <m/>
    <m/>
    <m/>
    <d v="2025-10-14T00:00:00"/>
    <x v="0"/>
    <s v="ok"/>
  </r>
  <r>
    <x v="50"/>
    <s v="Agents / Staff involved in the asset management"/>
    <s v="EP_005145"/>
    <s v="Learning path"/>
    <m/>
    <m/>
    <m/>
    <m/>
    <d v="2025-10-15T00:00:00"/>
    <x v="0"/>
    <s v="ok"/>
  </r>
  <r>
    <x v="50"/>
    <s v="Authorising officer by (sub)delegation"/>
    <s v="EP_005119"/>
    <s v="Learning path"/>
    <m/>
    <m/>
    <m/>
    <m/>
    <d v="2025-10-10T00:00:00"/>
    <x v="0"/>
    <s v="ok"/>
  </r>
  <r>
    <x v="50"/>
    <s v="Ex-ante verifier"/>
    <s v="EP_005139"/>
    <s v="Learning path"/>
    <m/>
    <m/>
    <m/>
    <m/>
    <d v="2025-10-14T00:00:00"/>
    <x v="0"/>
    <s v="ok"/>
  </r>
  <r>
    <x v="50"/>
    <s v="Financial initiator"/>
    <s v="EP_005120"/>
    <s v="Learning path"/>
    <m/>
    <m/>
    <m/>
    <m/>
    <d v="2025-10-14T00:00:00"/>
    <x v="0"/>
    <s v="ok"/>
  </r>
  <r>
    <x v="50"/>
    <s v="Imprest administrator"/>
    <s v="EP_005141"/>
    <s v="Learning path"/>
    <m/>
    <m/>
    <m/>
    <m/>
    <d v="2025-10-14T00:00:00"/>
    <x v="0"/>
    <s v="ok"/>
  </r>
  <r>
    <x v="50"/>
    <s v="Procurement officer"/>
    <s v="EP_005142"/>
    <s v="Learning path"/>
    <m/>
    <m/>
    <m/>
    <m/>
    <d v="2025-10-14T00:00:00"/>
    <x v="0"/>
    <s v="ok"/>
  </r>
  <r>
    <x v="51"/>
    <s v="Budgetary principles/ Budgetary cycle and budget implementation"/>
    <s v="023424-EP"/>
    <s v="Course template"/>
    <s v="Yes"/>
    <n v="68"/>
    <d v="2026-06-10T09:00:00"/>
    <d v="2025-12-08T17:00:00"/>
    <d v="2025-10-15T00:00:00"/>
    <x v="1"/>
    <s v="ok"/>
  </r>
  <r>
    <x v="51"/>
    <s v="Dealing with VAT exemption in the EP"/>
    <s v="063400-EP"/>
    <s v="Course template"/>
    <s v="Yes"/>
    <n v="39"/>
    <d v="2025-10-02T09:00:00"/>
    <d v="2025-10-02T12:30:00"/>
    <d v="2025-10-13T00:00:00"/>
    <x v="1"/>
    <s v="ok"/>
  </r>
  <r>
    <x v="51"/>
    <s v="ECA - Performance audit methodology (e-learning)"/>
    <s v="000584-ECA-0003-EN-GB"/>
    <s v="Course"/>
    <m/>
    <m/>
    <s v="duration of use"/>
    <m/>
    <d v="2025-10-14T00:00:00"/>
    <x v="0"/>
    <s v="Not EP course"/>
  </r>
  <r>
    <x v="51"/>
    <s v="ePhysical Inventory"/>
    <s v="025274-DIGIT"/>
    <s v="Course template"/>
    <s v="Yes"/>
    <n v="25"/>
    <d v="2025-10-09T10:00:00"/>
    <d v="2025-10-09T12:00:00"/>
    <d v="2025-10-13T00:00:00"/>
    <x v="0"/>
    <s v="Not EP template"/>
  </r>
  <r>
    <x v="51"/>
    <s v="eProcurement for competitive procedure with negotiation"/>
    <s v="031803-DIGIT"/>
    <s v="Course template"/>
    <s v="Yes"/>
    <n v="53"/>
    <d v="2025-11-18T09:30:00"/>
    <d v="2025-03-25T13:00:00"/>
    <d v="2025-09-17T00:00:00"/>
    <x v="0"/>
    <s v="Not EP template"/>
  </r>
  <r>
    <x v="51"/>
    <s v="eProcurement for exceptional negotiated procedure and competitive procedure with negotiation without publication"/>
    <s v="031802-DIGIT"/>
    <s v="Course template"/>
    <s v="Yes"/>
    <n v="30"/>
    <d v="2026-03-13T09:30:00"/>
    <d v="2025-12-03T13:00:00"/>
    <d v="2025-10-15T00:00:00"/>
    <x v="0"/>
    <s v="Not EP template"/>
  </r>
  <r>
    <x v="51"/>
    <s v="eProcurement for negotiated procedures for middle and low value contracts"/>
    <s v="028880-DIGIT"/>
    <s v="Course template"/>
    <s v="Yes"/>
    <n v="66"/>
    <d v="2026-03-20T09:30:00"/>
    <d v="2025-12-16T13:00:00"/>
    <d v="2025-10-10T00:00:00"/>
    <x v="0"/>
    <s v="Not EP template"/>
  </r>
  <r>
    <x v="51"/>
    <s v="eProcurement for open procedure"/>
    <s v="026625-DIGIT"/>
    <s v="Course template"/>
    <s v="Yes"/>
    <n v="76"/>
    <d v="2026-03-05T09:30:00"/>
    <d v="2025-12-04T12:30:00"/>
    <d v="2025-10-14T00:00:00"/>
    <x v="0"/>
    <s v="Not EP template"/>
  </r>
  <r>
    <x v="51"/>
    <s v="eProcurement for restricted procedure and design contest"/>
    <s v="026626-DIGIT"/>
    <s v="Course template"/>
    <s v="Yes"/>
    <n v="35"/>
    <d v="2026-02-13T09:30:00"/>
    <d v="2025-12-12T13:00:00"/>
    <d v="2025-10-13T00:00:00"/>
    <x v="0"/>
    <s v="Not EP template"/>
  </r>
  <r>
    <x v="51"/>
    <s v="Financial Intensive training for newly appointed top-managers and managers"/>
    <s v="067540-EP-0001-EN-GB"/>
    <s v="Course"/>
    <m/>
    <m/>
    <d v="2025-03-19T10:30:00"/>
    <d v="2025-03-20T17:15:00"/>
    <d v="2025-03-21T00:00:00"/>
    <x v="0"/>
    <s v="Removed from catalogue"/>
  </r>
  <r>
    <x v="51"/>
    <s v="Financial Intensive training for newly appointed top-managers and managers "/>
    <s v="067540-EP"/>
    <s v="Course template"/>
    <s v="Yes"/>
    <n v="14"/>
    <d v="2026-04-21T10:30:00"/>
    <d v="2025-09-25T17:30:00"/>
    <d v="2025-10-10T00:00:00"/>
    <x v="0"/>
    <s v="ok"/>
  </r>
  <r>
    <x v="51"/>
    <s v="Financial statements"/>
    <s v="050643-EP"/>
    <s v="Course template"/>
    <s v="Yes"/>
    <n v="31"/>
    <d v="2025-10-14T09:00:00"/>
    <d v="2025-10-14T12:30:00"/>
    <d v="2025-10-07T00:00:00"/>
    <x v="0"/>
    <s v="ok"/>
  </r>
  <r>
    <x v="51"/>
    <s v="FMS for Authorising Officer"/>
    <s v="070005-EP"/>
    <s v="Course template"/>
    <s v="Yes"/>
    <n v="6"/>
    <d v="2025-11-11T14:00:00"/>
    <d v="2025-11-11T17:30:00"/>
    <d v="2025-10-13T00:00:00"/>
    <x v="0"/>
    <s v="ok"/>
  </r>
  <r>
    <x v="51"/>
    <s v="FMS for CAF agents"/>
    <s v="034180-EP"/>
    <s v="Course template"/>
    <s v="Yes"/>
    <n v="13"/>
    <d v="2026-11-30T09:00:00"/>
    <d v="2025-11-27T12:30:00"/>
    <d v="2025-10-09T00:00:00"/>
    <x v="0"/>
    <s v="ok"/>
  </r>
  <r>
    <x v="51"/>
    <s v="FMS for Financial initiating agents and ex ante verifiers"/>
    <s v="025096-EP"/>
    <s v="Course template"/>
    <s v="Yes"/>
    <n v="40"/>
    <d v="2026-11-26T09:00:00"/>
    <d v="2025-11-20T12:30:00"/>
    <d v="2025-10-10T00:00:00"/>
    <x v="0"/>
    <s v="ok"/>
  </r>
  <r>
    <x v="51"/>
    <s v="FMS for Reception agents"/>
    <s v="033160-EP"/>
    <s v="Course template"/>
    <s v="Yes"/>
    <n v="15"/>
    <d v="2026-11-26T14:00:00"/>
    <d v="2025-11-26T12:30:00"/>
    <d v="2025-10-13T00:00:00"/>
    <x v="0"/>
    <s v="ok"/>
  </r>
  <r>
    <x v="51"/>
    <s v="FMS gestion de l'inventaire et transactions spécifiques (ASI, MGT, CATAGAO) - combined course 2024"/>
    <s v="064889-EP"/>
    <s v="Course template"/>
    <s v="Yes"/>
    <n v="24"/>
    <d v="2026-04-21T09:30:00"/>
    <d v="2025-10-01T17:00:00"/>
    <d v="2025-10-15T00:00:00"/>
    <x v="0"/>
    <s v="ok"/>
  </r>
  <r>
    <x v="51"/>
    <s v="FMS Management Reporting - SAP Analytics Cloud (SAC) advanced level guidance "/>
    <s v="074745-EP"/>
    <s v="Course template"/>
    <s v="Yes"/>
    <n v="2"/>
    <d v="2026-04-21T09:30:00"/>
    <d v="2026-04-21T15:30:00"/>
    <d v="2026-03-09T00:00:00"/>
    <x v="0"/>
    <s v="ok"/>
  </r>
  <r>
    <x v="51"/>
    <s v="FMS operational reports"/>
    <s v="025102-EP"/>
    <s v="Course template"/>
    <s v="Yes"/>
    <n v="34"/>
    <d v="2026-04-16T09:00:00"/>
    <d v="2025-11-25T12:30:00"/>
    <d v="2025-10-13T00:00:00"/>
    <x v="0"/>
    <s v="ok"/>
  </r>
  <r>
    <x v="51"/>
    <s v="High value contracts"/>
    <s v="023443-EP"/>
    <s v="Course template"/>
    <s v="Yes"/>
    <n v="30"/>
    <d v="2026-06-04T09:00:00"/>
    <d v="2025-11-20T17:00:00"/>
    <d v="2025-10-14T00:00:00"/>
    <x v="0"/>
    <s v="ok"/>
  </r>
  <r>
    <x v="51"/>
    <s v="Imprest Accounts: Pay on behalf of the EP"/>
    <s v="028889-EP"/>
    <s v="Course template"/>
    <s v="Yes"/>
    <n v="27"/>
    <d v="2026-01-27T09:00:00"/>
    <d v="2025-11-11T17:30:00"/>
    <d v="2025-10-14T00:00:00"/>
    <x v="0"/>
    <s v="ok"/>
  </r>
  <r>
    <x v="51"/>
    <s v="Introduction to Public Procurement "/>
    <s v="023441-EP"/>
    <s v="Course template"/>
    <s v="Yes"/>
    <n v="50"/>
    <d v="2026-06-17T09:00:00"/>
    <d v="2025-11-12T17:00:00"/>
    <d v="2025-10-14T00:00:00"/>
    <x v="0"/>
    <s v="ok"/>
  </r>
  <r>
    <x v="51"/>
    <s v="Low and middle value contracts"/>
    <s v="023442-EP"/>
    <s v="Course template"/>
    <s v="Yes"/>
    <n v="39"/>
    <d v="2026-06-03T09:00:00"/>
    <d v="2025-11-18T17:00:00"/>
    <d v="2025-10-14T00:00:00"/>
    <x v="0"/>
    <s v="ok"/>
  </r>
  <r>
    <x v="51"/>
    <s v="PPMT – Procedure (Common provisions procurement)"/>
    <s v="026488-DIGIT"/>
    <s v="Course template"/>
    <s v="Yes"/>
    <n v="113"/>
    <d v="2026-03-12T10:00:00"/>
    <d v="2025-12-10T16:00:00"/>
    <d v="2025-10-15T00:00:00"/>
    <x v="0"/>
    <s v="Not EP template"/>
  </r>
  <r>
    <x v="51"/>
    <s v="PPMT – Request"/>
    <s v="026486-DIGIT"/>
    <s v="Course template"/>
    <s v="Yes"/>
    <n v="76"/>
    <d v="2026-06-08T14:30:00"/>
    <d v="2025-12-09T12:00:00"/>
    <d v="2025-10-10T00:00:00"/>
    <x v="0"/>
    <s v="Not EP template"/>
  </r>
  <r>
    <x v="51"/>
    <s v="Procurement Basics in practice Workshop (Online)"/>
    <s v="071439-GEN"/>
    <s v="Course template"/>
    <s v="Yes"/>
    <n v="19"/>
    <d v="2026-03-26T09:15:00"/>
    <d v="2025-10-23T17:00:00"/>
    <d v="2025-10-15T00:00:00"/>
    <x v="0"/>
    <s v="Not EP template"/>
  </r>
  <r>
    <x v="51"/>
    <s v="Procurement Contract Management Workshop (online)"/>
    <s v="052918-GEN"/>
    <s v="Course template"/>
    <s v="Yes"/>
    <n v="90"/>
    <d v="2026-06-25T09:15:00"/>
    <d v="2025-10-07T17:00:00"/>
    <d v="2025-10-14T00:00:00"/>
    <x v="0"/>
    <s v="Not EP template"/>
  </r>
  <r>
    <x v="51"/>
    <s v="Procurement Intermediate Workshop (online)"/>
    <s v="052981-GEN"/>
    <s v="Course template"/>
    <s v="Yes"/>
    <n v="85"/>
    <d v="2026-05-21T09:15:00"/>
    <d v="2025-11-25T17:00:00"/>
    <d v="2025-10-14T00:00:00"/>
    <x v="0"/>
    <s v="Not EP template"/>
  </r>
  <r>
    <x v="51"/>
    <s v="Q&amp;A MyWorkplace - ABAC Assets - SUMMA"/>
    <s v="069124-DIGIT"/>
    <s v="Course template"/>
    <s v="Yes"/>
    <n v="9"/>
    <d v="2026-03-25T14:00:00"/>
    <d v="2025-12-18T11:00:00"/>
    <d v="2025-10-15T00:00:00"/>
    <x v="0"/>
    <s v="Not EP template"/>
  </r>
  <r>
    <x v="51"/>
    <s v="Q&amp;A sessions for eProcurement pre-award (ePreparation and eSubmission)"/>
    <s v="028290-DIGIT"/>
    <s v="Course template"/>
    <s v="Yes"/>
    <n v="35"/>
    <d v="2026-03-24T10:00:00"/>
    <d v="2025-12-17T12:00:00"/>
    <d v="2025-10-14T00:00:00"/>
    <x v="0"/>
    <s v="Not EP template"/>
  </r>
  <r>
    <x v="51"/>
    <s v="Q&amp;A sessions on  contracts in the corporate eProcurement solution"/>
    <s v="060030-DIGIT"/>
    <s v="Course template"/>
    <s v="Yes"/>
    <n v="20"/>
    <d v="2026-03-17T10:00:00"/>
    <d v="2025-12-18T15:00:00"/>
    <d v="2025-10-13T00:00:00"/>
    <x v="0"/>
    <s v="Not EP template"/>
  </r>
  <r>
    <x v="51"/>
    <s v="REA online training - Hands-on training on participant validation"/>
    <s v="069088-REA"/>
    <s v="Course template"/>
    <s v="NO"/>
    <m/>
    <d v="2026-12-08T09:30:00"/>
    <d v="2026-12-08T16:00:00"/>
    <d v="2026-02-02T00:00:00"/>
    <x v="0"/>
    <s v="Not EP template"/>
  </r>
  <r>
    <x v="51"/>
    <s v="REA online training - Validation of participants: legal and financial rules"/>
    <s v="069225-REA"/>
    <s v="Course template"/>
    <s v="NO"/>
    <m/>
    <d v="2026-12-01T10:00:00"/>
    <d v="2026-12-01T12:00:00"/>
    <d v="2026-02-02T00:00:00"/>
    <x v="0"/>
    <s v="Not EP template"/>
  </r>
  <r>
    <x v="51"/>
    <s v="Risk management"/>
    <s v="070074-EP"/>
    <s v="Course template"/>
    <s v="NO"/>
    <m/>
    <d v="2025-06-18T08:00:00"/>
    <d v="2029-06-29T08:00:00"/>
    <s v=" "/>
    <x v="0"/>
    <s v="Removed from catalogue"/>
  </r>
  <r>
    <x v="51"/>
    <s v="Template for eSubmission eLearnings"/>
    <s v="025027-DIGIT"/>
    <s v="Course template"/>
    <s v="NO"/>
    <m/>
    <m/>
    <m/>
    <d v="2025-10-14T00:00:00"/>
    <x v="0"/>
    <s v="Not EP template"/>
  </r>
  <r>
    <x v="51"/>
    <s v="The Corporate eProcurement Solution: eContracting Invoice&amp;Payment solution in MyWorkplace"/>
    <s v="071019-DIGIT"/>
    <s v="Course template"/>
    <s v="Yes"/>
    <n v="18"/>
    <d v="2026-03-10T14:00:00"/>
    <d v="2025-11-13T16:00:00"/>
    <d v="2025-10-15T00:00:00"/>
    <x v="0"/>
    <s v="Not EP template"/>
  </r>
  <r>
    <x v="51"/>
    <s v="The Corporate eProcurement Solution: Introduction (Virtual Classroom)"/>
    <s v="023360-DIGIT"/>
    <s v="Course template"/>
    <s v="Yes"/>
    <n v="72"/>
    <d v="2026-03-27T09:30:00"/>
    <d v="2025-12-17T12:00:00"/>
    <d v="2025-10-15T00:00:00"/>
    <x v="0"/>
    <s v="Not EP template"/>
  </r>
  <r>
    <x v="51"/>
    <s v="The Corporate eProcurement Solution: simplified solution for contracting"/>
    <s v="070487-DIGIT"/>
    <s v="Course template"/>
    <s v="Yes"/>
    <n v="5"/>
    <d v="2026-03-17T14:00:00"/>
    <d v="2025-12-09T12:00:00"/>
    <d v="2025-10-10T00:00:00"/>
    <x v="0"/>
    <s v="Not EP template"/>
  </r>
  <r>
    <x v="51"/>
    <s v="The Early Detection and Exclusion System (EDES) for EP staff"/>
    <s v="001842-GEN-0038-EN-GB"/>
    <s v="Course"/>
    <m/>
    <m/>
    <d v="2025-09-30T14:00:00"/>
    <d v="2025-09-30T16:00:00"/>
    <d v="2025-10-13T00:00:00"/>
    <x v="0"/>
    <s v="Removed from catalogue"/>
  </r>
  <r>
    <x v="51"/>
    <s v="The Early Detection and Exclusion System (EDES): Presentation and Workshop (classroom)"/>
    <s v="001842-GEN"/>
    <s v="Course template"/>
    <s v="Yes"/>
    <n v="231"/>
    <d v="2026-06-11T09:15:00"/>
    <d v="2025-11-20T17:00:00"/>
    <d v="2025-10-15T00:00:00"/>
    <x v="0"/>
    <s v="Not EP template"/>
  </r>
  <r>
    <x v="51"/>
    <s v="The eProcurement advanced solution for contracting: preparation to signature"/>
    <s v="027025-DIGIT"/>
    <s v="Course template"/>
    <s v="Yes"/>
    <n v="44"/>
    <d v="2026-03-27T09:30:00"/>
    <d v="2025-12-19T12:00:00"/>
    <d v="2025-10-13T00:00:00"/>
    <x v="0"/>
    <s v="Not EP template"/>
  </r>
  <r>
    <x v="51"/>
    <s v="The eProcurement advanced solution for contracting: Request for specific contract - Monitoring to awarding"/>
    <s v="071976-DIGIT"/>
    <s v="Course template"/>
    <s v="Yes"/>
    <n v="1"/>
    <d v="2026-03-26T09:30:00"/>
    <d v="2025-12-18T11:30:00"/>
    <d v="2025-10-14T00:00:00"/>
    <x v="0"/>
    <s v="Not EP template"/>
  </r>
  <r>
    <x v="51"/>
    <s v="The eProcurement advanced solution for contracting: Request for specific contract - Preparation to invitation"/>
    <s v="071975-DIGIT"/>
    <s v="Course template"/>
    <s v="Yes"/>
    <n v="0"/>
    <d v="2026-03-25T09:00:00"/>
    <d v="2025-12-17T12:00:00"/>
    <d v="2025-10-15T00:00:00"/>
    <x v="0"/>
    <s v="Not EP template"/>
  </r>
  <r>
    <x v="51"/>
    <s v="The eProcurement advanced solution for contracting: Request for specific contract (preparation to awarding)"/>
    <s v="053424-DIGIT"/>
    <s v="Course template"/>
    <s v="Yes"/>
    <n v="27"/>
    <d v="2025-09-25T09:00:00"/>
    <d v="2025-09-25T12:45:00"/>
    <d v="2025-09-25T00:00:00"/>
    <x v="0"/>
    <s v="Not EP template"/>
  </r>
  <r>
    <x v="51"/>
    <s v="Very low value procurement and requests for specific contract in PPMT: preparation to awarding"/>
    <s v="026489-DIGIT"/>
    <s v="Course template"/>
    <s v="Yes"/>
    <n v="90"/>
    <d v="2026-06-09T14:00:00"/>
    <d v="2025-12-09T16:30:00"/>
    <d v="2025-10-14T00:00:00"/>
    <x v="0"/>
    <s v="Not EP template"/>
  </r>
  <r>
    <x v="51"/>
    <s v="WebContracts - Awarded contracts "/>
    <s v="049102-EP"/>
    <s v="Course template"/>
    <s v="Yes"/>
    <n v="18"/>
    <d v="2025-10-29T09:00:00"/>
    <d v="2025-10-29T12:00:00"/>
    <d v="2025-10-14T00:00:00"/>
    <x v="0"/>
    <s v="ok"/>
  </r>
  <r>
    <x v="51"/>
    <s v="WebContracts - Legal commitments and Integration with FMS"/>
    <s v="049101-EP"/>
    <s v="Course template"/>
    <s v="Yes"/>
    <n v="19"/>
    <d v="2025-11-25T09:00:00"/>
    <d v="2025-11-25T17:30:00"/>
    <d v="2025-10-13T00:00:00"/>
    <x v="0"/>
    <s v="ok"/>
  </r>
  <r>
    <x v="52"/>
    <s v="BadgeBud"/>
    <s v="066005-EP-0002-EN-GB"/>
    <s v="Course"/>
    <m/>
    <m/>
    <s v="duration of use"/>
    <m/>
    <d v="2025-10-13T00:00:00"/>
    <x v="0"/>
    <s v="ok"/>
  </r>
  <r>
    <x v="52"/>
    <s v="Financial Ethics"/>
    <s v="067441-EP-0001-EN-GB"/>
    <s v="Course"/>
    <m/>
    <m/>
    <s v="duration of use"/>
    <m/>
    <d v="2025-10-10T00:00:00"/>
    <x v="0"/>
    <s v="ok"/>
  </r>
  <r>
    <x v="52"/>
    <s v="FMS - Material creation - CATAGAO"/>
    <s v="071569-EP-0001-EN-GB"/>
    <s v="Course"/>
    <m/>
    <m/>
    <s v="duration of use"/>
    <m/>
    <d v="2025-10-14T00:00:00"/>
    <x v="0"/>
    <s v="ok"/>
  </r>
  <r>
    <x v="52"/>
    <s v="Internal control at the European Parliament"/>
    <s v="067441-EP-0002-EN-GB"/>
    <s v="Course"/>
    <m/>
    <m/>
    <s v="duration of use"/>
    <m/>
    <d v="2025-10-15T00:00:00"/>
    <x v="0"/>
    <s v="ok"/>
  </r>
  <r>
    <x v="52"/>
    <s v="Inventory Management at the European Parliament"/>
    <s v="066621-EP-0001-EN-GB"/>
    <s v="Course"/>
    <m/>
    <m/>
    <s v="duration of use"/>
    <m/>
    <d v="2025-10-13T00:00:00"/>
    <x v="0"/>
    <s v="ok"/>
  </r>
  <r>
    <x v="52"/>
    <s v="New financial rules 2024-2025 – Financial Regulation 2024 recast"/>
    <s v="070615-EP-0001-EN-GB"/>
    <s v="Course"/>
    <m/>
    <m/>
    <s v="duration of use"/>
    <m/>
    <d v="2025-10-14T00:00:00"/>
    <x v="0"/>
    <s v="ok"/>
  </r>
  <r>
    <x v="52"/>
    <s v="New financial rules 2024-2025 – Internal rules for the Implementation of the Budget and Charters / Code of professional Standards"/>
    <s v="070616-EP-0001-EN-GB"/>
    <s v="Course"/>
    <m/>
    <m/>
    <s v="duration of use"/>
    <m/>
    <d v="2025-10-13T00:00:00"/>
    <x v="0"/>
    <s v="ok"/>
  </r>
  <r>
    <x v="52"/>
    <s v="Ordres de recouvrement"/>
    <s v="069477-EP-0001-FR-FR"/>
    <s v="Course"/>
    <m/>
    <m/>
    <s v="duration of use"/>
    <m/>
    <d v="2025-10-12T00:00:00"/>
    <x v="0"/>
    <s v="ok"/>
  </r>
  <r>
    <x v="52"/>
    <s v="Procurement"/>
    <s v="069226-EP-0001-EN-GB"/>
    <s v="Course"/>
    <m/>
    <m/>
    <s v="duration of use"/>
    <m/>
    <d v="2025-10-14T00:00:00"/>
    <x v="0"/>
    <s v="ok"/>
  </r>
  <r>
    <x v="52"/>
    <s v="The role of a CAF agent"/>
    <s v="070805-EP-0001-EN-GB"/>
    <s v="Course"/>
    <m/>
    <m/>
    <s v="duration of use"/>
    <m/>
    <d v="2025-10-14T00:00:00"/>
    <x v="0"/>
    <s v="ok"/>
  </r>
  <r>
    <x v="52"/>
    <s v="Value Added Tax (VAT) Exemption in the EP – Basic principles"/>
    <s v="069076-EP-0001-EN-GB"/>
    <s v="Course"/>
    <m/>
    <m/>
    <s v="duration of use"/>
    <m/>
    <d v="2025-10-13T00:00:00"/>
    <x v="0"/>
    <s v="ok"/>
  </r>
  <r>
    <x v="53"/>
    <s v="goFluent"/>
    <m/>
    <m/>
    <m/>
    <m/>
    <m/>
    <m/>
    <m/>
    <x v="1"/>
    <s v="Link with other language courses: our catlogue folder and this one: https://eulearn.europa.eu/ilp/pages/catalogsearch.jsf?catalogId=74789980"/>
  </r>
  <r>
    <x v="54"/>
    <s v="Jean Monnet Academy - Our House"/>
    <s v="028258-EP"/>
    <s v="Course template"/>
    <s v="Yes"/>
    <n v="41"/>
    <d v="2026-11-30T12:30:00"/>
    <d v="2025-12-10T14:00:00"/>
    <d v="2025-10-15T00:00:00"/>
    <x v="1"/>
    <s v="ok"/>
  </r>
  <r>
    <x v="54"/>
    <s v="Jean Monnet Academy - seminar for 20+ officials"/>
    <s v="038600-EP"/>
    <s v="Course template"/>
    <s v="Yes"/>
    <n v="17"/>
    <d v="2026-12-07T12:30:00"/>
    <d v="2025-10-15T14:00:00"/>
    <d v="2025-10-03T00:00:00"/>
    <x v="1"/>
    <s v="ok"/>
  </r>
  <r>
    <x v="54"/>
    <s v="Jean Monnet Academy - seminar for Administrators"/>
    <s v="028259-EP"/>
    <s v="Course template"/>
    <s v="Yes"/>
    <n v="9"/>
    <d v="2026-11-23T12:30:00"/>
    <d v="2025-11-26T14:00:00"/>
    <d v="2025-10-13T00:00:00"/>
    <x v="1"/>
    <s v="ok"/>
  </r>
  <r>
    <x v="54"/>
    <s v="Jean Monnet Academy - seminar for Assistants"/>
    <s v="026504-EP"/>
    <s v="Course template"/>
    <s v="Yes"/>
    <n v="20"/>
    <d v="2026-10-19T12:30:00"/>
    <d v="2025-09-10T14:00:00"/>
    <d v="2025-10-13T00:00:00"/>
    <x v="1"/>
    <s v="ok"/>
  </r>
  <r>
    <x v="54"/>
    <s v="Jean Monnet Academy - seminar for Directors"/>
    <s v="038601-EP"/>
    <s v="Course template"/>
    <s v="Yes"/>
    <n v="2"/>
    <d v="2025-01-13T12:30:00"/>
    <d v="2025-01-15T14:00:00"/>
    <d v="2025-05-22T00:00:00"/>
    <x v="1"/>
    <s v="ok"/>
  </r>
  <r>
    <x v="54"/>
    <s v="Jean Monnet Academy - seminar for Heads of Unit"/>
    <s v="028219-EP"/>
    <s v="Course template"/>
    <s v="Yes"/>
    <n v="6"/>
    <d v="2026-06-29T12:30:00"/>
    <d v="2025-03-05T14:00:00"/>
    <d v="2025-08-28T00:00:00"/>
    <x v="1"/>
    <s v="ok"/>
  </r>
  <r>
    <x v="54"/>
    <s v="Jean Monnet Academy - seminar for newly appointed Administrators "/>
    <s v="027350-EP"/>
    <s v="Course template"/>
    <s v="NO"/>
    <m/>
    <d v="2026-10-05T12:30:00"/>
    <d v="2025-11-12T14:00:00"/>
    <d v="2025-10-14T00:00:00"/>
    <x v="1"/>
    <s v="ok"/>
  </r>
  <r>
    <x v="54"/>
    <s v="Jean Monnet Academy - seminar for newly appointed Assistants"/>
    <s v="026855-EP"/>
    <s v="Course template"/>
    <s v="NO"/>
    <m/>
    <d v="2026-10-26T12:30:00"/>
    <d v="2025-09-17T14:00:00"/>
    <d v="2025-05-22T00:00:00"/>
    <x v="1"/>
    <s v="ok"/>
  </r>
  <r>
    <x v="54"/>
    <s v="Jean Monnet Academy - seminar for newly appointed Heads of Unit"/>
    <s v="027406-EP"/>
    <s v="Course template"/>
    <s v="Yes"/>
    <n v="3"/>
    <d v="2026-07-15T12:30:00"/>
    <d v="2025-05-28T14:00:00"/>
    <d v="2025-10-14T00:00:00"/>
    <x v="1"/>
    <s v="ok"/>
  </r>
  <r>
    <x v="55"/>
    <m/>
    <m/>
    <m/>
    <m/>
    <m/>
    <m/>
    <m/>
    <m/>
    <x v="1"/>
    <s v="Only link to language courses catalogue folder: https://eulearn.europa.eu/ilp/pages/catalogsearch.jsf?catalogId=34288470 and to goFluent"/>
  </r>
  <r>
    <x v="56"/>
    <s v="ARABIC Placement Test"/>
    <s v="072087-Lang-0005-EN-GB"/>
    <s v="Course"/>
    <m/>
    <m/>
    <d v="2025-10-13T08:00:00"/>
    <d v="2026-03-31T08:00:00"/>
    <m/>
    <x v="0"/>
    <s v="Not EP course"/>
  </r>
  <r>
    <x v="56"/>
    <s v="BULGARIAN Placement Test"/>
    <s v="072087-Lang-0004-EN-GB"/>
    <s v="Course"/>
    <m/>
    <m/>
    <d v="2025-10-13T08:00:00"/>
    <d v="2026-03-31T23:59:00"/>
    <m/>
    <x v="0"/>
    <s v="Not EP course"/>
  </r>
  <r>
    <x v="56"/>
    <s v="CHINESE Placement Test"/>
    <s v="072087-Lang-0008-EN-GB"/>
    <s v="Course"/>
    <m/>
    <m/>
    <d v="2025-10-13T08:00:00"/>
    <d v="2026-03-31T23:59:00"/>
    <m/>
    <x v="0"/>
    <s v="Not EP course"/>
  </r>
  <r>
    <x v="56"/>
    <s v="CROATIAN Placement Test"/>
    <s v="072087-Lang-0020-EN-GB"/>
    <s v="Course"/>
    <m/>
    <m/>
    <d v="2025-10-13T08:00:00"/>
    <d v="2026-03-31T23:59:00"/>
    <m/>
    <x v="0"/>
    <s v="Not EP course"/>
  </r>
  <r>
    <x v="56"/>
    <s v="CZECH Placement Test"/>
    <s v="072087-Lang-0015-EN-GB"/>
    <s v="Course"/>
    <m/>
    <m/>
    <d v="2025-10-13T08:00:00"/>
    <d v="2026-03-31T23:59:00"/>
    <d v="2025-10-14T00:00:00"/>
    <x v="0"/>
    <s v="Not EP course"/>
  </r>
  <r>
    <x v="56"/>
    <s v="DANISH Placement Test"/>
    <s v="072087-Lang-0013-EN-GB"/>
    <s v="Course"/>
    <m/>
    <m/>
    <d v="2025-10-13T08:00:00"/>
    <d v="2026-03-31T23:59:00"/>
    <d v="2025-10-14T00:00:00"/>
    <x v="0"/>
    <s v="Not EP course"/>
  </r>
  <r>
    <x v="56"/>
    <s v="DUTCH Placement Test"/>
    <s v="072087-Lang-0024-EN-GB"/>
    <s v="Course"/>
    <m/>
    <m/>
    <d v="2025-10-13T08:00:00"/>
    <d v="2026-03-31T23:59:00"/>
    <d v="2025-10-15T00:00:00"/>
    <x v="0"/>
    <s v="Not EP course"/>
  </r>
  <r>
    <x v="56"/>
    <s v="ENGLISH Placement test"/>
    <s v="072087-Lang-0003-EN-GB"/>
    <s v="Course"/>
    <m/>
    <m/>
    <d v="2025-10-13T08:00:00"/>
    <d v="2026-12-31T23:59:00"/>
    <d v="2026-02-03T00:00:00"/>
    <x v="0"/>
    <s v="Not EP course"/>
  </r>
  <r>
    <x v="56"/>
    <s v="ESTONIAN Placement Test"/>
    <s v="072087-Lang-0016-EN-GB"/>
    <s v="Course"/>
    <m/>
    <m/>
    <d v="2025-10-13T08:00:00"/>
    <d v="2026-03-31T23:59:00"/>
    <m/>
    <x v="0"/>
    <s v="Not EP course"/>
  </r>
  <r>
    <x v="56"/>
    <s v="FINNISH Placement Test"/>
    <s v="072087-Lang-0017-EN-GB"/>
    <s v="Course"/>
    <m/>
    <m/>
    <d v="2025-10-13T08:00:00"/>
    <d v="2026-03-31T23:59:00"/>
    <d v="2025-10-14T00:00:00"/>
    <x v="0"/>
    <s v="Not EP course"/>
  </r>
  <r>
    <x v="56"/>
    <s v="FRENCH Placement Test"/>
    <s v="072087-Lang-0012-EN-GB"/>
    <s v="Course"/>
    <m/>
    <m/>
    <d v="2025-10-13T08:00:00"/>
    <d v="2026-03-31T23:59:00"/>
    <d v="2025-10-15T00:00:00"/>
    <x v="0"/>
    <s v="Not EP course"/>
  </r>
  <r>
    <x v="56"/>
    <s v="GERMAN Placement test"/>
    <s v="072087-Lang-0002-EN-GB"/>
    <s v="Course"/>
    <m/>
    <m/>
    <d v="2025-10-13T08:00:00"/>
    <d v="2026-12-31T23:59:00"/>
    <d v="2026-02-03T00:00:00"/>
    <x v="0"/>
    <s v="Not EP course"/>
  </r>
  <r>
    <x v="56"/>
    <s v="GREEK Placement Test"/>
    <s v="072087-Lang-0014-EN-GB"/>
    <s v="Course"/>
    <m/>
    <m/>
    <d v="2025-10-13T08:00:00"/>
    <d v="2026-03-31T23:59:00"/>
    <d v="2025-10-14T00:00:00"/>
    <x v="0"/>
    <s v="Not EP course"/>
  </r>
  <r>
    <x v="56"/>
    <s v="HUNGARIAN Placement Test"/>
    <s v="072087-Lang-0021-EN-GB"/>
    <s v="Course"/>
    <m/>
    <m/>
    <d v="2025-10-13T08:00:00"/>
    <d v="2026-03-31T23:59:00"/>
    <m/>
    <x v="0"/>
    <s v="Not EP course"/>
  </r>
  <r>
    <x v="56"/>
    <s v="IRISH Placement Test"/>
    <s v="072087-Lang-0018-EN-GB"/>
    <s v="Course"/>
    <m/>
    <m/>
    <d v="2025-10-13T08:00:00"/>
    <d v="2026-03-31T23:59:00"/>
    <m/>
    <x v="0"/>
    <s v="Not EP course"/>
  </r>
  <r>
    <x v="56"/>
    <s v="ITALIAN Placement Test"/>
    <s v="072087-Lang-0011-EN-GB"/>
    <s v="Course"/>
    <m/>
    <m/>
    <d v="2025-10-13T08:00:00"/>
    <d v="2026-12-31T23:59:00"/>
    <d v="2026-02-03T00:00:00"/>
    <x v="0"/>
    <s v="Not EP course"/>
  </r>
  <r>
    <x v="56"/>
    <s v="LATVIAN Placement Test"/>
    <s v="072087-Lang-0023-EN-GB"/>
    <s v="Course"/>
    <m/>
    <m/>
    <d v="2025-10-13T08:00:00"/>
    <d v="2026-03-31T23:59:00"/>
    <d v="2025-10-14T00:00:00"/>
    <x v="0"/>
    <s v="Not EP course"/>
  </r>
  <r>
    <x v="56"/>
    <s v="LITHUANIAN Placement Test"/>
    <s v="072087-Lang-0022-EN-GB"/>
    <s v="Course"/>
    <m/>
    <m/>
    <d v="2025-10-13T08:00:00"/>
    <d v="2026-03-31T23:59:00"/>
    <m/>
    <x v="0"/>
    <s v="Not EP course"/>
  </r>
  <r>
    <x v="56"/>
    <s v="MALTESE Placement Test"/>
    <s v="072087-Lang-0025-EN-GB"/>
    <s v="Course"/>
    <m/>
    <m/>
    <d v="2025-10-13T08:00:00"/>
    <d v="2026-03-31T23:59:00"/>
    <m/>
    <x v="0"/>
    <s v="Not EP course"/>
  </r>
  <r>
    <x v="56"/>
    <s v="POLISH Placement Test"/>
    <s v="072087-Lang-0026-EN-GB"/>
    <s v="Course"/>
    <m/>
    <m/>
    <d v="2025-10-13T08:00:00"/>
    <d v="2026-03-31T23:59:00"/>
    <d v="2025-10-14T00:00:00"/>
    <x v="0"/>
    <s v="Not EP course"/>
  </r>
  <r>
    <x v="56"/>
    <s v="PORTUGUESE Placement Test"/>
    <s v="072087-Lang-0027-EN-GB"/>
    <s v="Course"/>
    <m/>
    <m/>
    <d v="2025-10-13T08:00:00"/>
    <d v="2026-03-31T23:59:00"/>
    <d v="2025-10-15T00:00:00"/>
    <x v="0"/>
    <s v="Not EP course"/>
  </r>
  <r>
    <x v="56"/>
    <s v="ROMANIAN Placement Test"/>
    <s v="072087-Lang-0028-EN-GB"/>
    <s v="Course"/>
    <m/>
    <m/>
    <d v="2025-10-13T08:00:00"/>
    <d v="2026-03-31T23:59:00"/>
    <m/>
    <x v="0"/>
    <s v="Not EP course"/>
  </r>
  <r>
    <x v="56"/>
    <s v="RUSSIAN Placement Test"/>
    <s v="072087-Lang-0006-EN-GB"/>
    <s v="Course"/>
    <m/>
    <m/>
    <d v="2025-10-13T08:00:00"/>
    <d v="2026-03-31T23:59:00"/>
    <d v="2025-10-14T00:00:00"/>
    <x v="0"/>
    <s v="Not EP course"/>
  </r>
  <r>
    <x v="56"/>
    <s v="SLOVAK Placement Test"/>
    <s v="072087-Lang-0030-EN-GB"/>
    <s v="Course"/>
    <m/>
    <m/>
    <d v="2025-10-13T08:00:00"/>
    <d v="2026-03-31T23:59:00"/>
    <d v="2025-10-15T00:00:00"/>
    <x v="0"/>
    <s v="Not EP course"/>
  </r>
  <r>
    <x v="56"/>
    <s v="SLOVENIAN Placement Test"/>
    <s v="072087-Lang-0029-EN-GB"/>
    <s v="Course"/>
    <m/>
    <m/>
    <d v="2025-10-13T08:00:00"/>
    <d v="2026-03-31T23:59:00"/>
    <m/>
    <x v="0"/>
    <s v="Not EP course"/>
  </r>
  <r>
    <x v="56"/>
    <s v="SPANISH placement test"/>
    <s v="072087-Lang-0001-EN-GB"/>
    <s v="Course"/>
    <m/>
    <m/>
    <d v="2025-10-13T08:00:00"/>
    <d v="2026-12-31T23:59:00"/>
    <d v="2026-02-03T00:00:00"/>
    <x v="0"/>
    <s v="Not EP course"/>
  </r>
  <r>
    <x v="56"/>
    <s v="SWEDISH Placement Test"/>
    <s v="072087-Lang-0031-EN-GB"/>
    <s v="Course"/>
    <m/>
    <m/>
    <d v="2025-10-13T08:00:00"/>
    <d v="2026-03-31T23:59:00"/>
    <d v="2025-10-14T00:00:00"/>
    <x v="0"/>
    <s v="Not EP course"/>
  </r>
  <r>
    <x v="56"/>
    <s v="TURKISH Placement Test"/>
    <s v="072087-Lang-0007-EN-GB"/>
    <s v="Course"/>
    <m/>
    <m/>
    <d v="2025-10-13T08:00:00"/>
    <d v="2026-03-31T23:59:00"/>
    <m/>
    <x v="0"/>
    <s v="Not EP course"/>
  </r>
  <r>
    <x v="56"/>
    <s v="UKRAINIAN Placement Test"/>
    <s v="072087-Lang-0010-EN-GB"/>
    <s v="Course"/>
    <m/>
    <m/>
    <d v="2025-10-13T08:00:00"/>
    <d v="2026-03-31T23:59:00"/>
    <d v="2025-10-14T00:00:00"/>
    <x v="0"/>
    <s v="Not EP course"/>
  </r>
  <r>
    <x v="57"/>
    <s v="ARABIC Placement Test"/>
    <s v="072087-Lang-0005-EN-GB"/>
    <s v="Course"/>
    <m/>
    <m/>
    <d v="2025-10-13T08:00:00"/>
    <d v="2026-03-31T08:00:00"/>
    <m/>
    <x v="0"/>
    <s v="Not EP course"/>
  </r>
  <r>
    <x v="57"/>
    <s v="BULGARIAN Placement Test"/>
    <s v="072087-Lang-0004-EN-GB"/>
    <s v="Course"/>
    <m/>
    <m/>
    <d v="2025-10-13T08:00:00"/>
    <d v="2026-03-31T23:59:00"/>
    <m/>
    <x v="0"/>
    <s v="Not EP course"/>
  </r>
  <r>
    <x v="57"/>
    <s v="CHINESE Placement Test"/>
    <s v="072087-Lang-0008-EN-GB"/>
    <s v="Course"/>
    <m/>
    <m/>
    <d v="2025-10-13T08:00:00"/>
    <d v="2026-03-31T23:59:00"/>
    <m/>
    <x v="0"/>
    <s v="Not EP course"/>
  </r>
  <r>
    <x v="57"/>
    <s v="CROATIAN Placement Test"/>
    <s v="072087-Lang-0020-EN-GB"/>
    <s v="Course"/>
    <m/>
    <m/>
    <d v="2025-10-13T08:00:00"/>
    <d v="2026-03-31T23:59:00"/>
    <m/>
    <x v="0"/>
    <s v="Not EP course"/>
  </r>
  <r>
    <x v="57"/>
    <s v="CZECH Placement Test"/>
    <s v="072087-Lang-0015-EN-GB"/>
    <s v="Course"/>
    <m/>
    <m/>
    <d v="2025-10-13T08:00:00"/>
    <d v="2026-03-31T23:59:00"/>
    <d v="2025-10-14T00:00:00"/>
    <x v="0"/>
    <s v="Not EP course"/>
  </r>
  <r>
    <x v="57"/>
    <s v="DANISH Placement Test"/>
    <s v="072087-Lang-0013-EN-GB"/>
    <s v="Course"/>
    <m/>
    <m/>
    <d v="2025-10-13T08:00:00"/>
    <d v="2026-03-31T23:59:00"/>
    <d v="2025-10-14T00:00:00"/>
    <x v="0"/>
    <s v="Not EP course"/>
  </r>
  <r>
    <x v="57"/>
    <s v="DUTCH Placement Test"/>
    <s v="072087-Lang-0024-EN-GB"/>
    <s v="Course"/>
    <m/>
    <m/>
    <d v="2025-10-13T08:00:00"/>
    <d v="2026-03-31T23:59:00"/>
    <d v="2025-10-15T00:00:00"/>
    <x v="0"/>
    <s v="Not EP course"/>
  </r>
  <r>
    <x v="57"/>
    <s v="ENGLISH Placement test"/>
    <s v="072087-Lang-0003-EN-GB"/>
    <s v="Course"/>
    <m/>
    <m/>
    <d v="2025-10-13T08:00:00"/>
    <d v="2026-12-31T23:59:00"/>
    <d v="2026-02-03T00:00:00"/>
    <x v="0"/>
    <s v="Not EP course"/>
  </r>
  <r>
    <x v="57"/>
    <s v="ESTONIAN Placement Test"/>
    <s v="072087-Lang-0016-EN-GB"/>
    <s v="Course"/>
    <m/>
    <m/>
    <d v="2025-10-13T08:00:00"/>
    <d v="2026-03-31T23:59:00"/>
    <m/>
    <x v="0"/>
    <s v="Not EP course"/>
  </r>
  <r>
    <x v="57"/>
    <s v="FINNISH Placement Test"/>
    <s v="072087-Lang-0017-EN-GB"/>
    <s v="Course"/>
    <m/>
    <m/>
    <d v="2025-10-13T08:00:00"/>
    <d v="2026-03-31T23:59:00"/>
    <d v="2025-10-14T00:00:00"/>
    <x v="0"/>
    <s v="Not EP course"/>
  </r>
  <r>
    <x v="57"/>
    <s v="FRENCH Placement Test"/>
    <s v="072087-Lang-0012-EN-GB"/>
    <s v="Course"/>
    <m/>
    <m/>
    <d v="2025-10-13T08:00:00"/>
    <d v="2026-03-31T23:59:00"/>
    <d v="2025-10-15T00:00:00"/>
    <x v="0"/>
    <s v="Not EP course"/>
  </r>
  <r>
    <x v="57"/>
    <s v="GERMAN Placement test"/>
    <s v="072087-Lang-0002-EN-GB"/>
    <s v="Course"/>
    <m/>
    <m/>
    <d v="2025-10-13T08:00:00"/>
    <d v="2026-12-31T23:59:00"/>
    <d v="2026-02-03T00:00:00"/>
    <x v="0"/>
    <s v="Not EP course"/>
  </r>
  <r>
    <x v="57"/>
    <s v="GREEK Placement Test"/>
    <s v="072087-Lang-0014-EN-GB"/>
    <s v="Course"/>
    <m/>
    <m/>
    <d v="2025-10-13T08:00:00"/>
    <d v="2026-03-31T23:59:00"/>
    <d v="2025-10-14T00:00:00"/>
    <x v="0"/>
    <s v="Not EP course"/>
  </r>
  <r>
    <x v="57"/>
    <s v="HUNGARIAN Placement Test"/>
    <s v="072087-Lang-0021-EN-GB"/>
    <s v="Course"/>
    <m/>
    <m/>
    <d v="2025-10-13T08:00:00"/>
    <d v="2026-03-31T23:59:00"/>
    <m/>
    <x v="0"/>
    <s v="Not EP course"/>
  </r>
  <r>
    <x v="57"/>
    <s v="IRISH Placement Test"/>
    <s v="072087-Lang-0018-EN-GB"/>
    <s v="Course"/>
    <m/>
    <m/>
    <d v="2025-10-13T08:00:00"/>
    <d v="2026-03-31T23:59:00"/>
    <m/>
    <x v="0"/>
    <s v="Not EP course"/>
  </r>
  <r>
    <x v="57"/>
    <s v="ITALIAN Placement Test"/>
    <s v="072087-Lang-0011-EN-GB"/>
    <s v="Course"/>
    <m/>
    <m/>
    <d v="2025-10-13T08:00:00"/>
    <d v="2026-12-31T23:59:00"/>
    <d v="2026-02-03T00:00:00"/>
    <x v="0"/>
    <s v="Not EP course"/>
  </r>
  <r>
    <x v="57"/>
    <s v="LATVIAN Placement Test"/>
    <s v="072087-Lang-0023-EN-GB"/>
    <s v="Course"/>
    <m/>
    <m/>
    <d v="2025-10-13T08:00:00"/>
    <d v="2026-03-31T23:59:00"/>
    <d v="2025-10-14T00:00:00"/>
    <x v="0"/>
    <s v="Not EP course"/>
  </r>
  <r>
    <x v="57"/>
    <s v="LITHUANIAN Placement Test"/>
    <s v="072087-Lang-0022-EN-GB"/>
    <s v="Course"/>
    <m/>
    <m/>
    <d v="2025-10-13T08:00:00"/>
    <d v="2026-03-31T23:59:00"/>
    <m/>
    <x v="0"/>
    <s v="Not EP course"/>
  </r>
  <r>
    <x v="57"/>
    <s v="LUXEMBOURGISH Placement Test"/>
    <s v="072087-Lang-0009-EN-GB"/>
    <s v="Course"/>
    <m/>
    <m/>
    <d v="2025-10-13T08:00:00"/>
    <d v="2026-03-31T23:59:00"/>
    <d v="2025-10-15T00:00:00"/>
    <x v="0"/>
    <s v="Not EP course"/>
  </r>
  <r>
    <x v="57"/>
    <s v="MALTESE Placement Test"/>
    <s v="072087-Lang-0025-EN-GB"/>
    <s v="Course"/>
    <m/>
    <m/>
    <d v="2025-10-13T08:00:00"/>
    <d v="2026-03-31T23:59:00"/>
    <m/>
    <x v="0"/>
    <s v="Not EP course"/>
  </r>
  <r>
    <x v="57"/>
    <s v="POLISH Placement Test"/>
    <s v="072087-Lang-0026-EN-GB"/>
    <s v="Course"/>
    <m/>
    <m/>
    <d v="2025-10-13T08:00:00"/>
    <d v="2026-03-31T23:59:00"/>
    <d v="2025-10-14T00:00:00"/>
    <x v="0"/>
    <s v="Not EP course"/>
  </r>
  <r>
    <x v="57"/>
    <s v="PORTUGUESE Placement Test"/>
    <s v="072087-Lang-0027-EN-GB"/>
    <s v="Course"/>
    <m/>
    <m/>
    <d v="2025-10-13T08:00:00"/>
    <d v="2026-03-31T23:59:00"/>
    <d v="2025-10-15T00:00:00"/>
    <x v="0"/>
    <s v="Not EP course"/>
  </r>
  <r>
    <x v="57"/>
    <s v="ROMANIAN Placement Test"/>
    <s v="072087-Lang-0028-EN-GB"/>
    <s v="Course"/>
    <m/>
    <m/>
    <d v="2025-10-13T08:00:00"/>
    <d v="2026-03-31T23:59:00"/>
    <m/>
    <x v="0"/>
    <s v="Not EP course"/>
  </r>
  <r>
    <x v="57"/>
    <s v="RUSSIAN Placement Test"/>
    <s v="072087-Lang-0006-EN-GB"/>
    <s v="Course"/>
    <m/>
    <m/>
    <d v="2025-10-13T08:00:00"/>
    <d v="2026-03-31T23:59:00"/>
    <d v="2025-10-14T00:00:00"/>
    <x v="0"/>
    <s v="Not EP course"/>
  </r>
  <r>
    <x v="57"/>
    <s v="SLOVAK Placement Test"/>
    <s v="072087-Lang-0030-EN-GB"/>
    <s v="Course"/>
    <m/>
    <m/>
    <d v="2025-10-13T08:00:00"/>
    <d v="2026-03-31T23:59:00"/>
    <d v="2025-10-15T00:00:00"/>
    <x v="0"/>
    <s v="Not EP course"/>
  </r>
  <r>
    <x v="57"/>
    <s v="SLOVENIAN Placement Test"/>
    <s v="072087-Lang-0029-EN-GB"/>
    <s v="Course"/>
    <m/>
    <m/>
    <d v="2025-10-13T08:00:00"/>
    <d v="2026-03-31T23:59:00"/>
    <m/>
    <x v="0"/>
    <s v="Not EP course"/>
  </r>
  <r>
    <x v="57"/>
    <s v="SPANISH placement test"/>
    <s v="072087-Lang-0001-EN-GB"/>
    <s v="Course"/>
    <m/>
    <m/>
    <d v="2025-10-13T08:00:00"/>
    <d v="2026-12-31T23:59:00"/>
    <d v="2026-02-03T00:00:00"/>
    <x v="0"/>
    <s v="Not EP course"/>
  </r>
  <r>
    <x v="57"/>
    <s v="SWEDISH Placement Test"/>
    <s v="072087-Lang-0031-EN-GB"/>
    <s v="Course"/>
    <m/>
    <m/>
    <d v="2025-10-13T08:00:00"/>
    <d v="2026-03-31T23:59:00"/>
    <d v="2025-10-14T00:00:00"/>
    <x v="0"/>
    <s v="Not EP course"/>
  </r>
  <r>
    <x v="57"/>
    <s v="TURKISH Placement Test"/>
    <s v="072087-Lang-0007-EN-GB"/>
    <s v="Course"/>
    <m/>
    <m/>
    <d v="2025-10-13T08:00:00"/>
    <d v="2026-03-31T23:59:00"/>
    <m/>
    <x v="0"/>
    <s v="Not EP course"/>
  </r>
  <r>
    <x v="57"/>
    <s v="UKRAINIAN Placement Test"/>
    <s v="072087-Lang-0010-EN-GB"/>
    <s v="Course"/>
    <m/>
    <m/>
    <d v="2025-10-13T08:00:00"/>
    <d v="2026-03-31T23:59:00"/>
    <d v="2025-10-14T00:00:00"/>
    <x v="0"/>
    <s v="Not EP course"/>
  </r>
  <r>
    <x v="58"/>
    <m/>
    <m/>
    <m/>
    <m/>
    <m/>
    <m/>
    <m/>
    <m/>
    <x v="1"/>
    <s v="Forward link to Leadership and Management catalogue folder"/>
  </r>
  <r>
    <x v="58"/>
    <s v="Essentials of management and ethical leadership in the EP"/>
    <s v="EP_004100"/>
    <s v="Learning path"/>
    <m/>
    <m/>
    <m/>
    <m/>
    <d v="2025-10-13T00:00:00"/>
    <x v="0"/>
    <s v="ok"/>
  </r>
  <r>
    <x v="58"/>
    <s v="More courses on European School of administration (EUSA) catalogue"/>
    <s v="050082-EP-0004-EN-GB"/>
    <s v="Course"/>
    <m/>
    <m/>
    <s v="duration of use"/>
    <m/>
    <d v="2025-03-31T00:00:00"/>
    <x v="0"/>
    <s v="ok"/>
  </r>
  <r>
    <x v="59"/>
    <s v="Demystifying AI: from fundamentals to the future"/>
    <s v="062487-EP"/>
    <s v="Course template"/>
    <s v="Yes"/>
    <n v="28"/>
    <d v="2026-03-24T09:30:00"/>
    <d v="2026-01-08T17:00:00"/>
    <d v="2025-10-10T00:00:00"/>
    <x v="0"/>
    <s v="ok"/>
  </r>
  <r>
    <x v="60"/>
    <s v="Assessing What Matters: Conducting Insightful Interviews on EP Core Competencies"/>
    <s v="071070-EP"/>
    <s v="Course template"/>
    <s v="Yes"/>
    <n v="7"/>
    <d v="2026-06-10T09:00:00"/>
    <d v="2025-10-14T17:30:00"/>
    <d v="2025-10-15T00:00:00"/>
    <x v="0"/>
    <s v="Removed from catalogue"/>
  </r>
  <r>
    <x v="60"/>
    <s v="Assessing What Matters: Conducting Insightful Interviews on EP Core Competencies"/>
    <s v="071074-EP"/>
    <s v="Course template"/>
    <s v="NO"/>
    <m/>
    <d v="2026-02-13T08:00:00"/>
    <d v="2029-07-13T08:00:00"/>
    <s v=" "/>
    <x v="0"/>
    <s v="ok"/>
  </r>
  <r>
    <x v="60"/>
    <s v="Conducting Impactful Job Interviews"/>
    <s v="023473-EP"/>
    <s v="Course template"/>
    <s v="Yes"/>
    <n v="35"/>
    <d v="2024-12-12T09:00:00"/>
    <d v="2024-12-13T12:30:00"/>
    <d v="2025-09-23T00:00:00"/>
    <x v="0"/>
    <s v="Removed from catalogue"/>
  </r>
  <r>
    <x v="60"/>
    <s v="Constructive appraisal dialogues"/>
    <s v="057342-EP"/>
    <s v="Course template"/>
    <s v="Yes"/>
    <n v="1"/>
    <d v="2026-02-26T09:30:00"/>
    <d v="2026-02-26T16:30:00"/>
    <d v="2026-01-31T00:00:00"/>
    <x v="0"/>
    <s v="ok"/>
  </r>
  <r>
    <x v="60"/>
    <s v="Constructive appraisal dialogues - online"/>
    <s v="024506-EP"/>
    <s v="Course template"/>
    <s v="Yes"/>
    <n v="3"/>
    <d v="2026-02-19T09:30:00"/>
    <d v="2026-02-19T16:30:00"/>
    <d v="2026-01-27T00:00:00"/>
    <x v="0"/>
    <s v="ok"/>
  </r>
  <r>
    <x v="60"/>
    <s v="Fostering performance as a manager"/>
    <s v="071075-EP"/>
    <s v="Course template"/>
    <s v="Yes"/>
    <n v="10"/>
    <d v="2026-03-25T09:00:00"/>
    <d v="2025-11-26T12:30:00"/>
    <d v="2025-10-14T00:00:00"/>
    <x v="0"/>
    <s v="ok"/>
  </r>
  <r>
    <x v="60"/>
    <s v="How to draft staff reports and smart objectives"/>
    <s v="024528-EP"/>
    <s v="Course template"/>
    <s v="Yes"/>
    <n v="10"/>
    <d v="2026-02-03T09:00:00"/>
    <d v="2026-02-03T12:30:00"/>
    <d v="2026-02-02T00:00:00"/>
    <x v="0"/>
    <s v="ok"/>
  </r>
  <r>
    <x v="60"/>
    <s v="Inclusive leadership at the European Parliament"/>
    <s v="070515-EP"/>
    <s v="Course template"/>
    <s v="Yes"/>
    <n v="5"/>
    <d v="2026-04-21T09:30:00"/>
    <d v="2025-10-01T17:00:00"/>
    <d v="2025-09-29T00:00:00"/>
    <x v="0"/>
    <s v="ok"/>
  </r>
  <r>
    <x v="60"/>
    <s v="Increasing team collaboration: how effective communication can help"/>
    <s v="037500-EP"/>
    <s v="Course template"/>
    <s v="Yes"/>
    <n v="56"/>
    <d v="2026-05-05T09:30:00"/>
    <d v="2025-12-08T17:30:00"/>
    <d v="2025-10-06T00:00:00"/>
    <x v="0"/>
    <s v="ok"/>
  </r>
  <r>
    <x v="60"/>
    <s v="Lead your Team - FACE-TO-FACE"/>
    <s v="066042-EUSA"/>
    <s v="Course template"/>
    <s v="Yes"/>
    <n v="108"/>
    <d v="2026-07-08T09:00:00"/>
    <d v="2026-07-08T17:00:00"/>
    <d v="2025-10-15T00:00:00"/>
    <x v="0"/>
    <s v="Not EP template"/>
  </r>
  <r>
    <x v="60"/>
    <s v="Lead your Team - ONLINE"/>
    <s v="066043-EUSA"/>
    <s v="Course template"/>
    <s v="Yes"/>
    <n v="134"/>
    <d v="2026-07-13T09:00:00"/>
    <d v="2025-12-18T12:30:00"/>
    <d v="2025-10-14T00:00:00"/>
    <x v="0"/>
    <s v="Not EP template"/>
  </r>
  <r>
    <x v="60"/>
    <s v="Leading with purpose"/>
    <s v="071103-EP"/>
    <s v="Course template"/>
    <s v="NO"/>
    <m/>
    <d v="2026-02-02T14:00:00"/>
    <d v="2025-09-24T14:00:00"/>
    <d v="2025-09-24T00:00:00"/>
    <x v="0"/>
    <s v="Removed from catalogue"/>
  </r>
  <r>
    <x v="60"/>
    <s v="Managing Multigenerational Teams: Embracing Diversity for Effective Collaboration"/>
    <s v="071067-EP"/>
    <s v="Course template"/>
    <s v="Yes"/>
    <n v="9"/>
    <d v="2025-07-03T09:00:00"/>
    <d v="2025-07-03T17:00:00"/>
    <d v="2025-09-22T00:00:00"/>
    <x v="0"/>
    <s v="ok"/>
  </r>
  <r>
    <x v="60"/>
    <s v="Rules and procedures and e-Rapnot presentation"/>
    <s v="024534-EP"/>
    <s v="Course template"/>
    <s v="Yes"/>
    <n v="23"/>
    <d v="2026-01-22T09:30:00"/>
    <d v="2026-01-22T12:30:00"/>
    <d v="2026-01-25T00:00:00"/>
    <x v="0"/>
    <s v="ok"/>
  </r>
  <r>
    <x v="61"/>
    <s v="Advanced Feedback for Managers (Online &amp; F2F)"/>
    <s v="026464-EUSA"/>
    <s v="Course template"/>
    <s v="Yes"/>
    <n v="114"/>
    <d v="2024-11-26T09:00:00"/>
    <d v="2024-12-06T13:00:00"/>
    <d v="2025-10-06T00:00:00"/>
    <x v="0"/>
    <s v="Removed from catalogue"/>
  </r>
  <r>
    <x v="61"/>
    <s v="Cultivating psychological safety in your team"/>
    <s v="059740-EP"/>
    <s v="Course template"/>
    <s v="Yes"/>
    <n v="25"/>
    <d v="2026-06-04T09:00:00"/>
    <d v="2025-11-18T17:00:00"/>
    <d v="2025-10-14T00:00:00"/>
    <x v="0"/>
    <s v="ok"/>
  </r>
  <r>
    <x v="61"/>
    <s v="Faire face à des situations relationnelles complexes grâce à un management humain et de proximité"/>
    <s v="053723-EP"/>
    <s v="Course template"/>
    <s v="Yes"/>
    <n v="66"/>
    <d v="2024-04-17T09:00:00"/>
    <d v="2024-05-15T12:30:00"/>
    <d v="2025-09-15T00:00:00"/>
    <x v="0"/>
    <s v="Removed from catalogue"/>
  </r>
  <r>
    <x v="61"/>
    <s v="Fostering a positive workplace at the EP - Managing staff ethically and preventing harassment situations"/>
    <s v="053823-EP"/>
    <s v="Course template"/>
    <s v="Yes"/>
    <n v="28"/>
    <d v="2026-04-20T09:15:00"/>
    <d v="2025-12-11T17:30:00"/>
    <d v="2025-10-13T00:00:00"/>
    <x v="0"/>
    <s v="ok"/>
  </r>
  <r>
    <x v="61"/>
    <s v="Negotiate with impact: influence, resolve, win"/>
    <s v="071398-EP"/>
    <s v="Course template"/>
    <s v="Yes"/>
    <n v="4"/>
    <d v="2026-02-25T09:30:00"/>
    <d v="2025-09-16T17:30:00"/>
    <d v="2025-09-18T00:00:00"/>
    <x v="0"/>
    <s v="ok"/>
  </r>
  <r>
    <x v="62"/>
    <s v="Cultivating sustainable motivation"/>
    <s v="070180-EP"/>
    <s v="Course template"/>
    <s v="Yes"/>
    <n v="5"/>
    <d v="2025-12-01T09:30:00"/>
    <d v="2025-12-02T17:00:00"/>
    <d v="2025-10-09T00:00:00"/>
    <x v="0"/>
    <s v="ok"/>
  </r>
  <r>
    <x v="62"/>
    <s v="Incarner un leadership responsable et aligné aujourd'hui : communication, décision et intelligence collective"/>
    <s v="074764-EP"/>
    <s v="Course template"/>
    <s v="NO"/>
    <m/>
    <d v="2026-03-23T14:00:00"/>
    <d v="2026-03-25T14:00:00"/>
    <d v="2026-03-08T00:00:00"/>
    <x v="0"/>
    <s v="ok"/>
  </r>
  <r>
    <x v="62"/>
    <s v="Individual external coaching"/>
    <s v="058606-EP"/>
    <s v="Course template"/>
    <s v="Yes"/>
    <n v="18"/>
    <d v="2026-01-01T08:00:00"/>
    <d v="2025-12-31T18:00:00"/>
    <d v="2025-10-14T00:00:00"/>
    <x v="0"/>
    <s v="ok"/>
  </r>
  <r>
    <x v="62"/>
    <s v="Individual internal coaching"/>
    <s v="057000-EP"/>
    <s v="Course template"/>
    <s v="Yes"/>
    <n v="36"/>
    <d v="2026-01-05T08:00:00"/>
    <d v="2025-12-31T08:00:00"/>
    <d v="2025-10-14T00:00:00"/>
    <x v="0"/>
    <s v="ok"/>
  </r>
  <r>
    <x v="62"/>
    <s v="Leading without the title: developing your leadership influence"/>
    <s v="072349-EP"/>
    <s v="Course template"/>
    <s v="Yes"/>
    <n v="12"/>
    <d v="2025-11-17T14:00:00"/>
    <d v="2025-11-19T12:30:00"/>
    <d v="2026-01-22T00:00:00"/>
    <x v="0"/>
    <s v="ok"/>
  </r>
  <r>
    <x v="63"/>
    <s v="Info-session: HR rules and policies for new Heads of Units"/>
    <s v="071466-EP"/>
    <s v="Course template"/>
    <s v="Yes"/>
    <n v="5"/>
    <d v="2025-12-11T09:30:00"/>
    <d v="2025-09-18T17:00:00"/>
    <d v="2025-10-09T00:00:00"/>
    <x v="0"/>
    <s v="ok"/>
  </r>
  <r>
    <x v="64"/>
    <s v="APA Induction: Mandatory online course"/>
    <s v="063081-EP-0006-EN-GB"/>
    <s v="Course"/>
    <m/>
    <m/>
    <s v="duration of use"/>
    <m/>
    <d v="2025-10-14T00:00:00"/>
    <x v="1"/>
    <s v="ok"/>
  </r>
  <r>
    <x v="65"/>
    <s v="APA - Training programme"/>
    <s v="EP_003759"/>
    <s v="Learning path"/>
    <m/>
    <m/>
    <m/>
    <m/>
    <d v="2025-09-23T00:00:00"/>
    <x v="0"/>
    <s v="Removed from catalogue"/>
  </r>
  <r>
    <x v="65"/>
    <s v="APA Induction: Mandatory online course"/>
    <s v="063081-EP-0006-EN-GB"/>
    <s v="Course"/>
    <m/>
    <m/>
    <s v="duration of use"/>
    <m/>
    <d v="2025-10-14T00:00:00"/>
    <x v="0"/>
    <s v="ok - let's use the link from learn.EP main catalogue for the brochure as it works even for non-compliant APAs"/>
  </r>
  <r>
    <x v="65"/>
    <s v="Catalogue of courses for MEPs"/>
    <m/>
    <s v="Media"/>
    <m/>
    <m/>
    <m/>
    <m/>
    <m/>
    <x v="1"/>
    <s v="Include forward link to MEP training: https://epintranet.in.ep.europa.eu/files/live/sites/epintranet/files/learning/learn-mep/index.html"/>
  </r>
  <r>
    <x v="65"/>
    <s v="International trade negotiations – an overview for APAs – the process, the EP's role and the follow up"/>
    <s v="070826-EP"/>
    <s v="Course template"/>
    <s v="Yes"/>
    <n v="15"/>
    <d v="2025-05-23T10:00:00"/>
    <d v="2025-05-23T12:00:00"/>
    <d v="2025-10-14T00:00:00"/>
    <x v="0"/>
    <s v="ok"/>
  </r>
  <r>
    <x v="65"/>
    <m/>
    <m/>
    <m/>
    <m/>
    <m/>
    <m/>
    <m/>
    <m/>
    <x v="1"/>
    <s v="To check with Mariana &amp; Sue if APA courses from LP can be mentioned"/>
  </r>
  <r>
    <x v="66"/>
    <s v="3 hemicycles on Kirchberg"/>
    <s v="070008-EP-0001-EN-GB"/>
    <s v="Course"/>
    <m/>
    <m/>
    <s v="duration of use"/>
    <m/>
    <d v="2025-09-13T00:00:00"/>
    <x v="0"/>
    <s v="ok"/>
  </r>
  <r>
    <x v="66"/>
    <s v="3 hemicycles on Kirchberg: A guided tour of European Parliament history in Luxembourg"/>
    <s v="070669-EP"/>
    <s v="Course template"/>
    <s v="Yes"/>
    <n v="9"/>
    <d v="2025-06-24T15:00:00"/>
    <d v="2025-06-24T16:30:00"/>
    <d v="2025-09-08T00:00:00"/>
    <x v="0"/>
    <s v="Removed from catalogue"/>
  </r>
  <r>
    <x v="66"/>
    <s v="APA - Training programme"/>
    <s v="EP_003759"/>
    <s v="Learning path"/>
    <m/>
    <m/>
    <m/>
    <m/>
    <d v="2025-09-23T00:00:00"/>
    <x v="0"/>
    <s v="Removed from catalogue"/>
  </r>
  <r>
    <x v="66"/>
    <s v="APA Induction: Mandatory online course"/>
    <s v="063081-EP-0006-EN-GB"/>
    <m/>
    <m/>
    <m/>
    <s v="duration of use"/>
    <m/>
    <m/>
    <x v="0"/>
    <s v="ok - let's use the link from learn.EP main catalogue for the brochure as it works even for non-compliant APAs"/>
  </r>
  <r>
    <x v="37"/>
    <m/>
    <m/>
    <m/>
    <m/>
    <m/>
    <m/>
    <m/>
    <m/>
    <x v="1"/>
    <s v="Create tile with all tours (Kirchberg, Brussels, Strasbourg)"/>
  </r>
  <r>
    <x v="66"/>
    <s v="Buildings, People &amp; Power: Tour of the European Parliament in Brussels "/>
    <s v="070223-EP"/>
    <s v="Course template"/>
    <s v="Yes"/>
    <n v="18"/>
    <d v="2025-10-28T10:45:00"/>
    <d v="2025-07-01T12:30:00"/>
    <d v="2025-10-10T00:00:00"/>
    <x v="0"/>
    <s v="ok"/>
  </r>
  <r>
    <x v="66"/>
    <s v="Corridors, Chambers and Stories: Tour of the European Parliament in Brussels "/>
    <s v="070511-EP"/>
    <s v="Course template"/>
    <s v="Yes"/>
    <n v="4"/>
    <d v="2026-02-27T11:00:00"/>
    <d v="2025-11-21T12:30:00"/>
    <d v="2025-10-14T00:00:00"/>
    <x v="0"/>
    <s v="ok"/>
  </r>
  <r>
    <x v="66"/>
    <s v="European Parliament's Induction Programme"/>
    <s v="071127-EP"/>
    <s v="Course template"/>
    <s v="Yes"/>
    <n v="22"/>
    <d v="2026-02-23T08:30:00"/>
    <d v="2025-12-03T17:30:00"/>
    <d v="2025-10-15T00:00:00"/>
    <x v="1"/>
    <s v="ok"/>
  </r>
  <r>
    <x v="66"/>
    <s v="Explore the buildings of the European Parliament in Strasbourg"/>
    <s v="028361-EP"/>
    <s v="Course template"/>
    <s v="Yes"/>
    <n v="12"/>
    <d v="2026-04-27T15:00:00"/>
    <d v="2025-12-15T16:30:00"/>
    <d v="2025-10-14T00:00:00"/>
    <x v="0"/>
    <s v="why do we have so many versions of tours? If I am in STR, which tour shall I choose? I do not think we shall be putting the tours at all. It is not a learning offer."/>
  </r>
  <r>
    <x v="66"/>
    <s v="Newcomers Learning Pack"/>
    <s v="EP_002539"/>
    <s v="Learning path"/>
    <m/>
    <m/>
    <m/>
    <m/>
    <d v="2025-10-14T00:00:00"/>
    <x v="1"/>
    <s v="ok"/>
  </r>
  <r>
    <x v="66"/>
    <s v="Representation - 16 stories of women in the European Parliament"/>
    <s v="030180-EP"/>
    <s v="Course template"/>
    <s v="Yes"/>
    <n v="28"/>
    <d v="2026-06-22T14:30:00"/>
    <d v="2025-12-05T12:30:00"/>
    <d v="2025-10-10T00:00:00"/>
    <x v="1"/>
    <s v="ok"/>
  </r>
  <r>
    <x v="66"/>
    <s v="Ten things you need to know about the European Parliament"/>
    <s v="054231-EP"/>
    <s v="Course template"/>
    <s v="Yes"/>
    <n v="43"/>
    <d v="2026-04-14T13:30:00"/>
    <d v="2025-12-05T12:30:00"/>
    <d v="2025-10-14T00:00:00"/>
    <x v="1"/>
    <s v="ok"/>
  </r>
  <r>
    <x v="66"/>
    <s v="The Louise Weiss building of the European Parliament in Strasbourg"/>
    <s v="049492-EP"/>
    <s v="Course template"/>
    <s v="Yes"/>
    <n v="16"/>
    <d v="2026-04-29T12:00:00"/>
    <d v="2025-11-25T10:15:00"/>
    <d v="2025-10-15T00:00:00"/>
    <x v="0"/>
    <s v="ok"/>
  </r>
  <r>
    <x v="67"/>
    <m/>
    <m/>
    <m/>
    <m/>
    <m/>
    <m/>
    <m/>
    <m/>
    <x v="1"/>
    <s v="Link to the catalogue should be displayed below new tile on front page for competencies: https://eulearn.europa.eu/ilp/pages/catalogsearch.jsf?catalogId=90374928"/>
  </r>
  <r>
    <x v="68"/>
    <s v="Onboarding path for Human resources assistant"/>
    <s v="EP_003721"/>
    <s v="Learning path"/>
    <m/>
    <m/>
    <m/>
    <m/>
    <d v="2026-01-22T00:00:00"/>
    <x v="0"/>
    <s v="ok"/>
  </r>
  <r>
    <x v="68"/>
    <s v="Onboarding path for Secretary"/>
    <s v="EP_003720"/>
    <s v="Learning path"/>
    <m/>
    <m/>
    <m/>
    <m/>
    <d v="2026-01-30T00:00:00"/>
    <x v="0"/>
    <s v="ok"/>
  </r>
  <r>
    <x v="68"/>
    <s v="Onboarding path for Senior Clerical Officer"/>
    <s v="EP_003719"/>
    <s v="Learning path"/>
    <m/>
    <m/>
    <m/>
    <m/>
    <d v="2025-10-31T00:00:00"/>
    <x v="0"/>
    <s v="ok"/>
  </r>
  <r>
    <x v="69"/>
    <s v="Onboarding for Financial Officer"/>
    <s v="EP_003659"/>
    <s v="Learning path"/>
    <m/>
    <m/>
    <m/>
    <m/>
    <d v="2025-12-17T00:00:00"/>
    <x v="0"/>
    <s v="ok"/>
  </r>
  <r>
    <x v="69"/>
    <s v="Onboarding path for Financial Adminstrator"/>
    <s v="EP_003741"/>
    <s v="Learning path"/>
    <m/>
    <m/>
    <m/>
    <m/>
    <d v="2025-11-14T00:00:00"/>
    <x v="0"/>
    <s v="ok"/>
  </r>
  <r>
    <x v="70"/>
    <s v="Onboarding paths for ICT Applications Officer"/>
    <s v="EP_003679"/>
    <s v="Learning path"/>
    <m/>
    <m/>
    <m/>
    <m/>
    <m/>
    <x v="0"/>
    <s v="ok"/>
  </r>
  <r>
    <x v="70"/>
    <s v="Onboarding paths for ICT Engineering Specialist"/>
    <s v="EP_003699"/>
    <s v="Learning path"/>
    <m/>
    <m/>
    <m/>
    <m/>
    <m/>
    <x v="0"/>
    <s v="ok"/>
  </r>
  <r>
    <x v="71"/>
    <s v="Onboarding for Intercultural and Language Professional (Dir B)"/>
    <s v="EP_003642"/>
    <s v="Learning path"/>
    <m/>
    <m/>
    <m/>
    <m/>
    <d v="2025-08-28T00:00:00"/>
    <x v="0"/>
    <s v="ok"/>
  </r>
  <r>
    <x v="71"/>
    <s v="Onboarding for Legal Language Professionals"/>
    <s v="EP_003579"/>
    <s v="Learning path"/>
    <m/>
    <m/>
    <m/>
    <m/>
    <d v="2025-02-05T00:00:00"/>
    <x v="0"/>
    <s v="ok"/>
  </r>
  <r>
    <x v="72"/>
    <s v="Onboarding for Legislative File Manager"/>
    <s v="EP_005940"/>
    <s v="Learning path"/>
    <m/>
    <m/>
    <m/>
    <m/>
    <m/>
    <x v="0"/>
    <s v="ok"/>
  </r>
  <r>
    <x v="72"/>
    <s v="Onboarding path for Parliamentary File Manager"/>
    <s v="EP_003722"/>
    <s v="Learning path"/>
    <m/>
    <m/>
    <m/>
    <m/>
    <m/>
    <x v="0"/>
    <s v="ok"/>
  </r>
  <r>
    <x v="72"/>
    <s v="Onboarding path for Parliamentary File Secretary"/>
    <s v="EP_003723"/>
    <s v="Learning path"/>
    <m/>
    <m/>
    <m/>
    <m/>
    <m/>
    <x v="0"/>
    <s v="ok"/>
  </r>
  <r>
    <x v="73"/>
    <s v="Digital Twins and Human Modelling to Improve Workplace Ergonomics"/>
    <s v="073141-CONS-0003-EN-GB"/>
    <s v="Course"/>
    <m/>
    <m/>
    <d v="2026-02-06T11:00:00"/>
    <d v="2026-02-06T12:00:00"/>
    <d v="2026-02-03T00:00:00"/>
    <x v="0"/>
    <s v="Removed from catalogue"/>
  </r>
  <r>
    <x v="73"/>
    <s v="How to stay fit while working at your desk: ergonomic training for healthy work practices"/>
    <s v="033860-EP"/>
    <s v="Course template"/>
    <s v="Yes"/>
    <n v="33"/>
    <d v="2026-06-25T09:30:00"/>
    <d v="2025-12-10T12:30:00"/>
    <d v="2025-10-14T00:00:00"/>
    <x v="1"/>
    <s v="ok"/>
  </r>
  <r>
    <x v="73"/>
    <s v="How to stay fit while working at your desk: ergonomic training for healthy work practices"/>
    <s v="060061-EP"/>
    <s v="Course template"/>
    <s v="Yes"/>
    <n v="20"/>
    <d v="2025-06-11T09:00:00"/>
    <d v="2025-06-11T11:30:00"/>
    <d v="2025-10-14T00:00:00"/>
    <x v="0"/>
    <s v="Removed from catalogue"/>
  </r>
  <r>
    <x v="73"/>
    <s v="Listen, speak and support as a mentor "/>
    <s v="065992-EP"/>
    <s v="Course template"/>
    <s v="Yes"/>
    <n v="14"/>
    <d v="2026-11-19T09:00:00"/>
    <d v="2025-12-09T17:00:00"/>
    <d v="2025-10-14T00:00:00"/>
    <x v="0"/>
    <s v="ok"/>
  </r>
  <r>
    <x v="73"/>
    <s v="Mental Health First Aid course"/>
    <s v="070785-EP"/>
    <s v="Course template"/>
    <s v="NO"/>
    <m/>
    <d v="2025-04-23T08:00:00"/>
    <d v="2029-07-31T08:00:00"/>
    <s v=" "/>
    <x v="1"/>
    <s v="ok"/>
  </r>
  <r>
    <x v="73"/>
    <s v="Navigate your emotional intelligence"/>
    <s v="062202-EP"/>
    <s v="Course template"/>
    <s v="Yes"/>
    <n v="31"/>
    <d v="2026-12-03T09:30:00"/>
    <d v="2026-12-03T17:00:00"/>
    <d v="2026-02-03T00:00:00"/>
    <x v="1"/>
    <s v="ok"/>
  </r>
  <r>
    <x v="73"/>
    <s v="Preventing harassment "/>
    <s v="070380-EP"/>
    <s v="Course template"/>
    <s v="NO"/>
    <m/>
    <d v="2025-03-11T08:00:00"/>
    <d v="2029-07-31T08:00:00"/>
    <s v=" "/>
    <x v="1"/>
    <s v="Removed from catalogue"/>
  </r>
  <r>
    <x v="73"/>
    <s v="Resilience at Work: Boost your resilience and thrive under pressure"/>
    <s v="064285-EP"/>
    <s v="Course template"/>
    <s v="Yes"/>
    <n v="18"/>
    <d v="2026-03-02T10:00:00"/>
    <d v="2026-03-05T10:00:00"/>
    <d v="2025-10-07T00:00:00"/>
    <x v="1"/>
    <s v="ok"/>
  </r>
  <r>
    <x v="73"/>
    <s v="Resilience Masterclass"/>
    <s v="069284-EP"/>
    <s v="Course template"/>
    <s v="Yes"/>
    <n v="20"/>
    <d v="2025-04-10T12:30:00"/>
    <d v="2025-04-10T14:00:00"/>
    <d v="2025-10-14T00:00:00"/>
    <x v="0"/>
    <s v="ok"/>
  </r>
  <r>
    <x v="73"/>
    <s v="The “STREAM” programme – Resilience and Well-being at work"/>
    <s v="070837-EP-0001-EN-GB"/>
    <s v="Course"/>
    <m/>
    <m/>
    <d v="2025-10-09T12:45:00"/>
    <d v="2025-11-27T14:00:00"/>
    <d v="2025-10-09T00:00:00"/>
    <x v="0"/>
    <s v="Removed from catalogue"/>
  </r>
  <r>
    <x v="73"/>
    <s v="Your mind at work"/>
    <s v="071521-EP"/>
    <s v="Course template"/>
    <s v="NO"/>
    <m/>
    <d v="2026-01-13T09:00:00"/>
    <d v="2026-03-10T10:30:00"/>
    <d v="2026-01-12T00:00:00"/>
    <x v="0"/>
    <s v="ok - not from our unit but wellbeeing uni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3">
  <r>
    <s v="Career Development"/>
    <s v="Career Days 2026 Luxembourg in-person"/>
    <s v="072132-LUX GEN"/>
    <x v="0"/>
    <s v="NO"/>
    <m/>
    <d v="2026-06-30T09:00:00"/>
    <d v="2026-06-30T13:00:00"/>
    <d v="2026-05-21T00:00:00"/>
    <s v="0.00 EUR"/>
    <x v="0"/>
  </r>
  <r>
    <s v="Career Development"/>
    <s v="Career Walk Luxembourg"/>
    <s v="049920-LUX GEN"/>
    <x v="0"/>
    <s v="Yes"/>
    <n v="26"/>
    <d v="2025-09-23T09:00:00"/>
    <d v="2025-09-23T13:00:00"/>
    <d v="2026-05-08T00:00:00"/>
    <s v="0.00 EUR"/>
    <x v="0"/>
  </r>
  <r>
    <s v="Career Development"/>
    <s v="Entry-Level Participatory Leadership Training"/>
    <s v="059621-EP"/>
    <x v="0"/>
    <s v="Yes"/>
    <n v="48"/>
    <d v="2026-11-17T09:00:00"/>
    <d v="2026-11-19T17:00:00"/>
    <d v="2026-05-06T00:00:00"/>
    <s v="0.00 EUR"/>
    <x v="0"/>
  </r>
  <r>
    <s v="Career Development"/>
    <s v="Individual internal coaching"/>
    <s v="057000-EP"/>
    <x v="0"/>
    <s v="Yes"/>
    <n v="65"/>
    <d v="2026-01-05T08:00:00"/>
    <d v="2026-12-31T18:00:00"/>
    <d v="2026-05-21T00:00:00"/>
    <s v="0.00 EUR"/>
    <x v="0"/>
  </r>
  <r>
    <s v="Career Development"/>
    <s v="Kick-start your competition preparation"/>
    <s v="071483-EP"/>
    <x v="0"/>
    <s v="Yes"/>
    <n v="57"/>
    <d v="2026-11-25T09:30:00"/>
    <d v="2026-11-25T17:00:00"/>
    <d v="2026-05-20T00:00:00"/>
    <s v="0.00 EUR"/>
    <x v="0"/>
  </r>
  <r>
    <s v="Career Development"/>
    <s v="Module 1 - How to develop professionally"/>
    <s v="023472-EP"/>
    <x v="0"/>
    <s v="Yes"/>
    <n v="98"/>
    <d v="2026-11-11T09:30:00"/>
    <d v="2026-11-11T12:30:00"/>
    <d v="2026-05-07T00:00:00"/>
    <s v="0.00 EUR"/>
    <x v="0"/>
  </r>
  <r>
    <s v="Career Development"/>
    <s v="Module 2 - How to Develop Professionally"/>
    <s v="023474-EP"/>
    <x v="0"/>
    <s v="Yes"/>
    <n v="46"/>
    <d v="2026-11-19T09:30:00"/>
    <d v="2026-11-19T12:30:00"/>
    <d v="2026-05-20T00:00:00"/>
    <s v="0.00 EUR"/>
    <x v="0"/>
  </r>
  <r>
    <s v="Career Development"/>
    <s v="Module 3 - How to develop professionally "/>
    <s v="023475-EP"/>
    <x v="0"/>
    <s v="Yes"/>
    <n v="39"/>
    <d v="2026-11-20T09:30:00"/>
    <d v="2026-11-20T12:30:00"/>
    <d v="2026-05-20T00:00:00"/>
    <s v="0.00 EUR"/>
    <x v="0"/>
  </r>
  <r>
    <s v="Career Development"/>
    <s v="Module 4 - How to develop professionally "/>
    <s v="023476-EP"/>
    <x v="0"/>
    <s v="Yes"/>
    <n v="29"/>
    <d v="2026-12-01T09:30:00"/>
    <d v="2026-12-01T12:30:00"/>
    <d v="2026-05-21T00:00:00"/>
    <s v="0.00 EUR"/>
    <x v="0"/>
  </r>
  <r>
    <s v="Career Development"/>
    <s v="Recommended trainings to prepare mobility"/>
    <s v="EP_006780"/>
    <x v="1"/>
    <m/>
    <m/>
    <m/>
    <m/>
    <d v="2026-05-13T00:00:00"/>
    <m/>
    <x v="0"/>
  </r>
  <r>
    <s v="Career Development &gt; Project management"/>
    <s v="Introduction to Project Management Concepts"/>
    <s v="035165-EP-0001-EN-GB"/>
    <x v="2"/>
    <m/>
    <m/>
    <s v="duration of use"/>
    <m/>
    <d v="2026-05-20T00:00:00"/>
    <s v="0.00 EUR"/>
    <x v="0"/>
  </r>
  <r>
    <s v="Career Development &gt; Project management"/>
    <s v="Programme Management Essentials"/>
    <s v="074843-EP"/>
    <x v="0"/>
    <s v="NO"/>
    <m/>
    <d v="2026-02-19T08:00:00"/>
    <d v="2029-02-19T08:00:00"/>
    <s v=" "/>
    <s v="0.00 EUR"/>
    <x v="0"/>
  </r>
  <r>
    <s v="Career Development &gt; Project management"/>
    <s v="Project Management - Artefacts, Tools &amp; Techniques"/>
    <s v="074842-EP"/>
    <x v="0"/>
    <s v="NO"/>
    <m/>
    <d v="2026-02-19T08:00:00"/>
    <d v="2029-02-19T08:00:00"/>
    <s v=" "/>
    <s v="0.00 EUR"/>
    <x v="0"/>
  </r>
  <r>
    <s v="Career Development &gt; Project management"/>
    <s v="Project Management - Certification Exam"/>
    <s v="052072-EP"/>
    <x v="0"/>
    <s v="Yes"/>
    <n v="19"/>
    <d v="2026-06-02T10:15:00"/>
    <d v="2026-06-02T11:30:00"/>
    <d v="2026-05-20T00:00:00"/>
    <s v="0.00 EUR"/>
    <x v="0"/>
  </r>
  <r>
    <s v="Career Development &gt; Project management"/>
    <s v="Project Management - Driving Results for Managers"/>
    <s v="061781-EP"/>
    <x v="0"/>
    <s v="Yes"/>
    <n v="32"/>
    <m/>
    <m/>
    <d v="2026-04-08T00:00:00"/>
    <s v="0.00 EUR"/>
    <x v="0"/>
  </r>
  <r>
    <s v="Career Development &gt; Project management"/>
    <s v="Project Management - Exam Preparation"/>
    <s v="056843-EP"/>
    <x v="0"/>
    <s v="Yes"/>
    <n v="22"/>
    <d v="2026-05-21T10:30:00"/>
    <d v="2026-05-21T11:30:00"/>
    <d v="2026-05-20T00:00:00"/>
    <s v="0.00 EUR"/>
    <x v="0"/>
  </r>
  <r>
    <s v="Career Development &gt; Project management"/>
    <s v="Project Management - Methodology &amp; Guidelines"/>
    <s v="074840-EP"/>
    <x v="0"/>
    <s v="NO"/>
    <m/>
    <d v="2026-02-19T08:00:00"/>
    <d v="2029-02-28T08:00:00"/>
    <s v=" "/>
    <s v="0.00 EUR"/>
    <x v="0"/>
  </r>
  <r>
    <s v="Coaching"/>
    <s v="Individual external coaching"/>
    <s v="058606-EP"/>
    <x v="0"/>
    <s v="Yes"/>
    <n v="29"/>
    <d v="2026-01-01T08:00:00"/>
    <d v="2026-12-31T18:00:00"/>
    <d v="2026-05-20T00:00:00"/>
    <s v="0.00 EUR"/>
    <x v="1"/>
  </r>
  <r>
    <s v="Coaching"/>
    <s v="Individual internal coaching"/>
    <s v="057000-EP"/>
    <x v="0"/>
    <s v="Yes"/>
    <n v="65"/>
    <d v="2026-01-05T08:00:00"/>
    <d v="2026-12-31T18:00:00"/>
    <d v="2026-05-21T00:00:00"/>
    <s v="0.00 EUR"/>
    <x v="1"/>
  </r>
  <r>
    <s v="Collection per EP competence"/>
    <s v="EP Competency Dictionary"/>
    <m/>
    <x v="3"/>
    <m/>
    <m/>
    <m/>
    <m/>
    <m/>
    <m/>
    <x v="2"/>
  </r>
  <r>
    <s v="Collection per EP competence &gt; Job specific &gt; Financial"/>
    <s v="Ensure financial rules compliance"/>
    <s v="EP_005920"/>
    <x v="1"/>
    <m/>
    <m/>
    <m/>
    <m/>
    <d v="2026-05-20T00:00:00"/>
    <m/>
    <x v="2"/>
  </r>
  <r>
    <s v="Collection per EP competence &gt; Job specific &gt; Financial"/>
    <s v="Manage accounting"/>
    <s v="EP_006060"/>
    <x v="1"/>
    <m/>
    <m/>
    <m/>
    <m/>
    <m/>
    <m/>
    <x v="2"/>
  </r>
  <r>
    <s v="Collection per EP competence &gt; Job specific &gt; Financial"/>
    <s v="Manage budget"/>
    <s v="EP_006062"/>
    <x v="1"/>
    <m/>
    <m/>
    <m/>
    <m/>
    <d v="2026-04-18T00:00:00"/>
    <m/>
    <x v="2"/>
  </r>
  <r>
    <s v="Collection per EP competence &gt; Job specific &gt; Financial"/>
    <s v="Manage fin-tech"/>
    <s v="EP_006063"/>
    <x v="1"/>
    <m/>
    <m/>
    <m/>
    <m/>
    <d v="2026-05-20T00:00:00"/>
    <m/>
    <x v="2"/>
  </r>
  <r>
    <s v="Collection per EP competence &gt; Job specific &gt; Financial"/>
    <s v="Manage procurement"/>
    <s v="EP_006200"/>
    <x v="1"/>
    <m/>
    <m/>
    <m/>
    <m/>
    <d v="2026-05-20T00:00:00"/>
    <m/>
    <x v="2"/>
  </r>
  <r>
    <s v="Collection per EP competence &gt; Job specific &gt; Information Technology "/>
    <s v="Execute ICT governance, risk, and compliance"/>
    <s v="EP_002435"/>
    <x v="1"/>
    <m/>
    <m/>
    <m/>
    <m/>
    <d v="2026-05-06T00:00:00"/>
    <m/>
    <x v="2"/>
  </r>
  <r>
    <s v="Collection per EP competence &gt; Job specific &gt; Information Technology "/>
    <s v="Manage ICT relationship and engagement"/>
    <s v="EP_002439"/>
    <x v="1"/>
    <m/>
    <m/>
    <m/>
    <m/>
    <d v="2026-05-12T00:00:00"/>
    <m/>
    <x v="2"/>
  </r>
  <r>
    <s v="Collection per EP competence &gt; Job specific &gt; Information Technology "/>
    <s v="Manage ICT systems and networks"/>
    <s v="EP_002437"/>
    <x v="1"/>
    <m/>
    <m/>
    <m/>
    <m/>
    <d v="2025-01-31T00:00:00"/>
    <m/>
    <x v="2"/>
  </r>
  <r>
    <s v="Collection per EP competence &gt; Job specific &gt; Information Technology "/>
    <s v="Manage IT assets"/>
    <s v="EP_002428"/>
    <x v="1"/>
    <m/>
    <m/>
    <m/>
    <m/>
    <d v="2026-03-26T00:00:00"/>
    <m/>
    <x v="2"/>
  </r>
  <r>
    <s v="Collection per EP competence &gt; Job specific &gt; Information Technology "/>
    <s v="Manage cybersecurity"/>
    <s v="EP_002430"/>
    <x v="1"/>
    <m/>
    <m/>
    <m/>
    <m/>
    <d v="2026-01-30T00:00:00"/>
    <m/>
    <x v="2"/>
  </r>
  <r>
    <s v="Collection per EP competence &gt; Job specific &gt; Information Technology "/>
    <s v="Manage data"/>
    <s v="EP_002433"/>
    <x v="1"/>
    <m/>
    <m/>
    <m/>
    <m/>
    <d v="2026-04-21T00:00:00"/>
    <m/>
    <x v="2"/>
  </r>
  <r>
    <s v="Collection per EP competence &gt; Job specific &gt; Information Technology "/>
    <s v="Manage enterprise architecture"/>
    <s v="EP_002427"/>
    <x v="1"/>
    <m/>
    <m/>
    <m/>
    <m/>
    <d v="2026-02-26T00:00:00"/>
    <m/>
    <x v="2"/>
  </r>
  <r>
    <s v="Collection per EP competence &gt; Job specific &gt; Information Technology "/>
    <s v="Manage software &amp; applications"/>
    <s v="EP_002429"/>
    <x v="1"/>
    <m/>
    <m/>
    <m/>
    <m/>
    <d v="2026-04-17T00:00:00"/>
    <m/>
    <x v="2"/>
  </r>
  <r>
    <s v="Collection per EP competence &gt; Job specific &gt; Information Technology "/>
    <s v="Manage vendors"/>
    <s v="EP_002486"/>
    <x v="1"/>
    <m/>
    <m/>
    <m/>
    <m/>
    <d v="2026-03-27T00:00:00"/>
    <m/>
    <x v="2"/>
  </r>
  <r>
    <s v="Collection per EP competence &gt; Job specific &gt; Linguistic"/>
    <s v="Localise, transcreate &amp; adapt"/>
    <s v="EP_002436"/>
    <x v="1"/>
    <m/>
    <m/>
    <m/>
    <m/>
    <d v="2024-10-04T00:00:00"/>
    <m/>
    <x v="2"/>
  </r>
  <r>
    <s v="Collection per EP competence &gt; Job specific &gt; Linguistic"/>
    <s v="Manage LING-TECH"/>
    <s v="EP_002431"/>
    <x v="1"/>
    <m/>
    <m/>
    <m/>
    <m/>
    <d v="2024-08-08T00:00:00"/>
    <m/>
    <x v="2"/>
  </r>
  <r>
    <s v="Collection per EP competence &gt; Job specific &gt; Linguistic"/>
    <s v="Translate effectively"/>
    <s v="EP_002434"/>
    <x v="1"/>
    <m/>
    <m/>
    <m/>
    <m/>
    <d v="2025-11-03T00:00:00"/>
    <m/>
    <x v="2"/>
  </r>
  <r>
    <s v="Collection per EP competence &gt; Job specific &gt; Parliamentary"/>
    <s v="Assist in bi/multilateral policy negotiation"/>
    <s v="EP_006022"/>
    <x v="1"/>
    <m/>
    <m/>
    <m/>
    <m/>
    <d v="2026-05-11T00:00:00"/>
    <m/>
    <x v="2"/>
  </r>
  <r>
    <s v="Collection per EP competence &gt; Job specific &gt; Parliamentary"/>
    <s v="Communicate scientific findings to non-scientific audience"/>
    <s v="EP_006023"/>
    <x v="1"/>
    <m/>
    <m/>
    <m/>
    <m/>
    <d v="2026-05-07T00:00:00"/>
    <m/>
    <x v="2"/>
  </r>
  <r>
    <s v="Collection per EP competence &gt; Job specific &gt; Parliamentary"/>
    <s v="Manage ParlTech services"/>
    <s v="EP_006027"/>
    <x v="1"/>
    <m/>
    <m/>
    <m/>
    <m/>
    <d v="2026-05-12T00:00:00"/>
    <m/>
    <x v="2"/>
  </r>
  <r>
    <s v="Collection per EP competence &gt; Job specific &gt; Parliamentary"/>
    <s v="Manage information and knowledge ecosystem"/>
    <s v="EP_006028"/>
    <x v="1"/>
    <m/>
    <m/>
    <m/>
    <m/>
    <d v="2026-05-04T00:00:00"/>
    <m/>
    <x v="2"/>
  </r>
  <r>
    <s v="Collection per EP competence &gt; Job specific &gt; Parliamentary"/>
    <s v="Manage protocol"/>
    <s v="EP_006024"/>
    <x v="1"/>
    <m/>
    <m/>
    <m/>
    <m/>
    <d v="2026-05-12T00:00:00"/>
    <m/>
    <x v="2"/>
  </r>
  <r>
    <s v="Collection per EP competence &gt; Job specific &gt; Parliamentary"/>
    <s v="Provide legislative advisory"/>
    <s v="EP_005921"/>
    <x v="1"/>
    <m/>
    <m/>
    <m/>
    <m/>
    <d v="2026-05-12T00:00:00"/>
    <m/>
    <x v="2"/>
  </r>
  <r>
    <s v="Collection per EP competence &gt; Job specific &gt; Parliamentary"/>
    <s v="Provide policy advisory"/>
    <s v="EP_004619"/>
    <x v="1"/>
    <m/>
    <m/>
    <m/>
    <m/>
    <d v="2026-03-18T00:00:00"/>
    <m/>
    <x v="2"/>
  </r>
  <r>
    <s v="Collection per EP competence &gt; Job specific &gt; Parliamentary"/>
    <s v="Strengthen foresight capacity"/>
    <s v="EP_006025"/>
    <x v="1"/>
    <m/>
    <m/>
    <m/>
    <m/>
    <d v="2026-03-24T00:00:00"/>
    <m/>
    <x v="2"/>
  </r>
  <r>
    <s v="Collection per EP competence &gt; Job specific &gt; Parliamentary"/>
    <s v="Support parliamentary business"/>
    <s v="EP_006020"/>
    <x v="1"/>
    <m/>
    <m/>
    <m/>
    <m/>
    <d v="2026-05-04T00:00:00"/>
    <m/>
    <x v="2"/>
  </r>
  <r>
    <s v="Collection per EP competence &gt; Transversal &gt; Core"/>
    <s v="Be result-oriented"/>
    <s v="EP_004419"/>
    <x v="1"/>
    <m/>
    <m/>
    <m/>
    <m/>
    <d v="2026-04-14T00:00:00"/>
    <m/>
    <x v="2"/>
  </r>
  <r>
    <s v="Collection per EP competence &gt; Transversal &gt; Core"/>
    <s v="Demonstrate team spirit and cooperation"/>
    <s v="EP_004442"/>
    <x v="1"/>
    <m/>
    <m/>
    <m/>
    <m/>
    <d v="2026-04-20T00:00:00"/>
    <m/>
    <x v="2"/>
  </r>
  <r>
    <s v="Collection per EP competence &gt; Transversal &gt; Core"/>
    <s v="Improve continuously"/>
    <s v="EP_004399"/>
    <x v="1"/>
    <m/>
    <m/>
    <m/>
    <m/>
    <d v="2025-08-25T00:00:00"/>
    <m/>
    <x v="2"/>
  </r>
  <r>
    <s v="Collection per EP competence &gt; Transversal &gt; Core"/>
    <s v="Show flexibility"/>
    <s v="EP_004420"/>
    <x v="1"/>
    <m/>
    <m/>
    <m/>
    <m/>
    <d v="2025-08-25T00:00:00"/>
    <m/>
    <x v="2"/>
  </r>
  <r>
    <s v="Collection per EP competence &gt; Transversal &gt; Core"/>
    <s v="Show integrity"/>
    <s v="EP_004422"/>
    <x v="1"/>
    <m/>
    <m/>
    <m/>
    <m/>
    <d v="2025-08-25T00:00:00"/>
    <m/>
    <x v="2"/>
  </r>
  <r>
    <s v="Collection per EP competence &gt; Transversal &gt; Digital"/>
    <s v="Be digitally safe, savvy and social"/>
    <s v="EP_002481"/>
    <x v="1"/>
    <m/>
    <m/>
    <m/>
    <m/>
    <d v="2026-04-15T00:00:00"/>
    <m/>
    <x v="2"/>
  </r>
  <r>
    <s v="Collection per EP competence &gt; Transversal &gt; Digital"/>
    <s v="Navigate data and information"/>
    <s v="EP_002424"/>
    <x v="1"/>
    <m/>
    <m/>
    <m/>
    <m/>
    <d v="2026-02-13T00:00:00"/>
    <m/>
    <x v="2"/>
  </r>
  <r>
    <s v="Collection per EP competence &gt; Transversal &gt; Digital"/>
    <s v="Navigate digital ecosystems"/>
    <s v="EP_002426"/>
    <x v="1"/>
    <m/>
    <m/>
    <m/>
    <m/>
    <d v="2024-08-29T00:00:00"/>
    <m/>
    <x v="2"/>
  </r>
  <r>
    <s v="Collection per EP competence &gt; Transversal &gt; Digital"/>
    <s v="Work with digital content"/>
    <s v="EP_002482"/>
    <x v="1"/>
    <m/>
    <m/>
    <m/>
    <m/>
    <d v="2025-09-15T00:00:00"/>
    <m/>
    <x v="2"/>
  </r>
  <r>
    <s v="Collection per EP competence &gt; Transversal &gt; Interpersonal"/>
    <s v="Be aware of self and others"/>
    <s v="EP_004441"/>
    <x v="1"/>
    <m/>
    <m/>
    <m/>
    <m/>
    <d v="2026-03-26T00:00:00"/>
    <m/>
    <x v="2"/>
  </r>
  <r>
    <s v="Collection per EP competence &gt; Transversal &gt; Interpersonal"/>
    <s v="Communicate effectively"/>
    <s v="EP_003999"/>
    <x v="1"/>
    <m/>
    <m/>
    <m/>
    <m/>
    <d v="2026-04-27T00:00:00"/>
    <m/>
    <x v="2"/>
  </r>
  <r>
    <s v="Collection per EP competence &gt; Transversal &gt; Interpersonal"/>
    <s v="Demonstrate diplomatic sensitivity"/>
    <s v="EP_002422"/>
    <x v="1"/>
    <m/>
    <m/>
    <m/>
    <m/>
    <d v="2026-04-24T00:00:00"/>
    <m/>
    <x v="2"/>
  </r>
  <r>
    <s v="Collection per EP competence &gt; Transversal &gt; Interpersonal"/>
    <s v="Develop relationships"/>
    <s v="EP_004461"/>
    <x v="1"/>
    <m/>
    <m/>
    <m/>
    <m/>
    <d v="2026-02-03T00:00:00"/>
    <m/>
    <x v="2"/>
  </r>
  <r>
    <s v="Collection per EP competence &gt; Transversal &gt; Interpersonal"/>
    <s v="Embrace diversity, equity, inclusion and belonging (DEIB)"/>
    <s v="EP_004479"/>
    <x v="1"/>
    <m/>
    <m/>
    <m/>
    <m/>
    <d v="2026-03-13T00:00:00"/>
    <m/>
    <x v="2"/>
  </r>
  <r>
    <s v="Collection per EP competence &gt; Transversal &gt; Interpersonal"/>
    <s v="Master languages"/>
    <s v="EP_004439"/>
    <x v="1"/>
    <m/>
    <m/>
    <m/>
    <m/>
    <d v="2025-04-24T00:00:00"/>
    <m/>
    <x v="2"/>
  </r>
  <r>
    <s v="Collection per EP competence &gt; Transversal &gt; Operational"/>
    <s v="Draft impactfully"/>
    <s v="EP_004499"/>
    <x v="1"/>
    <m/>
    <m/>
    <m/>
    <m/>
    <d v="2026-04-17T00:00:00"/>
    <m/>
    <x v="2"/>
  </r>
  <r>
    <s v="Collection per EP competence &gt; Transversal &gt; Operational"/>
    <s v="Manage documents"/>
    <s v="EP_004561"/>
    <x v="1"/>
    <m/>
    <m/>
    <m/>
    <m/>
    <d v="2026-04-20T00:00:00"/>
    <m/>
    <x v="2"/>
  </r>
  <r>
    <s v="Collection per EP competence &gt; Transversal &gt; Operational"/>
    <s v="Manage events"/>
    <s v="EP_005440"/>
    <x v="1"/>
    <m/>
    <m/>
    <m/>
    <m/>
    <d v="2026-05-15T00:00:00"/>
    <m/>
    <x v="2"/>
  </r>
  <r>
    <s v="Collection per EP competence &gt; Transversal &gt; Operational"/>
    <s v="Manage financial transactions"/>
    <s v="EP_005442"/>
    <x v="1"/>
    <m/>
    <m/>
    <m/>
    <m/>
    <d v="2026-03-11T00:00:00"/>
    <m/>
    <x v="2"/>
  </r>
  <r>
    <s v="Collection per EP competence &gt; Transversal &gt; Operational"/>
    <s v="Present impactfully"/>
    <s v="EP_004560"/>
    <x v="1"/>
    <m/>
    <m/>
    <m/>
    <m/>
    <d v="2026-04-30T00:00:00"/>
    <m/>
    <x v="2"/>
  </r>
  <r>
    <s v="Collection per EP competence &gt; Transversal &gt; Systemic"/>
    <s v="Align objectives strategically"/>
    <s v="EP_002480"/>
    <x v="1"/>
    <m/>
    <m/>
    <m/>
    <m/>
    <d v="2026-03-11T00:00:00"/>
    <m/>
    <x v="2"/>
  </r>
  <r>
    <s v="Collection per EP competence &gt; Transversal &gt; Systemic"/>
    <s v="Demonstrate intrapreneurship spirit"/>
    <s v="EP_004380"/>
    <x v="1"/>
    <m/>
    <m/>
    <m/>
    <m/>
    <d v="2026-03-17T00:00:00"/>
    <m/>
    <x v="2"/>
  </r>
  <r>
    <s v="Collection per EP competence &gt; Transversal &gt; Systemic"/>
    <s v="Demonstrate political sensitivity"/>
    <s v="EP_002459"/>
    <x v="1"/>
    <m/>
    <m/>
    <m/>
    <m/>
    <d v="2026-04-21T00:00:00"/>
    <m/>
    <x v="2"/>
  </r>
  <r>
    <s v="Collection per EP competence &gt; Transversal &gt; Systemic"/>
    <s v="Manage portfolio"/>
    <s v="EP_002679"/>
    <x v="1"/>
    <m/>
    <m/>
    <m/>
    <m/>
    <d v="2026-02-04T00:00:00"/>
    <m/>
    <x v="2"/>
  </r>
  <r>
    <s v="Collection per EP competence &gt; Transversal &gt; Systemic"/>
    <s v="Manage programme"/>
    <s v="EP_002579"/>
    <x v="1"/>
    <m/>
    <m/>
    <m/>
    <m/>
    <d v="2025-11-24T00:00:00"/>
    <m/>
    <x v="2"/>
  </r>
  <r>
    <s v="Collection per EP competence &gt; Transversal &gt; Systemic"/>
    <s v="Manage project"/>
    <s v="EP_002483"/>
    <x v="1"/>
    <m/>
    <m/>
    <m/>
    <m/>
    <d v="2026-05-06T00:00:00"/>
    <m/>
    <x v="2"/>
  </r>
  <r>
    <s v="Collection per EP competence &gt; Transversal &gt; Systemic"/>
    <s v="Think critically"/>
    <s v="EP_004379"/>
    <x v="1"/>
    <m/>
    <m/>
    <m/>
    <m/>
    <d v="2026-02-13T00:00:00"/>
    <m/>
    <x v="2"/>
  </r>
  <r>
    <s v="Collection per EP competence &gt; Transversal &gt; Systemic"/>
    <s v="Work systemically"/>
    <s v="EP_004520"/>
    <x v="1"/>
    <m/>
    <m/>
    <m/>
    <m/>
    <d v="2025-07-01T00:00:00"/>
    <m/>
    <x v="2"/>
  </r>
  <r>
    <s v="Communication competencies"/>
    <s v="Back to School and Back to University"/>
    <s v="038320-EP"/>
    <x v="0"/>
    <s v="Yes"/>
    <n v="46"/>
    <d v="2026-12-01T09:00:00"/>
    <d v="2026-12-01T13:00:00"/>
    <d v="2026-05-20T00:00:00"/>
    <s v="0.00 EUR"/>
    <x v="3"/>
  </r>
  <r>
    <s v="Communication competencies"/>
    <s v="Brainstorming techniques - unleash your creativity  "/>
    <s v="074501-EP"/>
    <x v="0"/>
    <s v="Yes"/>
    <n v="10"/>
    <d v="2026-10-15T09:00:00"/>
    <d v="2026-10-15T12:30:00"/>
    <d v="2026-05-21T00:00:00"/>
    <s v="0.00 EUR"/>
    <x v="3"/>
  </r>
  <r>
    <s v="Communication competencies"/>
    <s v="Brand Guidelines for the European Parliament's Administration"/>
    <s v="069624-EP"/>
    <x v="0"/>
    <s v="NO"/>
    <m/>
    <d v="2025-01-10T08:00:00"/>
    <d v="2029-07-13T08:00:00"/>
    <d v="2026-01-30T00:00:00"/>
    <s v="0.00 EUR"/>
    <x v="3"/>
  </r>
  <r>
    <s v="Communication competencies"/>
    <s v="Clear language essentials"/>
    <s v="069175-EP"/>
    <x v="0"/>
    <s v="NO"/>
    <m/>
    <d v="2025-01-29T08:00:00"/>
    <d v="2029-07-31T08:00:00"/>
    <s v=" "/>
    <s v="0.00 EUR"/>
    <x v="3"/>
  </r>
  <r>
    <s v="Communication competencies"/>
    <s v="Clear language workshop for DG COMM’s Audiovisual Unit"/>
    <s v="076780-EP"/>
    <x v="0"/>
    <s v="Yes"/>
    <n v="0"/>
    <d v="2026-05-08T10:00:00"/>
    <d v="2026-05-08T12:30:00"/>
    <d v="2026-05-11T00:00:00"/>
    <s v="0.00 EUR"/>
    <x v="3"/>
  </r>
  <r>
    <s v="Communication competencies"/>
    <s v="Conflict resolution"/>
    <s v="023524-EP"/>
    <x v="0"/>
    <s v="Yes"/>
    <n v="86"/>
    <d v="2025-05-28T09:30:00"/>
    <d v="2025-05-28T17:30:00"/>
    <d v="2026-05-20T00:00:00"/>
    <s v="0.00 EUR"/>
    <x v="3"/>
  </r>
  <r>
    <s v="Communication competencies"/>
    <s v="Effective networking"/>
    <s v="073584-EP"/>
    <x v="0"/>
    <s v="Yes"/>
    <n v="7"/>
    <d v="2026-09-30T14:00:00"/>
    <d v="2026-09-30T17:30:00"/>
    <d v="2026-05-21T00:00:00"/>
    <s v="0.00 EUR"/>
    <x v="3"/>
  </r>
  <r>
    <s v="Communication competencies"/>
    <s v="Getting the most out of feedback"/>
    <s v="070083-EP"/>
    <x v="0"/>
    <s v="NO"/>
    <m/>
    <d v="2025-03-13T08:00:00"/>
    <d v="2029-07-31T08:00:00"/>
    <s v=" "/>
    <s v="0.00 EUR"/>
    <x v="3"/>
  </r>
  <r>
    <s v="Communication competencies"/>
    <s v="Guided tours of the European Parliament Contemporary Art Collection"/>
    <s v="062402-EP"/>
    <x v="0"/>
    <s v="Yes"/>
    <n v="20"/>
    <d v="2026-06-02T15:00:00"/>
    <d v="2026-06-02T15:45:00"/>
    <d v="2026-05-18T00:00:00"/>
    <s v="0.00 EUR"/>
    <x v="3"/>
  </r>
  <r>
    <s v="Communication competencies"/>
    <s v="How to facilitate online"/>
    <s v="070784-EP"/>
    <x v="0"/>
    <s v="Yes"/>
    <n v="4"/>
    <d v="2026-07-20T09:30:00"/>
    <d v="2026-07-20T11:30:00"/>
    <d v="2026-05-20T00:00:00"/>
    <s v="0.00 EUR"/>
    <x v="3"/>
  </r>
  <r>
    <s v="Communication competencies"/>
    <s v="How to prepare for an internal interview"/>
    <s v="076349-EP"/>
    <x v="0"/>
    <s v="NO"/>
    <m/>
    <d v="2024-07-16T08:00:00"/>
    <d v="2029-07-26T08:00:00"/>
    <s v=" "/>
    <s v="0.00 EUR"/>
    <x v="3"/>
  </r>
  <r>
    <s v="Communication competencies"/>
    <s v="Introduction to Diversity &amp; Inclusion at work"/>
    <s v="064464-EP"/>
    <x v="0"/>
    <s v="Yes"/>
    <n v="23"/>
    <d v="2026-11-09T13:30:00"/>
    <d v="2026-11-09T17:00:00"/>
    <d v="2026-05-17T00:00:00"/>
    <s v="0.00 EUR"/>
    <x v="3"/>
  </r>
  <r>
    <s v="Communication competencies"/>
    <s v="Mentoring skills - learning pack"/>
    <s v="EP_004440"/>
    <x v="1"/>
    <m/>
    <m/>
    <m/>
    <m/>
    <d v="2026-05-20T00:00:00"/>
    <m/>
    <x v="3"/>
  </r>
  <r>
    <s v="Communication competencies"/>
    <s v="My presentation skills in virtual settings/presenting with impact"/>
    <s v="070400-EP"/>
    <x v="0"/>
    <s v="NO"/>
    <m/>
    <d v="2025-03-13T08:00:00"/>
    <d v="2029-07-31T08:00:00"/>
    <s v=" "/>
    <s v="0.00 EUR"/>
    <x v="3"/>
  </r>
  <r>
    <s v="Communication competencies"/>
    <s v="PowerVisuals Basic"/>
    <s v="057440-EP"/>
    <x v="0"/>
    <s v="Yes"/>
    <n v="36"/>
    <d v="2025-11-24T09:30:00"/>
    <d v="2025-11-24T17:00:00"/>
    <d v="2026-05-20T00:00:00"/>
    <s v="0.00 EUR"/>
    <x v="3"/>
  </r>
  <r>
    <s v="Communication competencies"/>
    <s v="Protocol and etiquette"/>
    <s v="076489-EP"/>
    <x v="0"/>
    <s v="NO"/>
    <m/>
    <d v="2024-07-16T08:00:00"/>
    <d v="2029-07-26T08:00:00"/>
    <s v=" "/>
    <s v="0.00 EUR"/>
    <x v="3"/>
  </r>
  <r>
    <s v="Communication competencies"/>
    <s v="Public speaking : catching and keeping your audience attention"/>
    <s v="071661-EP"/>
    <x v="0"/>
    <s v="Yes"/>
    <n v="25"/>
    <d v="2026-11-30T14:00:00"/>
    <d v="2026-11-30T17:30:00"/>
    <d v="2026-05-21T00:00:00"/>
    <s v="0.00 EUR"/>
    <x v="3"/>
  </r>
  <r>
    <s v="Communication competencies"/>
    <s v="Tough talks - Mastering the Art of Difficult Conversations"/>
    <s v="071080-EP"/>
    <x v="0"/>
    <s v="Yes"/>
    <n v="40"/>
    <d v="2026-09-07T14:00:00"/>
    <d v="2026-09-07T18:00:00"/>
    <d v="2026-05-21T00:00:00"/>
    <s v="0.00 EUR"/>
    <x v="3"/>
  </r>
  <r>
    <s v="Communication competencies"/>
    <s v="Train the Trainer"/>
    <s v="068080-EP"/>
    <x v="0"/>
    <s v="Yes"/>
    <n v="19"/>
    <d v="2026-06-29T09:30:00"/>
    <d v="2026-06-29T17:30:00"/>
    <d v="2026-05-11T00:00:00"/>
    <s v="0.00 EUR"/>
    <x v="3"/>
  </r>
  <r>
    <s v="Communication competencies"/>
    <s v="Train the Trainer"/>
    <s v="073542-EP"/>
    <x v="0"/>
    <s v="NO"/>
    <m/>
    <d v="2026-10-29T09:00:00"/>
    <d v="2026-10-29T17:00:00"/>
    <s v=" "/>
    <s v="0.00 EUR"/>
    <x v="3"/>
  </r>
  <r>
    <s v="Communication competencies"/>
    <s v="Voice Techniques for Clear Communication"/>
    <s v="071623-EP"/>
    <x v="0"/>
    <s v="Yes"/>
    <n v="24"/>
    <d v="2026-11-18T09:00:00"/>
    <d v="2026-11-18T17:00:00"/>
    <d v="2026-05-21T00:00:00"/>
    <s v="0.00 EUR"/>
    <x v="3"/>
  </r>
  <r>
    <s v="Digital competencies &gt; Accessibility"/>
    <s v="Accessibility principles in practice: implementing WCAG and EN 301 549"/>
    <s v="074720-EP"/>
    <x v="0"/>
    <s v="Yes"/>
    <n v="13"/>
    <d v="2026-06-24T11:00:00"/>
    <d v="2026-06-24T12:00:00"/>
    <d v="2026-05-21T00:00:00"/>
    <s v="0.00 EUR"/>
    <x v="4"/>
  </r>
  <r>
    <s v="Digital competencies &gt; Accessibility"/>
    <s v="Accessible Forms in Acrobat Pro Online"/>
    <s v="070014-EP"/>
    <x v="0"/>
    <s v="Yes"/>
    <n v="8"/>
    <d v="2025-06-18T09:00:00"/>
    <d v="2025-06-18T12:30:00"/>
    <d v="2026-05-20T00:00:00"/>
    <s v="0.00 EUR"/>
    <x v="4"/>
  </r>
  <r>
    <s v="Digital competencies &gt; Accessibility"/>
    <s v="Accessible Forms in InDesign Online"/>
    <s v="070016-EP"/>
    <x v="0"/>
    <s v="Yes"/>
    <n v="5"/>
    <d v="2025-09-12T09:00:00"/>
    <d v="2025-09-12T12:30:00"/>
    <d v="2026-05-05T00:00:00"/>
    <s v="0.00 EUR"/>
    <x v="4"/>
  </r>
  <r>
    <s v="Digital competencies &gt; Accessibility"/>
    <s v="Accessible Forms in Word Online"/>
    <s v="070011-EP"/>
    <x v="0"/>
    <s v="Yes"/>
    <n v="11"/>
    <d v="2025-09-15T09:00:00"/>
    <d v="2025-09-15T12:30:00"/>
    <d v="2026-05-20T00:00:00"/>
    <s v="0.00 EUR"/>
    <x v="4"/>
  </r>
  <r>
    <s v="Digital competencies &gt; Accessibility"/>
    <s v="Accessible InDesign"/>
    <s v="054148-EP"/>
    <x v="0"/>
    <s v="Yes"/>
    <n v="31"/>
    <d v="2025-09-11T09:00:00"/>
    <d v="2025-09-11T12:30:00"/>
    <d v="2026-05-05T00:00:00"/>
    <s v="0.00 EUR"/>
    <x v="4"/>
  </r>
  <r>
    <s v="Digital competencies &gt; Accessibility"/>
    <s v="Accessible PDF (part 1)"/>
    <s v="053341-EP"/>
    <x v="0"/>
    <s v="Yes"/>
    <n v="32"/>
    <d v="2025-09-08T09:00:00"/>
    <d v="2025-09-08T12:30:00"/>
    <d v="2026-03-23T00:00:00"/>
    <s v="0.00 EUR"/>
    <x v="4"/>
  </r>
  <r>
    <s v="Digital competencies &gt; Accessibility"/>
    <s v="Accessible PDF (part 2)"/>
    <s v="054008-EP"/>
    <x v="0"/>
    <s v="Yes"/>
    <n v="15"/>
    <d v="2025-09-09T09:00:00"/>
    <d v="2025-09-09T12:30:00"/>
    <d v="2026-05-04T00:00:00"/>
    <s v="0.00 EUR"/>
    <x v="4"/>
  </r>
  <r>
    <s v="Digital competencies &gt; Accessibility"/>
    <s v="Accessible PowerPoint - online"/>
    <s v="054007-EP"/>
    <x v="0"/>
    <s v="Yes"/>
    <n v="32"/>
    <d v="2025-09-05T09:00:00"/>
    <d v="2025-09-05T12:30:00"/>
    <d v="2026-04-22T00:00:00"/>
    <s v="0.00 EUR"/>
    <x v="4"/>
  </r>
  <r>
    <s v="Digital competencies &gt; Accessibility"/>
    <s v="Accessible Word - online"/>
    <s v="053340-EP"/>
    <x v="0"/>
    <s v="Yes"/>
    <n v="46"/>
    <d v="2025-09-03T09:00:00"/>
    <d v="2025-09-03T12:30:00"/>
    <d v="2026-05-05T00:00:00"/>
    <s v="0.00 EUR"/>
    <x v="4"/>
  </r>
  <r>
    <s v="Digital competencies &gt; Accessibility"/>
    <s v="DLP: Accessible digital publications – An introduction to accessibility CURRENT"/>
    <s v="028440-OP"/>
    <x v="0"/>
    <s v="Yes"/>
    <n v="107"/>
    <d v="2026-06-12T10:00:00"/>
    <d v="2026-06-12T11:30:00"/>
    <d v="2026-05-20T00:00:00"/>
    <s v="0.00 EUR"/>
    <x v="4"/>
  </r>
  <r>
    <s v="Digital competencies &gt; Accessibility"/>
    <s v="DLP: Accessible digital publications – Checking PDFs - CURRENT"/>
    <s v="024900-OP"/>
    <x v="0"/>
    <s v="Yes"/>
    <n v="77"/>
    <d v="2026-10-13T10:00:00"/>
    <d v="2026-10-13T11:30:00"/>
    <d v="2026-05-19T00:00:00"/>
    <s v="0.00 EUR"/>
    <x v="4"/>
  </r>
  <r>
    <s v="Digital competencies &gt; Accessibility"/>
    <s v="DLP: Accessible digital publications – MS Word - CURRENT"/>
    <s v="024901-OP"/>
    <x v="0"/>
    <s v="Yes"/>
    <n v="63"/>
    <d v="2026-10-20T10:00:00"/>
    <d v="2026-10-20T11:30:00"/>
    <d v="2026-05-07T00:00:00"/>
    <s v="0.00 EUR"/>
    <x v="4"/>
  </r>
  <r>
    <s v="Digital competencies &gt; Accessibility"/>
    <s v="DLP: How to create accessible presentations in Power Point - CURRENT"/>
    <s v="049802-OP"/>
    <x v="0"/>
    <s v="Yes"/>
    <n v="54"/>
    <d v="2026-11-10T10:00:00"/>
    <d v="2026-11-10T11:30:00"/>
    <d v="2026-05-21T00:00:00"/>
    <s v="0.00 EUR"/>
    <x v="4"/>
  </r>
  <r>
    <s v="Digital competencies &gt; Accessibility"/>
    <s v="Digital Accessibility"/>
    <s v="EP_002819"/>
    <x v="1"/>
    <m/>
    <m/>
    <m/>
    <m/>
    <d v="2026-05-19T00:00:00"/>
    <m/>
    <x v="4"/>
  </r>
  <r>
    <s v="Digital competencies &gt; Accessibility"/>
    <s v="Introduction to digital accessibility"/>
    <s v="052307-EP"/>
    <x v="0"/>
    <s v="Yes"/>
    <n v="126"/>
    <d v="2025-08-27T09:00:00"/>
    <d v="2025-08-27T12:30:00"/>
    <d v="2026-05-19T00:00:00"/>
    <s v="0.00 EUR"/>
    <x v="4"/>
  </r>
  <r>
    <s v="Digital competencies &gt; Accessibility"/>
    <s v="Introduction to digital accessibility for Managers"/>
    <s v="052585-EP"/>
    <x v="0"/>
    <s v="Yes"/>
    <n v="13"/>
    <d v="2025-09-04T11:00:00"/>
    <d v="2025-09-04T12:00:00"/>
    <d v="2025-12-16T00:00:00"/>
    <s v="0.00 EUR"/>
    <x v="4"/>
  </r>
  <r>
    <s v="Digital competencies &gt; Accessibility"/>
    <s v="Introduction to document accessibility"/>
    <s v="052273-EP"/>
    <x v="0"/>
    <s v="Yes"/>
    <n v="50"/>
    <d v="2025-08-29T09:00:00"/>
    <d v="2025-08-29T12:30:00"/>
    <d v="2026-03-23T00:00:00"/>
    <s v="0.00 EUR"/>
    <x v="4"/>
  </r>
  <r>
    <s v="Digital competencies &gt; Adobe"/>
    <s v="Adobe Acrobat Pro"/>
    <s v="035842-EP"/>
    <x v="0"/>
    <s v="Yes"/>
    <n v="47"/>
    <d v="2026-06-29T09:00:00"/>
    <d v="2026-06-29T17:00:00"/>
    <d v="2026-05-20T00:00:00"/>
    <s v="0.00 EUR"/>
    <x v="4"/>
  </r>
  <r>
    <s v="Digital competencies &gt; Adobe"/>
    <s v="Adobe Premiere Pro CC (step 1)"/>
    <s v="071501-EP"/>
    <x v="0"/>
    <s v="Yes"/>
    <n v="12"/>
    <d v="2026-06-30T09:00:00"/>
    <d v="2026-07-02T17:00:00"/>
    <d v="2026-05-18T00:00:00"/>
    <s v="0.00 EUR"/>
    <x v="4"/>
  </r>
  <r>
    <s v="Digital competencies &gt; Artificial Intelligence"/>
    <s v="Elements of AI part I: Introduction to AI"/>
    <s v="059340-EP-0001-EN-GB"/>
    <x v="2"/>
    <m/>
    <m/>
    <s v="duration of use"/>
    <m/>
    <d v="2026-05-19T00:00:00"/>
    <s v="0.00 EUR"/>
    <x v="4"/>
  </r>
  <r>
    <s v="Digital competencies &gt; Artificial Intelligence"/>
    <s v="Elements of AI part II: Building AI"/>
    <s v="059340-EP-0002-EN-GB"/>
    <x v="2"/>
    <m/>
    <m/>
    <s v="duration of use"/>
    <m/>
    <d v="2026-03-13T00:00:00"/>
    <s v="0.00 EUR"/>
    <x v="4"/>
  </r>
  <r>
    <s v="Digital competencies &gt; Artificial Intelligence"/>
    <s v="Recording of the event AI@EC: Large language models (LLMs) in production with Azure"/>
    <s v="058420-DGT-0009-EN-GB"/>
    <x v="2"/>
    <m/>
    <m/>
    <s v="duration of use"/>
    <m/>
    <d v="2026-05-20T00:00:00"/>
    <s v="0.00 EUR"/>
    <x v="4"/>
  </r>
  <r>
    <s v="Digital competencies &gt; Artificial Intelligence"/>
    <s v="AI in Policymaking MasterClass"/>
    <s v="066080-SG POLICY"/>
    <x v="0"/>
    <s v="Yes"/>
    <n v="21"/>
    <d v="2026-06-11T11:00:00"/>
    <d v="2026-06-11T12:00:00"/>
    <d v="2026-05-21T00:00:00"/>
    <s v="0.00 EUR"/>
    <x v="4"/>
  </r>
  <r>
    <s v="Digital competencies &gt; Artificial Intelligence"/>
    <s v="AI in policymaking MasterClass (Recorded sessions)"/>
    <s v="068960-SG POLICY"/>
    <x v="0"/>
    <s v="NO"/>
    <m/>
    <m/>
    <m/>
    <d v="2026-05-19T00:00:00"/>
    <s v="0.00 EUR"/>
    <x v="4"/>
  </r>
  <r>
    <s v="Digital competencies &gt; Artificial Intelligence"/>
    <s v="Artificial Intelligence learning collection"/>
    <s v="EP_004559"/>
    <x v="1"/>
    <m/>
    <m/>
    <m/>
    <m/>
    <d v="2026-05-20T00:00:00"/>
    <m/>
    <x v="4"/>
  </r>
  <r>
    <s v="Digital competencies &gt; Artificial Intelligence"/>
    <s v="Copyright and use of stock images "/>
    <s v="076561-EP"/>
    <x v="0"/>
    <s v="Yes"/>
    <n v="0"/>
    <d v="2026-05-07T10:00:00"/>
    <d v="2026-05-07T12:00:00"/>
    <d v="2026-05-07T00:00:00"/>
    <s v="0.00 EUR"/>
    <x v="4"/>
  </r>
  <r>
    <s v="Digital competencies &gt; Artificial Intelligence"/>
    <s v="Generative AI Advanced with EP GenAI Hub"/>
    <s v="075286-EP"/>
    <x v="0"/>
    <s v="Yes"/>
    <n v="1"/>
    <m/>
    <m/>
    <d v="2026-05-21T00:00:00"/>
    <s v="0.00 EUR"/>
    <x v="4"/>
  </r>
  <r>
    <s v="Digital competencies &gt; Artificial Intelligence"/>
    <s v="Generative AI Essentials"/>
    <s v="064631-EP"/>
    <x v="0"/>
    <s v="Yes"/>
    <n v="99"/>
    <d v="2026-06-17T13:30:00"/>
    <d v="2026-06-18T12:00:00"/>
    <d v="2026-05-21T00:00:00"/>
    <s v="0.00 EUR"/>
    <x v="4"/>
  </r>
  <r>
    <s v="Digital competencies &gt; Artificial Intelligence"/>
    <s v="Pre-existing rights, procurement and AI use by contractors  "/>
    <s v="076560-EP"/>
    <x v="0"/>
    <s v="Yes"/>
    <n v="2"/>
    <d v="2026-04-23T10:00:00"/>
    <d v="2026-04-23T12:00:00"/>
    <d v="2026-04-30T00:00:00"/>
    <s v="0.00 EUR"/>
    <x v="4"/>
  </r>
  <r>
    <s v="Digital competencies &gt; Cloud"/>
    <s v="Data Management"/>
    <s v="072384-EP"/>
    <x v="0"/>
    <s v="Yes"/>
    <n v="5"/>
    <d v="2026-06-30T09:00:00"/>
    <d v="2026-06-30T13:00:00"/>
    <d v="2026-05-10T00:00:00"/>
    <s v="0.00 EUR"/>
    <x v="4"/>
  </r>
  <r>
    <s v="Digital competencies &gt; Cloud &gt; AWS"/>
    <s v="Prepare for AWS Solutions Architect – Professional Certification"/>
    <s v="024628-EP-0001-EN-GB"/>
    <x v="2"/>
    <m/>
    <m/>
    <s v="duration of use"/>
    <m/>
    <d v="2026-05-13T00:00:00"/>
    <s v="0.00 EUR"/>
    <x v="4"/>
  </r>
  <r>
    <s v="Digital competencies &gt; Cloud &gt; Azure"/>
    <s v="FL_MS_AZ_900_Microsoft Azure Fundamentals (1 day)"/>
    <s v="025053-DTS"/>
    <x v="0"/>
    <s v="Yes"/>
    <n v="57"/>
    <d v="2025-01-22T09:00:00"/>
    <d v="2025-01-22T17:00:00"/>
    <d v="2026-02-26T00:00:00"/>
    <s v="264.00 EUR"/>
    <x v="4"/>
  </r>
  <r>
    <s v="Digital competencies &gt; EP/EU applications"/>
    <s v="Mastering EP Events (Event Registration software) - Basic"/>
    <s v="062966-EP LINC-0001-EN-GB"/>
    <x v="2"/>
    <m/>
    <m/>
    <s v="duration of use"/>
    <m/>
    <d v="2026-05-21T00:00:00"/>
    <s v="0.00 EUR"/>
    <x v="4"/>
  </r>
  <r>
    <s v="Digital competencies &gt; EP/EU applications"/>
    <s v="Demystifying Electronic Signature"/>
    <m/>
    <x v="3"/>
    <m/>
    <m/>
    <m/>
    <m/>
    <m/>
    <m/>
    <x v="4"/>
  </r>
  <r>
    <s v="Digital competencies &gt; EP/EU applications"/>
    <s v="Digital Basics for Newcomers at the EP"/>
    <s v="064812-EP"/>
    <x v="0"/>
    <s v="Yes"/>
    <n v="20"/>
    <d v="2026-04-14T09:30:00"/>
    <d v="2026-04-14T11:00:00"/>
    <d v="2026-05-21T00:00:00"/>
    <s v="0.00 EUR"/>
    <x v="4"/>
  </r>
  <r>
    <s v="Digital competencies &gt; EP/EU applications"/>
    <s v="Digital Learning Path for Newcomers"/>
    <s v="EP_003939"/>
    <x v="1"/>
    <m/>
    <m/>
    <m/>
    <m/>
    <d v="2026-05-13T00:00:00"/>
    <m/>
    <x v="4"/>
  </r>
  <r>
    <s v="Digital competencies &gt; EP/EU applications"/>
    <s v="Démystifier la signature électronique"/>
    <m/>
    <x v="3"/>
    <m/>
    <m/>
    <m/>
    <m/>
    <m/>
    <m/>
    <x v="4"/>
  </r>
  <r>
    <s v="Digital competencies &gt; EP/EU applications"/>
    <s v="EU Learn course manager light"/>
    <s v="049744-LT"/>
    <x v="0"/>
    <s v="Yes"/>
    <n v="43"/>
    <d v="2026-08-19T09:30:00"/>
    <d v="2026-08-19T11:45:00"/>
    <d v="2026-05-20T00:00:00"/>
    <s v="0.00 EUR"/>
    <x v="4"/>
  </r>
  <r>
    <s v="Digital competencies &gt; EP/EU applications"/>
    <s v="File - video_Please welcome ELI2E – our new communication tool"/>
    <m/>
    <x v="3"/>
    <m/>
    <m/>
    <m/>
    <m/>
    <m/>
    <m/>
    <x v="4"/>
  </r>
  <r>
    <s v="Digital competencies &gt; EP/EU applications"/>
    <s v="Introduction to EU Learn"/>
    <s v="062282-EP"/>
    <x v="0"/>
    <s v="Yes"/>
    <n v="8"/>
    <d v="2026-07-15T09:30:00"/>
    <d v="2026-07-15T10:00:00"/>
    <d v="2026-05-11T00:00:00"/>
    <s v="0.00 EUR"/>
    <x v="4"/>
  </r>
  <r>
    <s v="Digital competencies &gt; Excel"/>
    <s v="MS Excel - All about charts"/>
    <s v="058961-EP"/>
    <x v="0"/>
    <s v="Yes"/>
    <n v="31"/>
    <d v="2026-09-28T13:30:00"/>
    <d v="2026-09-28T17:00:00"/>
    <d v="2026-05-13T00:00:00"/>
    <s v="0.00 EUR"/>
    <x v="4"/>
  </r>
  <r>
    <s v="Digital competencies &gt; Excel"/>
    <s v="MS Excel – All About Pivot Tables "/>
    <s v="022382-EP"/>
    <x v="0"/>
    <s v="Yes"/>
    <n v="43"/>
    <d v="2026-04-24T13:30:00"/>
    <d v="2026-04-24T17:00:00"/>
    <d v="2026-05-21T00:00:00"/>
    <s v="0.00 EUR"/>
    <x v="4"/>
  </r>
  <r>
    <s v="Digital competencies &gt; Excel"/>
    <s v="MS Excel – Managing Your Data Lists "/>
    <s v="022383-EP"/>
    <x v="0"/>
    <s v="Yes"/>
    <n v="43"/>
    <d v="2026-12-02T09:00:00"/>
    <d v="2026-12-02T12:30:00"/>
    <d v="2026-05-20T00:00:00"/>
    <s v="0.00 EUR"/>
    <x v="4"/>
  </r>
  <r>
    <s v="Digital competencies &gt; Excel"/>
    <s v="MS Excel – Mastering Functions in Excel "/>
    <s v="022384-EP"/>
    <x v="0"/>
    <s v="Yes"/>
    <n v="38"/>
    <d v="2026-07-09T09:00:00"/>
    <d v="2026-07-09T12:30:00"/>
    <d v="2026-05-05T00:00:00"/>
    <s v="0.00 EUR"/>
    <x v="4"/>
  </r>
  <r>
    <s v="Digital competencies &gt; Excel"/>
    <s v="MS Excel – Tips &amp; Tricks "/>
    <s v="022385-EP"/>
    <x v="0"/>
    <s v="Yes"/>
    <n v="45"/>
    <d v="2026-01-23T09:00:00"/>
    <d v="2026-01-23T12:30:00"/>
    <d v="2026-03-19T00:00:00"/>
    <s v="0.00 EUR"/>
    <x v="4"/>
  </r>
  <r>
    <s v="Digital competencies &gt; IT security &amp; management"/>
    <s v="Basics of Cybersecurity - Part 1"/>
    <s v="022511-GEN-0010-EN-GB"/>
    <x v="2"/>
    <m/>
    <m/>
    <s v="duration of use"/>
    <m/>
    <d v="2026-05-21T00:00:00"/>
    <s v="0.00 EUR"/>
    <x v="4"/>
  </r>
  <r>
    <s v="Digital competencies &gt; IT security &amp; management"/>
    <s v="Basics of Cybersecurity - Part 2"/>
    <s v="022511-GEN-0013-EN-GB"/>
    <x v="2"/>
    <m/>
    <m/>
    <s v="duration of use"/>
    <m/>
    <d v="2026-05-21T00:00:00"/>
    <s v="0.00 EUR"/>
    <x v="4"/>
  </r>
  <r>
    <s v="Digital competencies &gt; IT security &amp; management"/>
    <s v="Basics of Cybersecurity - Part 3"/>
    <s v="022511-GEN-0027-EN-GB"/>
    <x v="2"/>
    <m/>
    <m/>
    <s v="duration of use"/>
    <m/>
    <d v="2026-05-21T00:00:00"/>
    <s v="0.00 EUR"/>
    <x v="4"/>
  </r>
  <r>
    <s v="Digital competencies &gt; IT security &amp; management"/>
    <s v="Basics of Cybersecurity - Part 4"/>
    <s v="022511-GEN-0028-EN-GB"/>
    <x v="2"/>
    <m/>
    <m/>
    <s v="duration of use"/>
    <m/>
    <d v="2026-05-21T00:00:00"/>
    <s v="0.00 EUR"/>
    <x v="4"/>
  </r>
  <r>
    <s v="Digital competencies &gt; IT security &amp; management"/>
    <s v="#All4Cyber Comes To You: Team investigations &amp; Interactive demonstrations "/>
    <s v="078383-EP"/>
    <x v="0"/>
    <s v="Yes"/>
    <n v="0"/>
    <d v="2026-05-27T14:30:00"/>
    <d v="2026-05-27T15:00:00"/>
    <d v="2026-05-21T00:00:00"/>
    <s v="0.00 EUR"/>
    <x v="4"/>
  </r>
  <r>
    <s v="Digital competencies &gt; IT security &amp; management"/>
    <s v="IT Security in the EP"/>
    <s v="020588-EP-0001-EN-GB"/>
    <x v="2"/>
    <m/>
    <m/>
    <s v="duration of use"/>
    <m/>
    <d v="2026-04-30T00:00:00"/>
    <s v="0.00 EUR"/>
    <x v="4"/>
  </r>
  <r>
    <s v="Digital competencies &gt; IT security &amp; management"/>
    <s v="Strengthen your defence against phishing"/>
    <s v="076401-EP-0001-EN-GB"/>
    <x v="2"/>
    <m/>
    <m/>
    <s v="duration of use"/>
    <m/>
    <d v="2026-05-20T00:00:00"/>
    <s v="0.00 EUR"/>
    <x v="4"/>
  </r>
  <r>
    <s v="Digital competencies &gt; IT security &amp; management"/>
    <s v="CERTIFIED INFORMATION SYSTEMS SECURITY PROFESSIONAL"/>
    <s v="064080-DTS"/>
    <x v="0"/>
    <s v="Yes"/>
    <n v="67"/>
    <d v="2025-06-23T09:00:00"/>
    <d v="2025-06-27T17:00:00"/>
    <d v="2026-05-21T00:00:00"/>
    <s v="0.00 EUR"/>
    <x v="4"/>
  </r>
  <r>
    <s v="Digital competencies &gt; IT security &amp; management"/>
    <s v="CG_ITIL4_FOUND_V2days_2021"/>
    <s v="025805-DTS"/>
    <x v="0"/>
    <s v="Yes"/>
    <n v="100"/>
    <d v="2026-11-16T09:00:00"/>
    <d v="2026-11-17T17:00:00"/>
    <d v="2026-05-11T00:00:00"/>
    <s v="510.00 EUR"/>
    <x v="4"/>
  </r>
  <r>
    <s v="Digital competencies &gt; IT security &amp; management"/>
    <s v="CG_ITIL4_SPCREATE"/>
    <s v="025788-DTS"/>
    <x v="0"/>
    <s v="Yes"/>
    <n v="67"/>
    <d v="2026-06-29T09:00:00"/>
    <d v="2026-07-01T17:00:00"/>
    <d v="2026-05-14T00:00:00"/>
    <s v="765.00 EUR"/>
    <x v="4"/>
  </r>
  <r>
    <s v="Digital competencies &gt; IT security &amp; management"/>
    <s v="CG_ITIL4_SPDRIVE"/>
    <s v="025762-DTS"/>
    <x v="0"/>
    <s v="Yes"/>
    <n v="46"/>
    <d v="2026-04-10T09:00:00"/>
    <d v="2026-04-14T17:01:00"/>
    <d v="2026-05-21T00:00:00"/>
    <s v="765.00 EUR"/>
    <x v="4"/>
  </r>
  <r>
    <s v="Digital competencies &gt; IT security &amp; management"/>
    <s v="CG_ITIL4_SP_HIGHVELO"/>
    <s v="025791-DTS"/>
    <x v="0"/>
    <s v="Yes"/>
    <n v="65"/>
    <d v="2026-10-26T09:00:00"/>
    <d v="2026-10-28T17:00:00"/>
    <d v="2026-04-10T00:00:00"/>
    <s v="765.00 EUR"/>
    <x v="4"/>
  </r>
  <r>
    <s v="Digital competencies &gt; IT security &amp; management"/>
    <s v="CG_ITIL4_STRATEGIST DIRECT"/>
    <s v="025789-DTS"/>
    <x v="0"/>
    <s v="Yes"/>
    <n v="79"/>
    <d v="2026-09-16T09:00:00"/>
    <d v="2026-09-18T17:00:00"/>
    <d v="2026-05-01T00:00:00"/>
    <s v="765.00 EUR"/>
    <x v="4"/>
  </r>
  <r>
    <s v="Digital competencies &gt; IT security &amp; management"/>
    <s v="Cyber Escape Game"/>
    <s v="069783-EP"/>
    <x v="0"/>
    <s v="Yes"/>
    <n v="48"/>
    <d v="2025-10-16T17:00:00"/>
    <d v="2025-10-16T17:45:00"/>
    <d v="2026-05-19T00:00:00"/>
    <s v="0.00 EUR"/>
    <x v="4"/>
  </r>
  <r>
    <s v="Digital competencies &gt; IT security &amp; management"/>
    <s v="Cyber Investigation live game"/>
    <s v="070721-EP"/>
    <x v="0"/>
    <s v="Yes"/>
    <n v="34"/>
    <d v="2026-05-27T13:30:00"/>
    <d v="2026-05-27T14:30:00"/>
    <d v="2026-04-30T00:00:00"/>
    <s v="0.00 EUR"/>
    <x v="4"/>
  </r>
  <r>
    <s v="Digital competencies &gt; IT security &amp; management"/>
    <s v="CyberAware Lunch Talks "/>
    <s v="000723-DTS"/>
    <x v="0"/>
    <s v="Yes"/>
    <n v="22"/>
    <d v="2026-02-12T12:30:00"/>
    <d v="2026-02-12T14:00:00"/>
    <d v="2026-04-24T00:00:00"/>
    <s v="0.00 EUR"/>
    <x v="4"/>
  </r>
  <r>
    <s v="Digital competencies &gt; IT security &amp; management"/>
    <s v="Cybersecurity Awareness"/>
    <s v="068520-EP"/>
    <x v="0"/>
    <s v="Yes"/>
    <n v="19"/>
    <d v="2026-11-30T09:00:00"/>
    <d v="2026-11-30T12:30:00"/>
    <d v="2026-05-21T00:00:00"/>
    <s v="0.00 EUR"/>
    <x v="4"/>
  </r>
  <r>
    <s v="Digital competencies &gt; IT security &amp; management"/>
    <s v="Cybersecurity workshop for IT first line support "/>
    <s v="076500-EP"/>
    <x v="0"/>
    <s v="Yes"/>
    <n v="0"/>
    <d v="2026-06-26T14:00:00"/>
    <d v="2026-06-26T16:00:00"/>
    <d v="2026-05-21T00:00:00"/>
    <s v="0.00 EUR"/>
    <x v="4"/>
  </r>
  <r>
    <s v="Digital competencies &gt; IT security &amp; management"/>
    <s v="Prepare for the CompTIA Security+ (SY0-601) Certification Exam"/>
    <s v="EP_002159"/>
    <x v="1"/>
    <m/>
    <m/>
    <m/>
    <m/>
    <d v="2026-02-17T00:00:00"/>
    <m/>
    <x v="4"/>
  </r>
  <r>
    <s v="Digital competencies &gt; IT security &amp; management"/>
    <s v="Spy Game"/>
    <s v="069782-EP"/>
    <x v="0"/>
    <s v="Yes"/>
    <n v="36"/>
    <d v="2025-10-22T14:59:00"/>
    <d v="2025-10-22T16:30:00"/>
    <d v="2026-05-19T00:00:00"/>
    <s v="0.00 EUR"/>
    <x v="4"/>
  </r>
  <r>
    <s v="Digital competencies &gt; Other applications"/>
    <s v="Electronic Signature - Alice in the Cipher World"/>
    <s v="061961-EP-0001-EN-GB"/>
    <x v="2"/>
    <m/>
    <m/>
    <s v="duration of use"/>
    <m/>
    <d v="2026-05-12T00:00:00"/>
    <s v="0.00 EUR"/>
    <x v="4"/>
  </r>
  <r>
    <s v="Digital competencies &gt; Other applications"/>
    <s v="Multimedia formats in publishing"/>
    <s v="071194-OP-0001-EN-GB"/>
    <x v="2"/>
    <m/>
    <m/>
    <s v="duration of use"/>
    <m/>
    <d v="2026-04-01T00:00:00"/>
    <s v="0.00 EUR"/>
    <x v="4"/>
  </r>
  <r>
    <s v="Digital competencies &gt; Other applications"/>
    <s v="Social engineering"/>
    <s v="049426-LT-0019-EN-GB"/>
    <x v="2"/>
    <m/>
    <m/>
    <s v="duration of use"/>
    <m/>
    <d v="2026-04-22T00:00:00"/>
    <s v="0.00 EUR"/>
    <x v="4"/>
  </r>
  <r>
    <s v="Digital competencies &gt; Other applications"/>
    <s v="Getting Started with Digital Facilitation in Howspace Session Recording"/>
    <m/>
    <x v="3"/>
    <m/>
    <m/>
    <m/>
    <m/>
    <m/>
    <m/>
    <x v="4"/>
  </r>
  <r>
    <s v="Digital competencies &gt; Other applications"/>
    <s v="How to use Eurostat data like a pro!"/>
    <s v="020593-ESTAT"/>
    <x v="0"/>
    <s v="Yes"/>
    <n v="91"/>
    <d v="2026-06-25T14:00:00"/>
    <d v="2026-06-25T16:30:00"/>
    <d v="2026-05-21T00:00:00"/>
    <s v="0.00 EUR"/>
    <x v="4"/>
  </r>
  <r>
    <s v="Digital competencies &gt; Other applications"/>
    <s v="Introduction to Power Automate and Power Apps"/>
    <s v="072340-EP"/>
    <x v="0"/>
    <s v="Yes"/>
    <n v="35"/>
    <d v="2026-10-14T09:00:00"/>
    <d v="2026-10-15T17:00:00"/>
    <d v="2026-05-19T00:00:00"/>
    <s v="0.00 EUR"/>
    <x v="4"/>
  </r>
  <r>
    <s v="Digital competencies &gt; Other applications"/>
    <s v="KJ SAP Business Objects 4.3 Basics"/>
    <s v="033249-DTS"/>
    <x v="0"/>
    <s v="Yes"/>
    <n v="215"/>
    <d v="2026-06-02T09:00:00"/>
    <d v="2026-06-03T17:00:00"/>
    <d v="2026-05-21T00:00:00"/>
    <s v="510.00 EUR"/>
    <x v="4"/>
  </r>
  <r>
    <s v="Digital competencies &gt; Other applications"/>
    <s v="Power BI Desktop - Advanced"/>
    <s v="069205-EP"/>
    <x v="0"/>
    <s v="Yes"/>
    <n v="20"/>
    <d v="2026-07-01T09:00:00"/>
    <d v="2026-07-02T17:00:00"/>
    <d v="2026-05-21T00:00:00"/>
    <s v="0.00 EUR"/>
    <x v="4"/>
  </r>
  <r>
    <s v="Digital competencies &gt; Other applications"/>
    <s v="Power BI Desktop - Introduction"/>
    <s v="069204-EP"/>
    <x v="0"/>
    <s v="Yes"/>
    <n v="41"/>
    <d v="2026-06-23T09:00:00"/>
    <d v="2026-06-23T17:00:00"/>
    <d v="2026-05-06T00:00:00"/>
    <s v="0.00 EUR"/>
    <x v="4"/>
  </r>
  <r>
    <s v="Digital competencies &gt; Other applications"/>
    <s v="SharePoint for End Users"/>
    <s v="065420-EP"/>
    <x v="0"/>
    <s v="Yes"/>
    <n v="20"/>
    <d v="2026-06-09T09:00:00"/>
    <d v="2026-06-09T12:30:00"/>
    <d v="2026-05-19T00:00:00"/>
    <s v="0.00 EUR"/>
    <x v="4"/>
  </r>
  <r>
    <s v="Digital competencies &gt; Other applications"/>
    <s v="SharePoint for Power Users"/>
    <s v="065422-EP"/>
    <x v="0"/>
    <s v="Yes"/>
    <n v="12"/>
    <d v="2026-06-09T13:30:00"/>
    <d v="2026-06-09T17:00:00"/>
    <d v="2026-05-19T00:00:00"/>
    <s v="0.00 EUR"/>
    <x v="4"/>
  </r>
  <r>
    <s v="Digital competencies &gt; Other applications"/>
    <s v="What's New in Windows 11?"/>
    <s v="073000-EP"/>
    <x v="0"/>
    <s v="Yes"/>
    <n v="8"/>
    <d v="2026-11-11T15:30:00"/>
    <d v="2026-11-11T17:00:00"/>
    <d v="2026-05-13T00:00:00"/>
    <s v="0.00 EUR"/>
    <x v="4"/>
  </r>
  <r>
    <s v="Digital competencies &gt; Outlook"/>
    <s v="MS Outlook - Manage your Mailbox"/>
    <s v="059002-EP"/>
    <x v="0"/>
    <s v="Yes"/>
    <n v="39"/>
    <d v="2026-09-28T09:00:00"/>
    <d v="2026-09-28T12:30:00"/>
    <d v="2026-05-16T00:00:00"/>
    <s v="0.00 EUR"/>
    <x v="4"/>
  </r>
  <r>
    <s v="Digital competencies &gt; Outlook"/>
    <s v="MS Outlook - Tips and tricks"/>
    <s v="059020-EP"/>
    <x v="0"/>
    <s v="Yes"/>
    <n v="31"/>
    <d v="2026-09-28T13:30:00"/>
    <d v="2026-09-28T17:00:00"/>
    <d v="2026-05-12T00:00:00"/>
    <s v="0.00 EUR"/>
    <x v="4"/>
  </r>
  <r>
    <s v="Digital competencies &gt; Teams"/>
    <s v="MICROSOFT TEAMS Advanced Tips &amp; tricks for Champions"/>
    <s v="028276-EP"/>
    <x v="0"/>
    <s v="Yes"/>
    <n v="37"/>
    <d v="2026-06-18T15:30:00"/>
    <d v="2026-06-18T17:00:00"/>
    <d v="2026-05-19T00:00:00"/>
    <s v="0.00 EUR"/>
    <x v="4"/>
  </r>
  <r>
    <s v="Digital competencies &gt; Teams"/>
    <s v="MICROSOFT TEAMS Essential 1: Getting Started with Teams"/>
    <s v="025865-EP"/>
    <x v="0"/>
    <s v="Yes"/>
    <n v="135"/>
    <d v="2026-09-21T09:00:00"/>
    <d v="2026-09-21T10:30:00"/>
    <d v="2026-05-21T00:00:00"/>
    <s v="0.00 EUR"/>
    <x v="4"/>
  </r>
  <r>
    <s v="Digital competencies &gt; Teams"/>
    <s v="MICROSOFT TEAMS Essential 2: Taking Teams to the Next Level"/>
    <s v="026255-EP"/>
    <x v="0"/>
    <s v="Yes"/>
    <n v="80"/>
    <d v="2026-09-21T11:00:00"/>
    <d v="2026-09-21T12:30:00"/>
    <d v="2026-05-20T00:00:00"/>
    <s v="0.00 EUR"/>
    <x v="4"/>
  </r>
  <r>
    <s v="Digital competencies &gt; Teams"/>
    <s v="MICROSOFT TEAMS: Collaborate on Documents in Teams"/>
    <s v="028495-EP"/>
    <x v="0"/>
    <s v="Yes"/>
    <n v="36"/>
    <d v="2026-09-21T15:30:00"/>
    <d v="2026-09-21T17:00:00"/>
    <d v="2026-05-20T00:00:00"/>
    <s v="0.00 EUR"/>
    <x v="4"/>
  </r>
  <r>
    <s v="Digital competencies &gt; Teams"/>
    <s v="MICROSOFT TEAMS: Getting started with OneDrive"/>
    <s v="028384-EP"/>
    <x v="0"/>
    <s v="Yes"/>
    <n v="41"/>
    <d v="2026-06-18T13:30:00"/>
    <d v="2026-06-18T15:00:00"/>
    <d v="2026-05-21T00:00:00"/>
    <s v="0.00 EUR"/>
    <x v="4"/>
  </r>
  <r>
    <s v="Digital competencies &gt; Teams"/>
    <s v="MICROSOFT TEAMS: How to organise successful meetings in Teams"/>
    <s v="028300-EP"/>
    <x v="0"/>
    <s v="Yes"/>
    <n v="54"/>
    <d v="2026-09-21T13:30:00"/>
    <d v="2026-09-21T15:00:00"/>
    <d v="2026-05-21T00:00:00"/>
    <s v="0.00 EUR"/>
    <x v="4"/>
  </r>
  <r>
    <s v="Digital competencies &gt; Word"/>
    <s v="KJ Become a Word ninja!"/>
    <s v="011283-DTS"/>
    <x v="0"/>
    <s v="Yes"/>
    <n v="161"/>
    <d v="2026-05-07T09:00:00"/>
    <d v="2026-05-07T17:00:00"/>
    <d v="2026-05-07T00:00:00"/>
    <s v="255.00 EUR"/>
    <x v="4"/>
  </r>
  <r>
    <s v="Digital competencies &gt; Word"/>
    <s v="MS Word – Tips &amp; Tricks "/>
    <s v="022360-EP"/>
    <x v="0"/>
    <s v="Yes"/>
    <n v="22"/>
    <d v="2026-09-28T09:00:00"/>
    <d v="2026-09-28T12:30:00"/>
    <d v="2026-05-19T00:00:00"/>
    <s v="0.00 EUR"/>
    <x v="4"/>
  </r>
  <r>
    <s v="Digital competencies &gt; Word"/>
    <s v="MS Word – Using Styles &amp; Templates "/>
    <s v="022380-EP"/>
    <x v="0"/>
    <s v="Yes"/>
    <n v="14"/>
    <d v="2026-06-22T09:00:00"/>
    <d v="2026-06-22T12:30:00"/>
    <d v="2026-05-21T00:00:00"/>
    <s v="0.00 EUR"/>
    <x v="4"/>
  </r>
  <r>
    <s v="Digital competencies &gt; Word"/>
    <s v="MS Word – Working with Long Documents "/>
    <s v="022379-EP"/>
    <x v="0"/>
    <s v="Yes"/>
    <n v="27"/>
    <d v="2026-12-02T13:30:00"/>
    <d v="2026-12-02T17:00:00"/>
    <d v="2026-05-05T00:00:00"/>
    <s v="0.00 EUR"/>
    <x v="4"/>
  </r>
  <r>
    <s v="EP Talks &gt; EP Talks - recordings"/>
    <s v="EP Talks: Beyond the screen: protecting and preserving digital privacy"/>
    <m/>
    <x v="3"/>
    <m/>
    <m/>
    <m/>
    <m/>
    <m/>
    <m/>
    <x v="5"/>
  </r>
  <r>
    <s v="EP Talks &gt; EP Talks - recordings"/>
    <s v="EP Talks: Disinformation and beyond - Information manipulation, information integrity and the role of the EU"/>
    <m/>
    <x v="3"/>
    <m/>
    <m/>
    <m/>
    <m/>
    <m/>
    <m/>
    <x v="5"/>
  </r>
  <r>
    <s v="EP Talks &gt; EP Talks - recordings"/>
    <s v="EP Talks: EU Elections 2024 – an EU expert's insights"/>
    <m/>
    <x v="3"/>
    <m/>
    <m/>
    <m/>
    <m/>
    <m/>
    <m/>
    <x v="5"/>
  </r>
  <r>
    <s v="EP Talks &gt; EP Talks - recordings"/>
    <s v="EP Talks: EU elections – what is at stake and how YOU can contribute!"/>
    <m/>
    <x v="3"/>
    <m/>
    <m/>
    <m/>
    <m/>
    <m/>
    <m/>
    <x v="5"/>
  </r>
  <r>
    <s v="EP Talks &gt; EP Talks - recordings"/>
    <s v="EP Talks: Everyday Resilience with Karen Northshield"/>
    <m/>
    <x v="3"/>
    <m/>
    <m/>
    <m/>
    <m/>
    <m/>
    <m/>
    <x v="5"/>
  </r>
  <r>
    <s v="EP Talks &gt; EP Talks - recordings"/>
    <s v="EP Talks: Inclusion as a catalyst: unlocking the future of organisational success - how to make the most of our diverse teams"/>
    <m/>
    <x v="3"/>
    <m/>
    <m/>
    <m/>
    <m/>
    <m/>
    <m/>
    <x v="5"/>
  </r>
  <r>
    <s v="EP Talks &gt; EP Talks - recordings"/>
    <s v="EP Talks: Kick-start your competition preparation"/>
    <m/>
    <x v="3"/>
    <m/>
    <m/>
    <m/>
    <m/>
    <m/>
    <m/>
    <x v="5"/>
  </r>
  <r>
    <s v="EP Talks &gt; EP Talks - recordings"/>
    <s v="EP Talks: Make simplification work with Sune Knudsen"/>
    <m/>
    <x v="3"/>
    <m/>
    <m/>
    <m/>
    <m/>
    <m/>
    <m/>
    <x v="5"/>
  </r>
  <r>
    <s v="EP Talks &gt; EP Talks - recordings"/>
    <s v="EP Talks: Navigating the world of politics – a practical guide to being resilient (resilience masterclass online)"/>
    <m/>
    <x v="3"/>
    <m/>
    <m/>
    <m/>
    <m/>
    <m/>
    <m/>
    <x v="5"/>
  </r>
  <r>
    <s v="EP Talks &gt; EP Talks - recordings"/>
    <s v="EP Talks: Navigating uncertainties in a fragmented world - the case of the Greek sovereign debt crisis"/>
    <m/>
    <x v="3"/>
    <m/>
    <m/>
    <m/>
    <m/>
    <m/>
    <m/>
    <x v="5"/>
  </r>
  <r>
    <s v="EP Talks &gt; EP Talks - recordings"/>
    <s v="EP Talks: Own your Growth: what training fits you best in 2026?"/>
    <m/>
    <x v="3"/>
    <m/>
    <m/>
    <m/>
    <m/>
    <m/>
    <m/>
    <x v="5"/>
  </r>
  <r>
    <s v="EP Talks &gt; EP Talks - recordings"/>
    <s v="EP Talks: Politics is the art of the impossible – learning to make things happen in a complex, crisis driven environment with Chris Tamdjidi"/>
    <m/>
    <x v="3"/>
    <m/>
    <m/>
    <m/>
    <m/>
    <m/>
    <m/>
    <x v="5"/>
  </r>
  <r>
    <s v="EP Talks &gt; EP Talks - recordings"/>
    <s v="EP Talks: Preventing Harassment: everybody’s business"/>
    <m/>
    <x v="3"/>
    <m/>
    <m/>
    <m/>
    <m/>
    <m/>
    <m/>
    <x v="5"/>
  </r>
  <r>
    <s v="EP Talks &gt; EP Talks - recordings"/>
    <s v="EP Talks: Ready for your appraisal? What is the right training for you in 2025?"/>
    <m/>
    <x v="3"/>
    <m/>
    <m/>
    <m/>
    <m/>
    <m/>
    <m/>
    <x v="5"/>
  </r>
  <r>
    <s v="EP Talks &gt; EP Talks - recordings"/>
    <s v="EP Talks: Speechwriting 101"/>
    <m/>
    <x v="3"/>
    <m/>
    <m/>
    <m/>
    <m/>
    <m/>
    <m/>
    <x v="5"/>
  </r>
  <r>
    <s v="EP Talks &gt; EP Talks - recordings"/>
    <s v="EP Talks: The Hidden Superpower: How to Speak and Listen like a Communicator"/>
    <m/>
    <x v="3"/>
    <m/>
    <m/>
    <m/>
    <m/>
    <m/>
    <m/>
    <x v="5"/>
  </r>
  <r>
    <s v="EP Talks &gt; EP Talks - recordings"/>
    <s v="EP Talks: Turn your PowerPoints into inspiring stories"/>
    <m/>
    <x v="3"/>
    <m/>
    <m/>
    <m/>
    <m/>
    <m/>
    <m/>
    <x v="5"/>
  </r>
  <r>
    <s v="EP Talks &gt; EP Talks - recordings"/>
    <s v="EP Talks: Turning conflict into a conversation - #DontWaitMediate"/>
    <m/>
    <x v="3"/>
    <m/>
    <m/>
    <m/>
    <m/>
    <m/>
    <m/>
    <x v="5"/>
  </r>
  <r>
    <s v="EP Talks &gt; EP Talks - recordings"/>
    <s v="EP Talks: US Elections – latest update and possible impact on EU-US relations"/>
    <m/>
    <x v="3"/>
    <m/>
    <m/>
    <m/>
    <m/>
    <m/>
    <m/>
    <x v="5"/>
  </r>
  <r>
    <s v="EP Talks &gt; EP Talks - recordings"/>
    <s v="EP Talks: Unlock Your Creative Mindset: Practical Tools for Everyday Innovation"/>
    <m/>
    <x v="3"/>
    <m/>
    <m/>
    <m/>
    <m/>
    <m/>
    <m/>
    <x v="5"/>
  </r>
  <r>
    <s v="EP Talks &gt; EP Talks - upcoming events"/>
    <s v="EP Talks: Two XX Chromosomes: A Journey in Science and Medicine"/>
    <s v="058661-EP-0025-EN-GB"/>
    <x v="2"/>
    <m/>
    <m/>
    <d v="2026-06-09T12:30:00"/>
    <d v="2026-06-09T14:00:00"/>
    <d v="2026-05-21T00:00:00"/>
    <s v="0.00 EUR"/>
    <x v="5"/>
  </r>
  <r>
    <s v="EP Talks &gt; EP Talks - upcoming events"/>
    <s v="EP Talks: Rewriting Your Story: how personal narratives contribute to happiness"/>
    <s v="058661-EP-0022-EN-GB"/>
    <x v="2"/>
    <m/>
    <m/>
    <d v="2026-05-28T14:00:00"/>
    <d v="2026-05-28T15:30:00"/>
    <d v="2026-05-21T00:00:00"/>
    <s v="0.00 EUR"/>
    <x v="5"/>
  </r>
  <r>
    <s v="EP work tools &amp; rules"/>
    <s v="Flash session: Inventory Management reporting - SAP Analytics Cloud (SAC)"/>
    <s v="073954-EP"/>
    <x v="0"/>
    <s v="Yes"/>
    <n v="4"/>
    <d v="2026-04-29T10:00:00"/>
    <d v="2026-04-29T12:00:00"/>
    <d v="2026-05-19T00:00:00"/>
    <s v="0.00 EUR"/>
    <x v="6"/>
  </r>
  <r>
    <s v="EP work tools &amp; rules"/>
    <s v="New courses from the Learning &amp; Development Unit"/>
    <s v="EP_005363"/>
    <x v="1"/>
    <m/>
    <m/>
    <m/>
    <m/>
    <d v="2026-04-08T00:00:00"/>
    <m/>
    <x v="6"/>
  </r>
  <r>
    <s v="EP work tools &amp; rules"/>
    <s v="iTrack v2 - Suivi des actifs avec la nouvelle version de l’application"/>
    <s v="073801-EP"/>
    <x v="0"/>
    <s v="Yes"/>
    <n v="13"/>
    <d v="2026-04-20T13:30:00"/>
    <d v="2026-04-20T17:30:00"/>
    <d v="2026-05-19T00:00:00"/>
    <s v="0.00 EUR"/>
    <x v="6"/>
  </r>
  <r>
    <s v="EP work tools &amp; rules &gt; Administrative Skills and Tools"/>
    <s v="Cat4Trad e-learning course"/>
    <s v="020570-EP-0001-EN-GB"/>
    <x v="2"/>
    <m/>
    <m/>
    <s v="duration of use"/>
    <m/>
    <d v="2026-02-12T00:00:00"/>
    <s v="0.00 EUR"/>
    <x v="6"/>
  </r>
  <r>
    <s v="EP work tools &amp; rules &gt; Administrative Skills and Tools"/>
    <s v="Document Management at the European Parliament (EN)"/>
    <s v="028836-EP-0003-EN-GB"/>
    <x v="2"/>
    <m/>
    <m/>
    <s v="duration of use"/>
    <m/>
    <d v="2026-03-25T00:00:00"/>
    <s v="0.00 EUR"/>
    <x v="6"/>
  </r>
  <r>
    <s v="EP work tools &amp; rules &gt; Administrative Skills and Tools"/>
    <s v="Gestion Documentaire au Parlement  (FR)"/>
    <s v="028847-EP-0002-FR-FR"/>
    <x v="2"/>
    <m/>
    <m/>
    <s v="duration of use"/>
    <m/>
    <d v="2025-11-02T00:00:00"/>
    <s v="0.00 EUR"/>
    <x v="6"/>
  </r>
  <r>
    <s v="EP work tools &amp; rules &gt; Administrative Skills and Tools"/>
    <s v="Intellectual Property Rights in Public Procurement"/>
    <s v="020651-EP-0001-EN-GB"/>
    <x v="2"/>
    <m/>
    <m/>
    <s v="duration of use"/>
    <m/>
    <d v="2026-05-13T00:00:00"/>
    <s v="0.00 EUR"/>
    <x v="6"/>
  </r>
  <r>
    <s v="EP work tools &amp; rules &gt; Administrative Skills and Tools"/>
    <s v="After mission - how to properly complete your declaration of expenses"/>
    <s v="073144-EP"/>
    <x v="0"/>
    <s v="Yes"/>
    <n v="16"/>
    <d v="2026-02-05T14:00:00"/>
    <d v="2026-02-05T16:00:00"/>
    <d v="2026-05-21T00:00:00"/>
    <s v="0.00 EUR"/>
    <x v="6"/>
  </r>
  <r>
    <s v="EP work tools &amp; rules &gt; Administrative Skills and Tools"/>
    <s v="EP Missions Rules and eMiss application UMBRELLA course template"/>
    <s v="068968-EP"/>
    <x v="0"/>
    <s v="NO"/>
    <m/>
    <d v="2025-03-03T08:00:00"/>
    <d v="2035-04-20T08:00:00"/>
    <s v=" "/>
    <s v="0.00 EUR"/>
    <x v="6"/>
  </r>
  <r>
    <s v="EP work tools &amp; rules &gt; Administrative Skills and Tools"/>
    <s v="GEDA Online Course "/>
    <s v="023489-EP"/>
    <x v="0"/>
    <s v="Yes"/>
    <n v="54"/>
    <d v="2026-05-28T09:00:00"/>
    <d v="2026-05-28T12:00:00"/>
    <d v="2026-05-21T00:00:00"/>
    <s v="0.00 EUR"/>
    <x v="6"/>
  </r>
  <r>
    <s v="EP work tools &amp; rules &gt; Administrative Skills and Tools"/>
    <s v="KJ EU Survey"/>
    <s v="001094-DTS"/>
    <x v="0"/>
    <s v="Yes"/>
    <n v="166"/>
    <d v="2026-05-18T09:00:00"/>
    <d v="2026-05-18T17:00:00"/>
    <d v="2026-05-19T00:00:00"/>
    <s v="255.00 EUR"/>
    <x v="6"/>
  </r>
  <r>
    <s v="EP work tools &amp; rules &gt; Administrative Skills and Tools"/>
    <s v="Leading with PowerVisuals"/>
    <s v="066400-EP"/>
    <x v="0"/>
    <s v="Yes"/>
    <n v="18"/>
    <d v="2025-11-07T09:30:00"/>
    <d v="2025-11-07T12:30:00"/>
    <d v="2026-05-07T00:00:00"/>
    <s v="0.00 EUR"/>
    <x v="6"/>
  </r>
  <r>
    <s v="EP work tools &amp; rules &gt; Administrative Skills and Tools"/>
    <s v="Risk Management in the European Parliament"/>
    <s v="EP_005820"/>
    <x v="1"/>
    <m/>
    <m/>
    <m/>
    <m/>
    <d v="2026-05-21T00:00:00"/>
    <m/>
    <x v="6"/>
  </r>
  <r>
    <s v="EP work tools &amp; rules &gt; Administrative Skills and Tools"/>
    <s v="Staff Regulation training"/>
    <s v="073702-EP"/>
    <x v="0"/>
    <s v="Yes"/>
    <n v="36"/>
    <d v="2026-11-17T09:30:00"/>
    <d v="2026-11-17T17:00:00"/>
    <d v="2026-05-20T00:00:00"/>
    <s v="0.00 EUR"/>
    <x v="6"/>
  </r>
  <r>
    <s v="EP work tools &amp; rules &gt; Administrative Skills and Tools"/>
    <s v="The e-signature for everyone"/>
    <s v="058801-EP"/>
    <x v="0"/>
    <s v="Yes"/>
    <n v="24"/>
    <d v="2026-06-10T09:30:00"/>
    <d v="2026-06-10T12:30:00"/>
    <d v="2026-05-21T00:00:00"/>
    <s v="0.00 EUR"/>
    <x v="6"/>
  </r>
  <r>
    <s v="EP work tools &amp; rules &gt; Administrative Skills and Tools"/>
    <s v="Videoconferencing Facilities in KOHL building"/>
    <s v="074123-EP"/>
    <x v="0"/>
    <s v="Yes"/>
    <n v="69"/>
    <d v="2026-03-18T15:30:00"/>
    <d v="2026-03-18T17:00:00"/>
    <d v="2026-05-20T00:00:00"/>
    <s v="0.00 EUR"/>
    <x v="6"/>
  </r>
  <r>
    <s v="EP work tools &amp; rules &gt; Behaviour and Attitude at the Workplace"/>
    <s v="ALL CLEAR! LE BRIEFING SUR LA SÉCURITÉ DES INFORMATIONS DU PARLEMENT EUROPÉEN"/>
    <s v="070503-EP SAFE-0002-EN-GB"/>
    <x v="2"/>
    <m/>
    <m/>
    <s v="duration of use"/>
    <m/>
    <d v="2026-05-20T00:00:00"/>
    <s v="0.00 EUR"/>
    <x v="6"/>
  </r>
  <r>
    <s v="EP work tools &amp; rules &gt; Behaviour and Attitude at the Workplace"/>
    <s v="ALL CLEAR! THE EUROPEAN PARLIAMENT INFORMATION SECURITY BRIEFING"/>
    <s v="070503-EP SAFE-0001-EN-GB"/>
    <x v="2"/>
    <m/>
    <m/>
    <s v="duration of use"/>
    <m/>
    <d v="2026-05-21T00:00:00"/>
    <s v="0.00 EUR"/>
    <x v="6"/>
  </r>
  <r>
    <s v="EP work tools &amp; rules &gt; Behaviour and Attitude at the Workplace"/>
    <s v="Contre-espionnage eLearning"/>
    <s v="057441-EP SAFE-0002-FR-FR"/>
    <x v="2"/>
    <m/>
    <m/>
    <s v="duration of use"/>
    <m/>
    <d v="2026-05-10T00:00:00"/>
    <s v="0.00 EUR"/>
    <x v="6"/>
  </r>
  <r>
    <s v="EP work tools &amp; rules &gt; Behaviour and Attitude at the Workplace"/>
    <s v="Counter Intelligence eLearning"/>
    <s v="057441-EP SAFE-0001-EN-GB"/>
    <x v="2"/>
    <m/>
    <m/>
    <s v="duration of use"/>
    <m/>
    <d v="2026-05-04T00:00:00"/>
    <s v="0.00 EUR"/>
    <x v="6"/>
  </r>
  <r>
    <s v="EP work tools &amp; rules &gt; Behaviour and Attitude at the Workplace"/>
    <s v="Building and Maintaining a High-Impact EMAS Network"/>
    <s v="075221-EP"/>
    <x v="0"/>
    <s v="Yes"/>
    <n v="0"/>
    <d v="2026-09-28T14:00:00"/>
    <d v="2026-09-28T17:30:00"/>
    <d v="2026-05-05T00:00:00"/>
    <s v="0.00 EUR"/>
    <x v="6"/>
  </r>
  <r>
    <s v="EP work tools &amp; rules &gt; Behaviour and Attitude at the Workplace"/>
    <s v="Building and Maintaining a High-Impact EMAS Network"/>
    <s v="075221-EP-0002-EN-GB"/>
    <x v="2"/>
    <m/>
    <m/>
    <d v="2026-09-28T14:00:00"/>
    <d v="2026-09-28T17:30:00"/>
    <d v="2026-05-05T00:00:00"/>
    <s v="0.00 EUR"/>
    <x v="6"/>
  </r>
  <r>
    <s v="EP work tools &amp; rules &gt; Behaviour and Attitude at the Workplace"/>
    <s v="Chemicals handling "/>
    <s v="069492-EP"/>
    <x v="0"/>
    <s v="Yes"/>
    <n v="1"/>
    <d v="2026-10-09T09:00:00"/>
    <d v="2026-10-09T10:30:00"/>
    <d v="2026-04-09T00:00:00"/>
    <s v="0.00 EUR"/>
    <x v="6"/>
  </r>
  <r>
    <s v="EP work tools &amp; rules &gt; Behaviour and Attitude at the Workplace"/>
    <s v="EEAS - BASE (Basic Awareness in Security)"/>
    <m/>
    <x v="3"/>
    <m/>
    <m/>
    <m/>
    <m/>
    <m/>
    <m/>
    <x v="6"/>
  </r>
  <r>
    <s v="EP work tools &amp; rules &gt; Behaviour and Attitude at the Workplace"/>
    <s v="EEAS - SAFE (Security Awareness in Fragile Environments)"/>
    <m/>
    <x v="3"/>
    <m/>
    <m/>
    <m/>
    <m/>
    <m/>
    <m/>
    <x v="6"/>
  </r>
  <r>
    <s v="EP work tools &amp; rules &gt; Behaviour and Attitude at the Workplace"/>
    <s v="EMAS Internal Auditor training"/>
    <s v="070946-EP"/>
    <x v="0"/>
    <s v="NO"/>
    <m/>
    <d v="2025-05-13T08:00:00"/>
    <d v="2029-07-26T08:00:00"/>
    <s v=" "/>
    <s v="0.00 EUR"/>
    <x v="6"/>
  </r>
  <r>
    <s v="EP work tools &amp; rules &gt; Behaviour and Attitude at the Workplace"/>
    <s v="EMAS basics for EP staff"/>
    <s v="074246-EP"/>
    <x v="0"/>
    <s v="Yes"/>
    <n v="1"/>
    <d v="2026-09-21T14:00:00"/>
    <d v="2026-09-21T15:30:00"/>
    <d v="2026-05-13T00:00:00"/>
    <s v="0.00 EUR"/>
    <x v="6"/>
  </r>
  <r>
    <s v="EP work tools &amp; rules &gt; Behaviour and Attitude at the Workplace"/>
    <s v="From boomers to Gen Z: working together in multigenerational teams"/>
    <s v="070912-EP"/>
    <x v="0"/>
    <s v="Yes"/>
    <n v="9"/>
    <d v="2026-04-23T09:00:00"/>
    <d v="2026-04-23T12:30:00"/>
    <d v="2026-05-21T00:00:00"/>
    <s v="0.00 EUR"/>
    <x v="6"/>
  </r>
  <r>
    <s v="EP work tools &amp; rules &gt; Behaviour and Attitude at the Workplace"/>
    <s v="Green Public Procurement "/>
    <s v="075006-EP"/>
    <x v="0"/>
    <s v="Yes"/>
    <n v="11"/>
    <d v="2026-04-14T09:00:00"/>
    <d v="2026-04-14T12:30:00"/>
    <d v="2026-05-04T00:00:00"/>
    <s v="0.00 EUR"/>
    <x v="6"/>
  </r>
  <r>
    <s v="EP work tools &amp; rules &gt; Behaviour and Attitude at the Workplace"/>
    <s v="How to plan and lead a productive meeting "/>
    <s v="071491-EP"/>
    <x v="0"/>
    <s v="NO"/>
    <m/>
    <d v="2026-05-28T09:00:00"/>
    <d v="2029-07-31T08:00:00"/>
    <s v=" "/>
    <s v="0.00 EUR"/>
    <x v="6"/>
  </r>
  <r>
    <s v="EP work tools &amp; rules &gt; Behaviour and Attitude at the Workplace"/>
    <s v="May 9th 1950"/>
    <s v="074613-EP"/>
    <x v="0"/>
    <s v="NO"/>
    <m/>
    <d v="2026-03-18T15:00:00"/>
    <d v="2026-03-18T17:30:00"/>
    <d v="2026-03-18T00:00:00"/>
    <s v="0.00 EUR"/>
    <x v="6"/>
  </r>
  <r>
    <s v="EP work tools &amp; rules &gt; Behaviour and Attitude at the Workplace"/>
    <s v="Socially responsible Public Procurement"/>
    <s v="075007-EP"/>
    <x v="0"/>
    <s v="Yes"/>
    <n v="4"/>
    <d v="2026-04-14T14:00:00"/>
    <d v="2026-04-14T17:30:00"/>
    <d v="2026-04-20T00:00:00"/>
    <s v="0.00 EUR"/>
    <x v="6"/>
  </r>
  <r>
    <s v="EP work tools &amp; rules &gt; Behaviour and Attitude at the Workplace"/>
    <s v="Team workshop: working together in multigenerational teams"/>
    <s v="078020-EP"/>
    <x v="0"/>
    <s v="NO"/>
    <m/>
    <m/>
    <m/>
    <s v=" "/>
    <s v="0.00 EUR"/>
    <x v="6"/>
  </r>
  <r>
    <s v="EP work tools &amp; rules &gt; Behaviour and Attitude at the Workplace"/>
    <s v="The EP team challenge"/>
    <s v="078021-EP"/>
    <x v="0"/>
    <s v="NO"/>
    <m/>
    <m/>
    <m/>
    <s v=" "/>
    <s v="0.00 EUR"/>
    <x v="6"/>
  </r>
  <r>
    <s v="EP work tools &amp; rules &gt; Behaviour and Attitude at the Workplace"/>
    <s v="Understanding greenhouse gas (GHG) emissions calculations"/>
    <s v="069487-EP"/>
    <x v="0"/>
    <s v="Yes"/>
    <n v="5"/>
    <d v="2026-09-21T09:30:00"/>
    <d v="2026-09-21T11:30:00"/>
    <d v="2026-04-03T00:00:00"/>
    <s v="0.00 EUR"/>
    <x v="6"/>
  </r>
  <r>
    <s v="EP work tools &amp; rules &gt; Retirement, unemployment, mobility"/>
    <s v="EU Rights at the end of service for Temporary and Contract Agents – information session"/>
    <s v="017440-GEN"/>
    <x v="0"/>
    <s v="Yes"/>
    <n v="86"/>
    <d v="2026-06-15T14:00:00"/>
    <d v="2026-06-15T15:00:00"/>
    <d v="2026-05-21T00:00:00"/>
    <s v="0.00 EUR"/>
    <x v="6"/>
  </r>
  <r>
    <s v="EP work tools &amp; rules &gt; Retirement, unemployment, mobility"/>
    <s v="EU Unemployment allowance rights – information session"/>
    <s v="038664-GEN"/>
    <x v="0"/>
    <s v="Yes"/>
    <n v="80"/>
    <d v="2026-06-25T14:00:00"/>
    <d v="2026-06-25T15:30:00"/>
    <d v="2026-05-20T00:00:00"/>
    <s v="0.00 EUR"/>
    <x v="6"/>
  </r>
  <r>
    <s v="EP work tools &amp; rules &gt; Retirement, unemployment, mobility"/>
    <s v="Peer learning: prepare for your next job in the EP"/>
    <s v="065101-EP"/>
    <x v="0"/>
    <s v="Yes"/>
    <n v="70"/>
    <d v="2026-06-23T10:00:00"/>
    <d v="2026-06-23T13:00:00"/>
    <d v="2026-05-21T00:00:00"/>
    <s v="0.00 EUR"/>
    <x v="6"/>
  </r>
  <r>
    <s v="EP work tools &amp; rules &gt; Retirement, unemployment, mobility"/>
    <s v="Pension rights – information session"/>
    <s v="038920-GEN"/>
    <x v="0"/>
    <s v="Yes"/>
    <n v="303"/>
    <d v="2026-06-30T14:00:00"/>
    <d v="2026-06-30T16:00:00"/>
    <d v="2026-05-21T00:00:00"/>
    <s v="0.00 EUR"/>
    <x v="6"/>
  </r>
  <r>
    <s v="EP work tools &amp; rules &gt; Retirement, unemployment, mobility"/>
    <s v="Staff Regulation training"/>
    <s v="073702-EP"/>
    <x v="0"/>
    <s v="Yes"/>
    <n v="36"/>
    <d v="2026-11-17T09:30:00"/>
    <d v="2026-11-17T17:00:00"/>
    <d v="2026-05-20T00:00:00"/>
    <s v="0.00 EUR"/>
    <x v="6"/>
  </r>
  <r>
    <s v="EP work tools &amp; rules &gt; Retirement, unemployment, mobility"/>
    <s v="Transfer OUT of pension rights – information session"/>
    <s v="038901-GEN"/>
    <x v="0"/>
    <s v="Yes"/>
    <n v="53"/>
    <d v="2026-06-24T14:00:00"/>
    <d v="2026-06-24T15:00:00"/>
    <d v="2026-05-20T00:00:00"/>
    <s v="0.00 EUR"/>
    <x v="6"/>
  </r>
  <r>
    <s v="Ethics &amp; data protection &gt; Data protection"/>
    <s v="ACT-PERDA  - data breach simulation scenario"/>
    <s v="078128-EP"/>
    <x v="0"/>
    <s v="Yes"/>
    <n v="0"/>
    <d v="2026-07-01T10:00:00"/>
    <d v="2026-07-01T12:00:00"/>
    <d v="2026-05-11T00:00:00"/>
    <s v="0.00 EUR"/>
    <x v="7"/>
  </r>
  <r>
    <s v="Ethics &amp; data protection &gt; Data protection"/>
    <s v="DP in IT – Privacy by design and by default training"/>
    <s v="066460-EP"/>
    <x v="0"/>
    <s v="Yes"/>
    <n v="12"/>
    <d v="2026-06-02T09:30:00"/>
    <d v="2026-06-02T12:00:00"/>
    <d v="2026-05-07T00:00:00"/>
    <s v="0.00 EUR"/>
    <x v="7"/>
  </r>
  <r>
    <s v="Ethics &amp; data protection &gt; Data protection"/>
    <s v="Data Protection - Role of the Controllers"/>
    <s v="070388-EP"/>
    <x v="0"/>
    <s v="Yes"/>
    <n v="4"/>
    <d v="2026-10-28T10:00:00"/>
    <d v="2026-10-28T12:30:00"/>
    <d v="2026-05-13T00:00:00"/>
    <s v="0.00 EUR"/>
    <x v="7"/>
  </r>
  <r>
    <s v="Ethics &amp; data protection &gt; Data protection"/>
    <s v="Data protection and HR"/>
    <s v="037982-EP"/>
    <x v="0"/>
    <s v="Yes"/>
    <n v="15"/>
    <d v="2026-11-10T09:30:00"/>
    <d v="2026-11-10T12:30:00"/>
    <d v="2026-05-08T00:00:00"/>
    <s v="0.00 EUR"/>
    <x v="7"/>
  </r>
  <r>
    <s v="Ethics &amp; data protection &gt; Data protection"/>
    <s v="Data protection in IT - Test Environment, Anonymization and Pseudonymization"/>
    <s v="077902-EP"/>
    <x v="0"/>
    <s v="NO"/>
    <m/>
    <d v="2024-05-07T08:00:00"/>
    <d v="2029-07-26T19:00:00"/>
    <s v=" "/>
    <s v="0.00 EUR"/>
    <x v="7"/>
  </r>
  <r>
    <s v="Ethics &amp; data protection &gt; Data protection"/>
    <s v="Data protection in public procurements"/>
    <s v="038560-EP"/>
    <x v="0"/>
    <s v="Yes"/>
    <n v="18"/>
    <d v="2026-11-12T10:30:00"/>
    <d v="2026-11-12T12:30:00"/>
    <d v="2026-05-20T00:00:00"/>
    <s v="0.00 EUR"/>
    <x v="7"/>
  </r>
  <r>
    <s v="Ethics &amp; data protection &gt; Data protection"/>
    <s v="Data protection in the age of AI"/>
    <s v="071260-EP"/>
    <x v="0"/>
    <s v="NO"/>
    <m/>
    <d v="2026-11-19T14:30:00"/>
    <d v="2026-11-19T16:00:00"/>
    <d v="2026-05-20T00:00:00"/>
    <s v="0.00 EUR"/>
    <x v="7"/>
  </r>
  <r>
    <s v="Ethics &amp; data protection &gt; Data protection"/>
    <s v="Essentials of data protection in the European Parliament"/>
    <s v="074660-EP"/>
    <x v="0"/>
    <s v="NO"/>
    <m/>
    <d v="2024-07-16T08:00:00"/>
    <d v="2029-07-26T17:00:00"/>
    <s v=" "/>
    <s v="0.00 EUR"/>
    <x v="7"/>
  </r>
  <r>
    <s v="Ethics &amp; data protection &gt; Data protection"/>
    <s v="Personal Data Breaches - identify and act"/>
    <s v="061922-EP"/>
    <x v="0"/>
    <s v="Yes"/>
    <n v="22"/>
    <d v="2025-04-29T14:30:00"/>
    <d v="2025-04-29T16:30:00"/>
    <d v="2026-02-23T00:00:00"/>
    <s v="0.00 EUR"/>
    <x v="7"/>
  </r>
  <r>
    <s v="Ethics &amp; data protection &gt; Data protection"/>
    <s v="Personal Data Breaches - identify and act"/>
    <s v="061923-EP"/>
    <x v="0"/>
    <s v="Yes"/>
    <n v="23"/>
    <d v="2026-05-26T09:30:00"/>
    <d v="2026-05-26T12:00:00"/>
    <d v="2026-05-08T00:00:00"/>
    <s v="0.00 EUR"/>
    <x v="7"/>
  </r>
  <r>
    <s v="Ethics &amp; data protection &gt; Data protection"/>
    <s v="Privacy Enhancing Technologies (PETs)"/>
    <s v="061925-EP"/>
    <x v="0"/>
    <s v="Yes"/>
    <n v="11"/>
    <d v="2026-06-04T14:00:00"/>
    <d v="2026-06-04T17:00:00"/>
    <d v="2026-05-12T00:00:00"/>
    <s v="0.00 EUR"/>
    <x v="7"/>
  </r>
  <r>
    <s v="Ethics &amp; data protection &gt; Data protection"/>
    <s v="Privacy risks and Data Protection Impact Assessment"/>
    <s v="071133-EP"/>
    <x v="0"/>
    <s v="Yes"/>
    <n v="11"/>
    <d v="2026-06-16T09:30:00"/>
    <d v="2026-06-16T12:30:00"/>
    <d v="2026-05-11T00:00:00"/>
    <s v="0.00 EUR"/>
    <x v="7"/>
  </r>
  <r>
    <s v="Ethics &amp; data protection &gt; Data protection"/>
    <s v="Risk Assessment and DPIA - workshop"/>
    <s v="071135-EP"/>
    <x v="0"/>
    <s v="Yes"/>
    <n v="7"/>
    <d v="2026-06-16T14:00:00"/>
    <d v="2026-06-16T16:30:00"/>
    <d v="2026-05-08T00:00:00"/>
    <s v="0.00 EUR"/>
    <x v="7"/>
  </r>
  <r>
    <s v="Ethics &amp; data protection &gt; Data protection"/>
    <s v="Transfer Impact Assessment in the European Parliament (TIA)"/>
    <s v="071681-EP"/>
    <x v="0"/>
    <s v="Yes"/>
    <n v="4"/>
    <d v="2026-11-12T14:00:00"/>
    <d v="2026-11-12T16:30:00"/>
    <d v="2026-05-19T00:00:00"/>
    <s v="0.00 EUR"/>
    <x v="7"/>
  </r>
  <r>
    <s v="Ethics &amp; data protection &gt; Ethics"/>
    <s v="Dealing effectively with lobbyists "/>
    <s v="023221-EP"/>
    <x v="0"/>
    <s v="Yes"/>
    <n v="29"/>
    <d v="2026-10-15T09:30:00"/>
    <d v="2026-10-15T17:30:00"/>
    <d v="2026-04-15T00:00:00"/>
    <s v="0.00 EUR"/>
    <x v="7"/>
  </r>
  <r>
    <s v="Ethics &amp; data protection &gt; Ethics"/>
    <s v="Let's Talk Ethics"/>
    <s v="070182-EP"/>
    <x v="0"/>
    <s v="NO"/>
    <m/>
    <d v="2025-02-20T08:00:00"/>
    <d v="2029-07-31T08:00:00"/>
    <s v=" "/>
    <s v="0.00 EUR"/>
    <x v="7"/>
  </r>
  <r>
    <s v="EU policies &amp; EP core business"/>
    <s v="Misinformation and beyond "/>
    <s v="078000-EP"/>
    <x v="0"/>
    <s v="Yes"/>
    <n v="5"/>
    <d v="2026-06-09T09:00:00"/>
    <d v="2026-06-09T12:30:00"/>
    <d v="2026-05-21T00:00:00"/>
    <s v="0.00 EUR"/>
    <x v="8"/>
  </r>
  <r>
    <s v="EU policies &amp; EP core business"/>
    <s v="Protection of Media and Independent Press "/>
    <s v="076084-EP"/>
    <x v="0"/>
    <s v="Yes"/>
    <n v="4"/>
    <d v="2026-04-14T09:00:00"/>
    <d v="2026-04-14T12:30:00"/>
    <d v="2026-04-23T00:00:00"/>
    <s v="0.00 EUR"/>
    <x v="8"/>
  </r>
  <r>
    <s v="EU policies &amp; EP core business"/>
    <s v="What you need to know about Economics (and were afraid to ask)"/>
    <s v="024107-EP"/>
    <x v="0"/>
    <s v="Yes"/>
    <n v="21"/>
    <d v="2026-11-18T09:00:00"/>
    <d v="2026-11-19T12:30:00"/>
    <d v="2026-05-21T00:00:00"/>
    <s v="0.00 EUR"/>
    <x v="8"/>
  </r>
  <r>
    <s v="EU policies &amp; EP core business &gt; How the EP works"/>
    <s v="EU Delegated and Implementing Acts at a glance"/>
    <s v="069224-EP"/>
    <x v="0"/>
    <s v="NO"/>
    <m/>
    <d v="2025-02-11T08:00:00"/>
    <d v="2029-07-27T08:00:00"/>
    <s v=" "/>
    <s v="0.00 EUR"/>
    <x v="8"/>
  </r>
  <r>
    <s v="EU policies &amp; EP core business &gt; How the EP works"/>
    <s v="EU Law for non-lawyers"/>
    <s v="030740-EP"/>
    <x v="0"/>
    <s v="Yes"/>
    <n v="28"/>
    <d v="2026-09-23T09:00:00"/>
    <d v="2026-09-23T17:00:00"/>
    <d v="2026-05-19T00:00:00"/>
    <s v="0.00 EUR"/>
    <x v="8"/>
  </r>
  <r>
    <s v="EU policies &amp; EP core business &gt; How the EP works"/>
    <s v="EU Social Law"/>
    <s v="061364-EP"/>
    <x v="0"/>
    <s v="Yes"/>
    <n v="31"/>
    <d v="2026-03-03T09:00:00"/>
    <d v="2026-03-03T17:01:00"/>
    <d v="2026-04-20T00:00:00"/>
    <s v="0.00 EUR"/>
    <x v="8"/>
  </r>
  <r>
    <s v="EU policies &amp; EP core business &gt; How the EP works"/>
    <s v="Legislative Amendments from A to Z: drafting, tabling, voting"/>
    <s v="029006-EP"/>
    <x v="0"/>
    <s v="Yes"/>
    <n v="46"/>
    <d v="2026-10-26T09:00:00"/>
    <d v="2026-10-27T16:30:00"/>
    <d v="2026-05-21T00:00:00"/>
    <s v="0.00 EUR"/>
    <x v="8"/>
  </r>
  <r>
    <s v="EU policies &amp; EP core business &gt; How the EP works"/>
    <s v="Ordinary Legislative Procedure - Walkthrough the OLP / COD procedure - 1st reading"/>
    <s v="073440-EP"/>
    <x v="0"/>
    <s v="Yes"/>
    <n v="18"/>
    <d v="2026-12-08T09:00:00"/>
    <d v="2026-12-08T17:30:00"/>
    <d v="2026-05-18T00:00:00"/>
    <s v="0.00 EUR"/>
    <x v="8"/>
  </r>
  <r>
    <s v="EU policies &amp; EP core business &gt; How the EP works"/>
    <s v="Ten things you need to know about the European Parliament"/>
    <s v="054231-EP"/>
    <x v="0"/>
    <s v="Yes"/>
    <n v="79"/>
    <d v="2026-06-23T14:00:00"/>
    <d v="2026-06-23T17:30:00"/>
    <d v="2026-05-18T00:00:00"/>
    <s v="0.00 EUR"/>
    <x v="8"/>
  </r>
  <r>
    <s v="EU policies &amp; EP core business &gt; Policies"/>
    <s v="Artificial Intelligence and Copyright : a practical legal guidance"/>
    <s v="074823-EP"/>
    <x v="0"/>
    <s v="Yes"/>
    <n v="13"/>
    <d v="2026-03-19T10:00:00"/>
    <d v="2026-03-19T12:00:00"/>
    <d v="2026-05-13T00:00:00"/>
    <s v="0.00 EUR"/>
    <x v="8"/>
  </r>
  <r>
    <s v="EU policies &amp; EP core business &gt; Policies"/>
    <s v="Asylum, Migration and Border Management Law"/>
    <s v="031203-EP"/>
    <x v="0"/>
    <s v="Yes"/>
    <n v="20"/>
    <d v="2026-10-28T09:00:00"/>
    <d v="2026-10-28T17:00:00"/>
    <d v="2026-05-18T00:00:00"/>
    <s v="0.00 EUR"/>
    <x v="8"/>
  </r>
  <r>
    <s v="EU policies &amp; EP core business &gt; Policies"/>
    <s v="Cybersecurity "/>
    <s v="073760-EP"/>
    <x v="0"/>
    <s v="Yes"/>
    <n v="9"/>
    <d v="2026-09-21T09:00:00"/>
    <d v="2026-09-21T17:00:00"/>
    <d v="2026-05-21T00:00:00"/>
    <s v="0.00 EUR"/>
    <x v="8"/>
  </r>
  <r>
    <s v="EU policies &amp; EP core business &gt; Policies"/>
    <s v="EU Cohesion Policy Achievements and Perspectives"/>
    <s v="076220-EP"/>
    <x v="0"/>
    <s v="Yes"/>
    <n v="5"/>
    <d v="2026-05-29T09:00:00"/>
    <d v="2026-05-29T12:30:00"/>
    <d v="2026-05-21T00:00:00"/>
    <s v="0.00 EUR"/>
    <x v="8"/>
  </r>
  <r>
    <s v="EU policies &amp; EP core business &gt; Policies"/>
    <s v="EU Food Law "/>
    <s v="074441-EP"/>
    <x v="0"/>
    <s v="Yes"/>
    <n v="6"/>
    <d v="2026-09-03T09:00:00"/>
    <d v="2026-09-04T12:30:00"/>
    <d v="2026-05-11T00:00:00"/>
    <s v="0.00 EUR"/>
    <x v="8"/>
  </r>
  <r>
    <s v="EU policies &amp; EP core business &gt; Policies"/>
    <s v="EU Public Health"/>
    <s v="074320-EP"/>
    <x v="0"/>
    <s v="Yes"/>
    <n v="5"/>
    <d v="2026-05-27T09:00:00"/>
    <d v="2026-05-28T17:00:00"/>
    <d v="2026-05-21T00:00:00"/>
    <s v="0.00 EUR"/>
    <x v="8"/>
  </r>
  <r>
    <s v="EU policies &amp; EP core business &gt; Policies"/>
    <s v="EU Trade Policy and Geoeconomics "/>
    <s v="071430-EP"/>
    <x v="0"/>
    <s v="Yes"/>
    <n v="29"/>
    <d v="2026-10-14T09:00:00"/>
    <d v="2026-10-14T17:00:00"/>
    <d v="2026-05-19T00:00:00"/>
    <s v="0.00 EUR"/>
    <x v="8"/>
  </r>
  <r>
    <s v="EU policies &amp; EP core business &gt; Policies"/>
    <s v="Environmental law and the European Green Deal"/>
    <s v="035720-EP"/>
    <x v="0"/>
    <s v="Yes"/>
    <n v="17"/>
    <d v="2026-09-02T09:00:00"/>
    <d v="2026-09-02T17:00:00"/>
    <d v="2026-05-21T00:00:00"/>
    <s v="0.00 EUR"/>
    <x v="8"/>
  </r>
  <r>
    <s v="EU policies &amp; EP core business &gt; Policies"/>
    <s v="General introduction to business continuity management - Remote live training  "/>
    <s v="024154-SG POLICY"/>
    <x v="0"/>
    <s v="Yes"/>
    <n v="47"/>
    <d v="2025-09-16T09:15:00"/>
    <d v="2025-09-16T12:00:00"/>
    <d v="2026-03-24T00:00:00"/>
    <s v="125.00 EUR"/>
    <x v="8"/>
  </r>
  <r>
    <s v="EU policies &amp; EP core business &gt; Policies"/>
    <s v="Innovative Policymaking - MasterClass"/>
    <s v="070994-SG POLICY"/>
    <x v="0"/>
    <s v="Yes"/>
    <n v="3"/>
    <d v="2026-06-08T11:00:00"/>
    <d v="2026-06-08T12:00:00"/>
    <d v="2026-05-21T00:00:00"/>
    <s v="0.00 EUR"/>
    <x v="8"/>
  </r>
  <r>
    <s v="EU policies &amp; EP core business &gt; Policies"/>
    <s v="Legislating for the European Union"/>
    <s v="023500-EP"/>
    <x v="0"/>
    <s v="Yes"/>
    <n v="151"/>
    <d v="2026-11-30T09:00:00"/>
    <d v="2026-11-30T12:30:00"/>
    <d v="2026-05-19T00:00:00"/>
    <s v="0.00 EUR"/>
    <x v="8"/>
  </r>
  <r>
    <s v="EU policies &amp; EP core business &gt; Policies"/>
    <s v="Security, Defence and the EU"/>
    <s v="049483-EP"/>
    <x v="0"/>
    <s v="Yes"/>
    <n v="7"/>
    <d v="2026-06-12T09:00:00"/>
    <d v="2026-06-12T17:00:00"/>
    <d v="2026-05-21T00:00:00"/>
    <s v="0.00 EUR"/>
    <x v="8"/>
  </r>
  <r>
    <s v="EU policies &amp; EP core business &gt; Policies"/>
    <s v="The European Affordable Housing Plan"/>
    <s v="076120-EP"/>
    <x v="0"/>
    <s v="Yes"/>
    <n v="2"/>
    <d v="2026-06-10T09:00:00"/>
    <d v="2026-06-10T12:31:00"/>
    <d v="2026-05-20T00:00:00"/>
    <s v="0.00 EUR"/>
    <x v="8"/>
  </r>
  <r>
    <s v="EU policies &amp; EP core business &gt; Policies"/>
    <s v="The Multiannual Financial Framework (MFF)"/>
    <s v="077514-EP"/>
    <x v="0"/>
    <s v="Yes"/>
    <n v="1"/>
    <d v="2026-06-11T14:00:00"/>
    <d v="2026-06-11T16:00:00"/>
    <d v="2026-05-20T00:00:00"/>
    <s v="0.00 EUR"/>
    <x v="8"/>
  </r>
  <r>
    <s v="EU policies &amp; EP core business &gt; Policies"/>
    <s v="The future of our energy: what is the EU’s policy?"/>
    <s v="069207-EP"/>
    <x v="0"/>
    <s v="NO"/>
    <m/>
    <d v="2025-02-08T08:00:00"/>
    <d v="2029-07-31T08:00:00"/>
    <s v=" "/>
    <s v="0.00 EUR"/>
    <x v="8"/>
  </r>
  <r>
    <s v="EU policies &amp; EP core business &gt; Powers"/>
    <s v="EP powers and EU policies"/>
    <s v="069222-EP"/>
    <x v="0"/>
    <s v="NO"/>
    <m/>
    <d v="2025-02-01T08:00:00"/>
    <d v="2029-07-26T08:00:00"/>
    <s v=" "/>
    <s v="0.00 EUR"/>
    <x v="8"/>
  </r>
  <r>
    <s v="EU policies &amp; EP core business &gt; Powers"/>
    <s v="Powers of Scrutiny of the European Parliament "/>
    <s v="071273-EP"/>
    <x v="0"/>
    <s v="Yes"/>
    <n v="15"/>
    <d v="2026-10-26T09:00:00"/>
    <d v="2026-10-26T17:00:00"/>
    <d v="2026-05-19T00:00:00"/>
    <s v="0.00 EUR"/>
    <x v="8"/>
  </r>
  <r>
    <s v="EU policies &amp; EP core business &gt; Powers"/>
    <s v="Rule of Law as a fundamental value of the European Union"/>
    <s v="029173-EP"/>
    <x v="0"/>
    <s v="Yes"/>
    <n v="6"/>
    <d v="2026-09-23T09:00:00"/>
    <d v="2026-09-23T17:00:00"/>
    <d v="2026-05-19T00:00:00"/>
    <s v="0.00 EUR"/>
    <x v="8"/>
  </r>
  <r>
    <s v="EU policies &amp; EP core business &gt; Powers"/>
    <s v="Rules of Procedure"/>
    <s v="031103-EP"/>
    <x v="0"/>
    <s v="Yes"/>
    <n v="89"/>
    <d v="2026-11-17T09:00:00"/>
    <d v="2026-11-17T17:00:00"/>
    <d v="2026-05-21T00:00:00"/>
    <s v="0.00 EUR"/>
    <x v="8"/>
  </r>
  <r>
    <s v="EU policies &amp; EP core business &gt; Powers"/>
    <s v="The Multiannual Financial Framework (MFF)"/>
    <s v="077514-EP"/>
    <x v="0"/>
    <s v="Yes"/>
    <n v="1"/>
    <d v="2026-06-11T14:00:00"/>
    <d v="2026-06-11T16:00:00"/>
    <d v="2026-05-20T00:00:00"/>
    <s v="0.00 EUR"/>
    <x v="8"/>
  </r>
  <r>
    <s v="EU policies &amp; EP core business &gt; Powers"/>
    <s v="Understanding the EU Budget"/>
    <s v="058777-EP"/>
    <x v="0"/>
    <s v="Yes"/>
    <n v="97"/>
    <d v="2026-10-26T09:00:00"/>
    <d v="2026-10-26T17:00:00"/>
    <d v="2026-05-21T00:00:00"/>
    <s v="0.00 EUR"/>
    <x v="8"/>
  </r>
  <r>
    <s v="Events"/>
    <s v="EP Talks Channel"/>
    <s v="069085-EP-0007-EN-GB"/>
    <x v="2"/>
    <m/>
    <m/>
    <s v="duration of use"/>
    <m/>
    <m/>
    <s v="0.00 EUR"/>
    <x v="9"/>
  </r>
  <r>
    <s v="Events"/>
    <s v="DG PERS Learning Community "/>
    <s v="071851-EP"/>
    <x v="0"/>
    <s v="Yes"/>
    <n v="2"/>
    <d v="2025-12-01T09:25:00"/>
    <d v="2026-09-30T08:00:00"/>
    <d v="2026-01-21T00:00:00"/>
    <s v="0.00 EUR"/>
    <x v="9"/>
  </r>
  <r>
    <s v="Events"/>
    <s v="EP role play"/>
    <s v="068964-EP"/>
    <x v="0"/>
    <s v="NO"/>
    <m/>
    <d v="2024-12-02T08:00:00"/>
    <d v="2029-07-02T08:00:00"/>
    <s v=" "/>
    <s v="0.00 EUR"/>
    <x v="9"/>
  </r>
  <r>
    <s v="Events"/>
    <s v="Evacuation Volunteers - Learning Path Trainings - Brussels"/>
    <s v="EP SAFE_000159"/>
    <x v="1"/>
    <m/>
    <m/>
    <m/>
    <m/>
    <d v="2026-05-13T00:00:00"/>
    <m/>
    <x v="9"/>
  </r>
  <r>
    <s v="Events"/>
    <s v="Evacuation Volunteers - Learning Path Trainings - Luxembourg"/>
    <s v="EP SAFE_000240"/>
    <x v="1"/>
    <m/>
    <m/>
    <m/>
    <m/>
    <d v="2026-05-04T00:00:00"/>
    <m/>
    <x v="9"/>
  </r>
  <r>
    <s v="Events"/>
    <s v="Evacuation Volunteers - Learning Path Trainings - Strasbourg"/>
    <s v="EP SAFE_000459"/>
    <x v="1"/>
    <m/>
    <m/>
    <m/>
    <m/>
    <d v="2026-04-16T00:00:00"/>
    <m/>
    <x v="9"/>
  </r>
  <r>
    <s v="Events"/>
    <s v="Security While Travelling Abroad"/>
    <s v="077219-EP SAFE-0001-EN-GB"/>
    <x v="2"/>
    <m/>
    <m/>
    <d v="2026-06-03T10:30:00"/>
    <d v="2026-06-03T11:30:00"/>
    <d v="2026-05-20T00:00:00"/>
    <s v="0.00 EUR"/>
    <x v="9"/>
  </r>
  <r>
    <s v="Events"/>
    <s v="Treasure Hunt at the Museum"/>
    <s v="069230-EP"/>
    <x v="0"/>
    <s v="Yes"/>
    <n v="6"/>
    <d v="2025-06-24T09:30:00"/>
    <d v="2025-06-24T12:30:00"/>
    <d v="2026-01-07T00:00:00"/>
    <s v="0.00 EUR"/>
    <x v="9"/>
  </r>
  <r>
    <s v="Events"/>
    <s v="Workshop on hosting a Peer Learning Group"/>
    <s v="071852-EP"/>
    <x v="0"/>
    <s v="Yes"/>
    <n v="5"/>
    <d v="2025-11-07T10:00:00"/>
    <d v="2025-11-07T12:00:00"/>
    <d v="2025-11-28T00:00:00"/>
    <s v="0.00 EUR"/>
    <x v="9"/>
  </r>
  <r>
    <s v="Events &gt; SG EU Policymaking Hub"/>
    <s v="Introduction to the Commission's decision-making process procedures"/>
    <s v="002501-SG-0020-EN-GB"/>
    <x v="2"/>
    <m/>
    <m/>
    <s v="duration of use"/>
    <m/>
    <d v="2026-05-20T00:00:00"/>
    <s v="0.00 EUR"/>
    <x v="9"/>
  </r>
  <r>
    <s v="Events &gt; SG EU Policymaking Hub"/>
    <s v="Strategic planning and programming (e-learning)"/>
    <s v="003180-SG-0012-EN-GB"/>
    <x v="2"/>
    <m/>
    <m/>
    <s v="duration of use"/>
    <m/>
    <d v="2026-05-20T00:00:00"/>
    <s v="0.00 EUR"/>
    <x v="9"/>
  </r>
  <r>
    <s v="Events &gt; SG EU Policymaking Hub"/>
    <s v=" Introduction to Strategic Foresight - Remote live training  "/>
    <s v="022815-SG POLICY"/>
    <x v="0"/>
    <s v="Yes"/>
    <n v="39"/>
    <d v="2026-10-22T13:30:00"/>
    <d v="2026-10-23T17:00:00"/>
    <d v="2026-05-20T00:00:00"/>
    <s v="250.00 EUR"/>
    <x v="9"/>
  </r>
  <r>
    <s v="Events &gt; SG EU Policymaking Hub"/>
    <s v="AI in Policymaking MasterClass"/>
    <s v="066080-SG POLICY"/>
    <x v="0"/>
    <s v="Yes"/>
    <n v="21"/>
    <d v="2026-06-11T11:00:00"/>
    <d v="2026-06-11T12:00:00"/>
    <d v="2026-05-21T00:00:00"/>
    <s v="0.00 EUR"/>
    <x v="9"/>
  </r>
  <r>
    <s v="Events &gt; SG EU Policymaking Hub"/>
    <s v="AI in policymaking MasterClass (Recorded sessions)"/>
    <s v="068960-SG POLICY"/>
    <x v="0"/>
    <s v="NO"/>
    <m/>
    <m/>
    <m/>
    <d v="2026-05-19T00:00:00"/>
    <s v="0.00 EUR"/>
    <x v="9"/>
  </r>
  <r>
    <s v="Events &gt; SG EU Policymaking Hub"/>
    <s v="Behavioural Insights Applied to Policymaking – A crash course for Managers and Directors - Remote live training"/>
    <s v="024585-SG POLICY"/>
    <x v="0"/>
    <s v="Yes"/>
    <n v="0"/>
    <d v="2026-09-30T09:30:00"/>
    <d v="2026-09-30T11:00:00"/>
    <d v="2026-03-30T00:00:00"/>
    <s v="0.00 EUR"/>
    <x v="9"/>
  </r>
  <r>
    <s v="Events &gt; SG EU Policymaking Hub"/>
    <s v="Behavioural Insights Applied to Policymaking – online-live introductory course"/>
    <s v="022991-SG POLICY"/>
    <x v="0"/>
    <s v="Yes"/>
    <n v="29"/>
    <d v="2026-09-21T09:30:00"/>
    <d v="2026-09-22T12:30:00"/>
    <d v="2026-05-20T00:00:00"/>
    <s v="255.00 EUR"/>
    <x v="9"/>
  </r>
  <r>
    <s v="Events &gt; SG EU Policymaking Hub"/>
    <s v="Better Regulation across the policy cycle - Introduction - Remote live training"/>
    <s v="023327-SG POLICY"/>
    <x v="0"/>
    <s v="Yes"/>
    <n v="25"/>
    <d v="2026-12-03T09:00:00"/>
    <d v="2026-12-03T13:00:00"/>
    <d v="2026-05-20T00:00:00"/>
    <s v="127.50 EUR"/>
    <x v="9"/>
  </r>
  <r>
    <s v="Events &gt; SG EU Policymaking Hub"/>
    <s v="Delegated acts and new comitology - Remote live training "/>
    <s v="022867-SG POLICY"/>
    <x v="0"/>
    <s v="Yes"/>
    <n v="11"/>
    <d v="2026-06-16T09:30:00"/>
    <d v="2026-06-16T13:00:00"/>
    <d v="2026-05-20T00:00:00"/>
    <s v="127.50 EUR"/>
    <x v="9"/>
  </r>
  <r>
    <s v="Events &gt; SG EU Policymaking Hub"/>
    <s v="EU Policymaking Hub - Recorded e-talks"/>
    <s v="024273-SG POLICY"/>
    <x v="0"/>
    <s v="NO"/>
    <m/>
    <m/>
    <m/>
    <d v="2026-05-21T00:00:00"/>
    <s v="0.00 EUR"/>
    <x v="9"/>
  </r>
  <r>
    <s v="Events &gt; SG EU Policymaking Hub"/>
    <s v="EU Policymaking hub e-talks"/>
    <s v="022964-SG POLICY"/>
    <x v="0"/>
    <s v="Yes"/>
    <n v="0"/>
    <d v="2026-09-14T11:00:00"/>
    <d v="2026-09-14T12:00:00"/>
    <d v="2026-05-21T00:00:00"/>
    <s v="0.00 EUR"/>
    <x v="9"/>
  </r>
  <r>
    <s v="Events &gt; SG EU Policymaking Hub"/>
    <s v="External voices series"/>
    <s v="074601-SG POLICY"/>
    <x v="0"/>
    <s v="Yes"/>
    <n v="2"/>
    <d v="2026-04-21T15:00:00"/>
    <d v="2026-04-21T16:00:00"/>
    <d v="2026-04-24T00:00:00"/>
    <s v="0.00 EUR"/>
    <x v="9"/>
  </r>
  <r>
    <s v="Events &gt; SG EU Policymaking Hub"/>
    <s v="External voices series - recorded e-talks"/>
    <s v="074602-SG POLICY"/>
    <x v="0"/>
    <s v="NO"/>
    <m/>
    <m/>
    <m/>
    <d v="2026-05-10T00:00:00"/>
    <s v="0.00 EUR"/>
    <x v="9"/>
  </r>
  <r>
    <s v="Events &gt; SG EU Policymaking Hub"/>
    <s v="Foresight Talks"/>
    <s v="024763-SG POLICY"/>
    <x v="0"/>
    <s v="Yes"/>
    <n v="37"/>
    <d v="2026-09-24T11:30:00"/>
    <d v="2026-09-24T12:30:00"/>
    <d v="2026-05-21T00:00:00"/>
    <s v="0.00 EUR"/>
    <x v="9"/>
  </r>
  <r>
    <s v="Events &gt; SG EU Policymaking Hub"/>
    <s v="Foresight in better regulation"/>
    <s v="051202-SG POLICY"/>
    <x v="0"/>
    <s v="Yes"/>
    <n v="25"/>
    <d v="2026-10-13T10:00:00"/>
    <d v="2026-10-13T11:00:00"/>
    <d v="2026-05-20T00:00:00"/>
    <s v="0.00 EUR"/>
    <x v="9"/>
  </r>
  <r>
    <s v="Events &gt; SG EU Policymaking Hub"/>
    <s v="Futures Garden – Experiment with the future"/>
    <s v="058960-SG POLICY"/>
    <x v="0"/>
    <s v="Yes"/>
    <n v="15"/>
    <d v="2026-11-18T14:00:00"/>
    <d v="2026-11-18T17:00:00"/>
    <d v="2026-04-03T00:00:00"/>
    <s v="127.50 EUR"/>
    <x v="9"/>
  </r>
  <r>
    <s v="Events &gt; SG EU Policymaking Hub"/>
    <s v="Futures Insights "/>
    <s v="024764-SG POLICY"/>
    <x v="0"/>
    <s v="Yes"/>
    <n v="41"/>
    <d v="2026-05-06T11:30:00"/>
    <d v="2026-05-06T12:30:00"/>
    <d v="2026-05-08T00:00:00"/>
    <s v="0.00 EUR"/>
    <x v="9"/>
  </r>
  <r>
    <s v="Events &gt; SG EU Policymaking Hub"/>
    <s v="High Level Competitiveness Talk Series (Recordings)"/>
    <s v="070841-SG POLICY"/>
    <x v="0"/>
    <s v="NO"/>
    <m/>
    <m/>
    <m/>
    <d v="2026-05-20T00:00:00"/>
    <s v="0.00 EUR"/>
    <x v="9"/>
  </r>
  <r>
    <s v="Events &gt; SG EU Policymaking Hub"/>
    <s v="High-Level Competitiveness Talks "/>
    <s v="070477-SG POLICY"/>
    <x v="0"/>
    <s v="Yes"/>
    <n v="0"/>
    <d v="2026-02-03T11:00:00"/>
    <d v="2026-02-03T12:00:00"/>
    <d v="2026-02-03T00:00:00"/>
    <s v="0.00 EUR"/>
    <x v="9"/>
  </r>
  <r>
    <s v="Events &gt; SG EU Policymaking Hub"/>
    <s v="How to design more user-centred polices: Deeper dive  (Remote live training)"/>
    <s v="029915-SG POLICY"/>
    <x v="0"/>
    <s v="Yes"/>
    <n v="9"/>
    <d v="2026-06-12T09:30:00"/>
    <d v="2026-06-12T13:00:00"/>
    <d v="2026-02-06T00:00:00"/>
    <s v="127.50 EUR"/>
    <x v="9"/>
  </r>
  <r>
    <s v="Events &gt; SG EU Policymaking Hub"/>
    <s v="How to design more user-centred policies: A taster (Remote live training)"/>
    <s v="029914-SG POLICY"/>
    <x v="0"/>
    <s v="Yes"/>
    <n v="29"/>
    <d v="2026-04-17T09:30:00"/>
    <d v="2026-04-17T13:00:00"/>
    <d v="2026-04-17T00:00:00"/>
    <s v="125.00 EUR"/>
    <x v="9"/>
  </r>
  <r>
    <s v="Events &gt; SG EU Policymaking Hub"/>
    <s v="Impact assessment - Remote live training"/>
    <s v="022814-SG POLICY"/>
    <x v="0"/>
    <s v="Yes"/>
    <n v="54"/>
    <d v="2026-11-19T09:30:00"/>
    <d v="2026-11-20T13:00:00"/>
    <d v="2026-05-19T00:00:00"/>
    <s v="255.00 EUR"/>
    <x v="9"/>
  </r>
  <r>
    <s v="Events &gt; SG EU Policymaking Hub"/>
    <s v="Impact assessment - classroom course"/>
    <s v="068740-SG POLICY"/>
    <x v="0"/>
    <s v="Yes"/>
    <n v="12"/>
    <d v="2026-02-10T09:30:00"/>
    <d v="2026-02-10T17:00:00"/>
    <d v="2026-05-05T00:00:00"/>
    <s v="255.00 EUR"/>
    <x v="9"/>
  </r>
  <r>
    <s v="Events &gt; SG EU Policymaking Hub"/>
    <s v="In-depth training on specific foresight tools: FuturGov Game - Classroom"/>
    <s v="074888-SG POLICY"/>
    <x v="0"/>
    <s v="Yes"/>
    <n v="1"/>
    <d v="2026-06-05T09:30:00"/>
    <d v="2026-06-05T12:30:00"/>
    <d v="2026-05-13T00:00:00"/>
    <s v="127.50 EUR"/>
    <x v="9"/>
  </r>
  <r>
    <s v="Events &gt; SG EU Policymaking Hub"/>
    <s v="In-depth training on specific foresight tools: Horizon scanning and trend analysis - Remote live training "/>
    <s v="028161-SG POLICY"/>
    <x v="0"/>
    <s v="Yes"/>
    <n v="66"/>
    <d v="2026-06-10T09:30:00"/>
    <d v="2026-06-10T12:30:00"/>
    <d v="2026-05-11T00:00:00"/>
    <s v="127.50 EUR"/>
    <x v="9"/>
  </r>
  <r>
    <s v="Events &gt; SG EU Policymaking Hub"/>
    <s v="In-depth training on specific foresight tools: Megatrends – engagement tool - Remote live training"/>
    <s v="028160-SG POLICY"/>
    <x v="0"/>
    <s v="Yes"/>
    <n v="28"/>
    <d v="2026-10-16T09:30:00"/>
    <d v="2026-10-16T12:30:00"/>
    <d v="2026-04-09T00:00:00"/>
    <s v="127.50 EUR"/>
    <x v="9"/>
  </r>
  <r>
    <s v="Events &gt; SG EU Policymaking Hub"/>
    <s v="In-depth training on specific foresight tools: Scenario exploration system (SES) - Classroom"/>
    <s v="059523-SG POLICY"/>
    <x v="0"/>
    <s v="Yes"/>
    <n v="3"/>
    <d v="2026-09-11T09:30:00"/>
    <d v="2026-09-11T12:30:00"/>
    <d v="2026-05-06T00:00:00"/>
    <s v="127.50 EUR"/>
    <x v="9"/>
  </r>
  <r>
    <s v="Events &gt; SG EU Policymaking Hub"/>
    <s v="In-depth training on specific foresight tools: Scenario planning - Remote live training"/>
    <s v="028162-SG POLICY"/>
    <x v="0"/>
    <s v="Yes"/>
    <n v="55"/>
    <d v="2026-03-27T09:30:00"/>
    <d v="2026-03-27T12:30:00"/>
    <d v="2026-04-20T00:00:00"/>
    <s v="127.50 EUR"/>
    <x v="9"/>
  </r>
  <r>
    <s v="Events &gt; SG EU Policymaking Hub"/>
    <s v="Innovative Policymaking - MasterClass"/>
    <s v="070994-SG POLICY"/>
    <x v="0"/>
    <s v="Yes"/>
    <n v="3"/>
    <d v="2026-06-08T11:00:00"/>
    <d v="2026-06-08T12:00:00"/>
    <d v="2026-05-21T00:00:00"/>
    <s v="0.00 EUR"/>
    <x v="9"/>
  </r>
  <r>
    <s v="Events &gt; SG EU Policymaking Hub"/>
    <s v="Innovative Policymaking - MasterClass (Recordings)"/>
    <s v="071296-SG POLICY"/>
    <x v="0"/>
    <s v="NO"/>
    <m/>
    <m/>
    <m/>
    <d v="2026-04-07T00:00:00"/>
    <s v="0.00 EUR"/>
    <x v="9"/>
  </r>
  <r>
    <s v="Events &gt; SG EU Policymaking Hub"/>
    <s v="Internal and interinstitutional decision-making procedures - Classroom course"/>
    <s v="000802-SG"/>
    <x v="0"/>
    <s v="Yes"/>
    <n v="32"/>
    <d v="2026-02-10T09:30:00"/>
    <d v="2026-02-10T17:01:00"/>
    <d v="2026-05-07T00:00:00"/>
    <s v="255.00 EUR"/>
    <x v="9"/>
  </r>
  <r>
    <s v="Events &gt; SG EU Policymaking Hub"/>
    <s v="Internal and interinstitutional decision-making procedures - Introduction - Remote live training "/>
    <s v="022810-SG POLICY"/>
    <x v="0"/>
    <s v="Yes"/>
    <n v="39"/>
    <d v="2026-07-02T13:30:00"/>
    <d v="2026-07-03T13:00:00"/>
    <d v="2026-05-18T00:00:00"/>
    <s v="255.00 EUR"/>
    <x v="9"/>
  </r>
  <r>
    <s v="Events &gt; SG EU Policymaking Hub"/>
    <s v="Intervention logic, problem definition - Better regulation - Remote live training "/>
    <s v="028660-SG POLICY"/>
    <x v="0"/>
    <s v="Yes"/>
    <n v="25"/>
    <d v="2026-04-14T09:00:00"/>
    <d v="2026-04-15T12:30:00"/>
    <d v="2026-04-20T00:00:00"/>
    <s v="255.00 EUR"/>
    <x v="9"/>
  </r>
  <r>
    <s v="Events &gt; SG EU Policymaking Hub"/>
    <s v="Political Advice and Policy Communication Masterclass"/>
    <s v="076660-SG POLICY"/>
    <x v="0"/>
    <s v="Yes"/>
    <n v="5"/>
    <d v="2026-10-15T11:00:00"/>
    <d v="2026-10-15T12:00:00"/>
    <d v="2026-05-20T00:00:00"/>
    <s v="0.00 EUR"/>
    <x v="9"/>
  </r>
  <r>
    <s v="Events &gt; SG EU Policymaking Hub"/>
    <s v="Political Priorities Deliveries - Recorded e-talks "/>
    <s v="071436-SG POLICY"/>
    <x v="0"/>
    <s v="NO"/>
    <m/>
    <m/>
    <m/>
    <d v="2026-05-20T00:00:00"/>
    <s v="0.00 EUR"/>
    <x v="9"/>
  </r>
  <r>
    <s v="Events &gt; SG EU Policymaking Hub"/>
    <s v="Political priorities deliveries e-talk series"/>
    <s v="069831-SG POLICY"/>
    <x v="0"/>
    <s v="Yes"/>
    <n v="4"/>
    <d v="2026-06-26T11:00:00"/>
    <d v="2026-06-26T12:00:00"/>
    <d v="2026-05-21T00:00:00"/>
    <s v="0.00 EUR"/>
    <x v="9"/>
  </r>
  <r>
    <s v="Events &gt; SG EU Policymaking Hub"/>
    <s v="Quantification and Monetisation - better regulation - Remote live training"/>
    <s v="023573-SG POLICY"/>
    <x v="0"/>
    <s v="Yes"/>
    <n v="29"/>
    <d v="2026-11-23T09:30:00"/>
    <d v="2026-11-24T13:00:00"/>
    <d v="2026-05-19T00:00:00"/>
    <s v="255.00 EUR"/>
    <x v="9"/>
  </r>
  <r>
    <s v="Events &gt; SG EU Policymaking Hub"/>
    <s v="Recorded &amp;quot;Design in, with, for Policy: creativity in action&amp;quot; sessions"/>
    <s v="074703-SG POLICY"/>
    <x v="0"/>
    <s v="NO"/>
    <m/>
    <m/>
    <m/>
    <d v="2026-05-18T00:00:00"/>
    <s v="0.00 EUR"/>
    <x v="9"/>
  </r>
  <r>
    <s v="Events &gt; SG EU Policymaking Hub"/>
    <s v="Recorded Foresight talks &amp; Futures insights sessions"/>
    <s v="037661-SG POLICY"/>
    <x v="0"/>
    <s v="NO"/>
    <m/>
    <m/>
    <m/>
    <d v="2026-05-12T00:00:00"/>
    <s v="0.00 EUR"/>
    <x v="9"/>
  </r>
  <r>
    <s v="Events &gt; SG EU Policymaking Hub"/>
    <s v="Reimagining policy solutions through design"/>
    <s v="072840-SG POLICY"/>
    <x v="0"/>
    <s v="Yes"/>
    <n v="2"/>
    <d v="2026-02-13T11:30:00"/>
    <d v="2026-02-13T12:30:00"/>
    <d v="2026-03-10T00:00:00"/>
    <s v="0.00 EUR"/>
    <x v="9"/>
  </r>
  <r>
    <s v="Events &gt; SG EU Policymaking Hub"/>
    <s v="Strategic Foresight in the Commission - Remote live training "/>
    <s v="024766-SG POLICY"/>
    <x v="0"/>
    <s v="Yes"/>
    <n v="39"/>
    <d v="2026-11-11T09:30:00"/>
    <d v="2026-11-12T12:30:00"/>
    <d v="2026-05-20T00:00:00"/>
    <s v="255.00 EUR"/>
    <x v="9"/>
  </r>
  <r>
    <s v="Events &gt; SG EU Policymaking Hub"/>
    <s v="Subsidiarity analysis and EU added value - better regulation - Remote live training "/>
    <s v="022965-SG POLICY"/>
    <x v="0"/>
    <s v="Yes"/>
    <n v="82"/>
    <d v="2026-11-27T09:30:00"/>
    <d v="2026-11-27T13:00:00"/>
    <d v="2026-05-14T00:00:00"/>
    <s v="127.50 EUR"/>
    <x v="9"/>
  </r>
  <r>
    <s v="Events &gt; SG EU Policymaking Hub"/>
    <s v="What`s new in Better Regulation? - Recorded EU Policy Making HUB e-talk series "/>
    <s v="027597-SG POLICY"/>
    <x v="0"/>
    <s v="NO"/>
    <m/>
    <m/>
    <m/>
    <d v="2026-05-14T00:00:00"/>
    <s v="0.00 EUR"/>
    <x v="9"/>
  </r>
  <r>
    <s v="Finance tools &amp; regulations"/>
    <s v="Bid rigging"/>
    <s v="071159-COMP-0001-EN-GB"/>
    <x v="2"/>
    <m/>
    <m/>
    <s v="duration of use"/>
    <m/>
    <d v="2026-05-12T00:00:00"/>
    <s v="0.00 EUR"/>
    <x v="10"/>
  </r>
  <r>
    <s v="Finance tools &amp; regulations"/>
    <s v="Introduction to BUDGpedia on SharePoint Online (online)"/>
    <s v="052903-GEN"/>
    <x v="0"/>
    <s v="Yes"/>
    <n v="43"/>
    <d v="2026-11-18T11:00:00"/>
    <d v="2026-11-18T12:00:00"/>
    <d v="2026-05-20T00:00:00"/>
    <s v="0.00 EUR"/>
    <x v="10"/>
  </r>
  <r>
    <s v="Finance tools &amp; regulations"/>
    <s v="Introduction to public contracts - legal aspects"/>
    <s v="055040-EP"/>
    <x v="0"/>
    <s v="Yes"/>
    <n v="32"/>
    <d v="2026-10-14T09:30:00"/>
    <d v="2026-10-14T17:00:00"/>
    <d v="2026-05-20T00:00:00"/>
    <s v="0.00 EUR"/>
    <x v="10"/>
  </r>
  <r>
    <s v="Finance tools &amp; regulations &gt; Flash sessions"/>
    <s v="FMS Flash session - Introduction to the New FMS User Portal (EP Finance Academy) and SAP Companion Tool"/>
    <s v="072031-EP"/>
    <x v="0"/>
    <s v="Yes"/>
    <n v="36"/>
    <d v="2025-11-12T10:00:00"/>
    <d v="2025-11-12T12:05:00"/>
    <d v="2026-05-21T00:00:00"/>
    <s v="0.00 EUR"/>
    <x v="10"/>
  </r>
  <r>
    <s v="Finance tools &amp; regulations &gt; Flash sessions"/>
    <s v="FMS Management Reporting - SAP Analytics Cloud (SAC) basic"/>
    <s v="071924-EP"/>
    <x v="0"/>
    <s v="Yes"/>
    <n v="8"/>
    <d v="2026-04-14T09:30:00"/>
    <d v="2026-04-14T12:30:00"/>
    <d v="2026-05-21T00:00:00"/>
    <s v="0.00 EUR"/>
    <x v="10"/>
  </r>
  <r>
    <s v="Finance tools &amp; regulations &gt; Flash sessions"/>
    <s v="FMS flash session - Decentralisation of AO subdelegations"/>
    <s v="072100-EP"/>
    <x v="0"/>
    <s v="NO"/>
    <m/>
    <d v="2025-11-27T09:30:00"/>
    <d v="2025-11-27T10:30:00"/>
    <d v="2025-12-01T00:00:00"/>
    <s v="0.00 EUR"/>
    <x v="10"/>
  </r>
  <r>
    <s v="Finance tools &amp; regulations &gt; Flash sessions"/>
    <s v="FMS flash session - Recovery orders’ debit note signature using DISP"/>
    <s v="072102-EP"/>
    <x v="0"/>
    <s v="NO"/>
    <m/>
    <d v="2026-03-25T10:00:00"/>
    <d v="2026-03-25T12:00:00"/>
    <d v="2026-03-25T00:00:00"/>
    <s v="0.00 EUR"/>
    <x v="10"/>
  </r>
  <r>
    <s v="Finance tools &amp; regulations &gt; Learning Paths by actors"/>
    <s v="Accountant/Accounting officer"/>
    <s v="EP_005140"/>
    <x v="1"/>
    <m/>
    <m/>
    <m/>
    <m/>
    <d v="2026-05-19T00:00:00"/>
    <m/>
    <x v="10"/>
  </r>
  <r>
    <s v="Finance tools &amp; regulations &gt; Learning Paths by actors"/>
    <s v="Agent / Staff involved in the preparation of the financial statements in connection with the missions of Commissions and delegations"/>
    <s v="EP_005144"/>
    <x v="1"/>
    <m/>
    <m/>
    <m/>
    <m/>
    <d v="2026-05-11T00:00:00"/>
    <m/>
    <x v="10"/>
  </r>
  <r>
    <s v="Finance tools &amp; regulations &gt; Learning Paths by actors"/>
    <s v="Agent / Staff responsible for preparing budget estimates"/>
    <s v="EP_005143"/>
    <x v="1"/>
    <m/>
    <m/>
    <m/>
    <m/>
    <d v="2026-05-12T00:00:00"/>
    <m/>
    <x v="10"/>
  </r>
  <r>
    <s v="Finance tools &amp; regulations &gt; Learning Paths by actors"/>
    <s v="Agents / Staff involved in the asset management"/>
    <s v="EP_005145"/>
    <x v="1"/>
    <m/>
    <m/>
    <m/>
    <m/>
    <d v="2026-04-28T00:00:00"/>
    <m/>
    <x v="10"/>
  </r>
  <r>
    <s v="Finance tools &amp; regulations &gt; Learning Paths by actors"/>
    <s v="Authorising officer by (sub)delegation"/>
    <s v="EP_005119"/>
    <x v="1"/>
    <m/>
    <m/>
    <m/>
    <m/>
    <d v="2026-05-12T00:00:00"/>
    <m/>
    <x v="10"/>
  </r>
  <r>
    <s v="Finance tools &amp; regulations &gt; Learning Paths by actors"/>
    <s v="Ex-ante verifier"/>
    <s v="EP_005139"/>
    <x v="1"/>
    <m/>
    <m/>
    <m/>
    <m/>
    <d v="2026-05-08T00:00:00"/>
    <m/>
    <x v="10"/>
  </r>
  <r>
    <s v="Finance tools &amp; regulations &gt; Learning Paths by actors"/>
    <s v="Financial initiator"/>
    <s v="EP_005120"/>
    <x v="1"/>
    <m/>
    <m/>
    <m/>
    <m/>
    <d v="2026-05-08T00:00:00"/>
    <m/>
    <x v="10"/>
  </r>
  <r>
    <s v="Finance tools &amp; regulations &gt; Learning Paths by actors"/>
    <s v="Imprest administrator"/>
    <s v="EP_005141"/>
    <x v="1"/>
    <m/>
    <m/>
    <m/>
    <m/>
    <d v="2026-05-11T00:00:00"/>
    <m/>
    <x v="10"/>
  </r>
  <r>
    <s v="Finance tools &amp; regulations &gt; Learning Paths by actors"/>
    <s v="Procurement officer"/>
    <s v="EP_005142"/>
    <x v="1"/>
    <m/>
    <m/>
    <m/>
    <m/>
    <d v="2026-05-11T00:00:00"/>
    <m/>
    <x v="10"/>
  </r>
  <r>
    <s v="Finance tools &amp; regulations &gt; Miscellaneous"/>
    <s v="ECA - Performance audit methodology (e-learning)"/>
    <s v="000584-ECA-0003-EN-GB"/>
    <x v="2"/>
    <m/>
    <m/>
    <s v="duration of use"/>
    <m/>
    <d v="2026-05-19T00:00:00"/>
    <s v="0.00 EUR"/>
    <x v="10"/>
  </r>
  <r>
    <s v="Finance tools &amp; regulations &gt; Miscellaneous"/>
    <s v="Budgetary cycle and budget implementation"/>
    <s v="023424-EP"/>
    <x v="0"/>
    <s v="Yes"/>
    <n v="75"/>
    <d v="2026-06-11T09:00:00"/>
    <d v="2026-06-11T17:00:00"/>
    <d v="2026-05-21T00:00:00"/>
    <s v="0.00 EUR"/>
    <x v="10"/>
  </r>
  <r>
    <s v="Finance tools &amp; regulations &gt; Miscellaneous"/>
    <s v="Dealing with VAT exemption in the EP"/>
    <s v="063400-EP"/>
    <x v="0"/>
    <s v="Yes"/>
    <n v="34"/>
    <d v="2026-04-22T13:30:00"/>
    <d v="2026-04-22T16:30:00"/>
    <d v="2026-05-20T00:00:00"/>
    <s v="0.00 EUR"/>
    <x v="10"/>
  </r>
  <r>
    <s v="Finance tools &amp; regulations &gt; Miscellaneous"/>
    <s v="FMS Management Reporting - SAP Analytics Cloud (SAC) advanced level guidance "/>
    <s v="074745-EP"/>
    <x v="0"/>
    <s v="Yes"/>
    <n v="3"/>
    <d v="2026-04-21T09:30:00"/>
    <d v="2026-04-21T16:00:00"/>
    <d v="2026-05-21T00:00:00"/>
    <s v="0.00 EUR"/>
    <x v="10"/>
  </r>
  <r>
    <s v="Finance tools &amp; regulations &gt; Miscellaneous"/>
    <s v="FMS for Authorising Officer"/>
    <s v="077505-EP"/>
    <x v="0"/>
    <s v="Yes"/>
    <n v="0"/>
    <d v="2026-06-11T09:30:00"/>
    <d v="2026-06-11T12:00:00"/>
    <d v="2026-05-11T00:00:00"/>
    <s v="0.00 EUR"/>
    <x v="10"/>
  </r>
  <r>
    <s v="Finance tools &amp; regulations &gt; Miscellaneous"/>
    <s v="FMS for CAF agents"/>
    <s v="034180-EP"/>
    <x v="0"/>
    <s v="Yes"/>
    <n v="18"/>
    <d v="2026-11-30T09:00:00"/>
    <d v="2026-11-30T12:30:00"/>
    <d v="2026-05-15T00:00:00"/>
    <s v="0.00 EUR"/>
    <x v="10"/>
  </r>
  <r>
    <s v="Finance tools &amp; regulations &gt; Miscellaneous"/>
    <s v="FMS for Financial initiating agents and ex ante verifiers"/>
    <s v="025096-EP"/>
    <x v="0"/>
    <s v="Yes"/>
    <n v="40"/>
    <d v="2026-11-26T09:00:00"/>
    <d v="2026-11-30T17:30:00"/>
    <d v="2026-05-21T00:00:00"/>
    <s v="0.00 EUR"/>
    <x v="10"/>
  </r>
  <r>
    <s v="Finance tools &amp; regulations &gt; Miscellaneous"/>
    <s v="FMS for Reception agents"/>
    <s v="033160-EP"/>
    <x v="0"/>
    <s v="Yes"/>
    <n v="14"/>
    <d v="2026-11-26T14:00:00"/>
    <d v="2026-11-26T17:30:00"/>
    <d v="2026-05-18T00:00:00"/>
    <s v="0.00 EUR"/>
    <x v="10"/>
  </r>
  <r>
    <s v="Finance tools &amp; regulations &gt; Miscellaneous"/>
    <s v="FMS gestion de l'inventaire et transactions spécifiques (ASI, MGT, CATAGAO)"/>
    <s v="064889-EP"/>
    <x v="0"/>
    <s v="Yes"/>
    <n v="27"/>
    <d v="2026-04-21T09:30:00"/>
    <d v="2026-04-22T17:00:00"/>
    <d v="2026-04-24T00:00:00"/>
    <s v="0.00 EUR"/>
    <x v="10"/>
  </r>
  <r>
    <s v="Finance tools &amp; regulations &gt; Miscellaneous"/>
    <s v="FMS operational reports"/>
    <s v="025102-EP"/>
    <x v="0"/>
    <s v="Yes"/>
    <n v="33"/>
    <d v="2026-04-16T09:00:00"/>
    <d v="2026-04-16T12:30:00"/>
    <d v="2026-05-20T00:00:00"/>
    <s v="0.00 EUR"/>
    <x v="10"/>
  </r>
  <r>
    <s v="Finance tools &amp; regulations &gt; Miscellaneous"/>
    <s v="Financial Intensive training for newly appointed top-managers and managers "/>
    <s v="067540-EP"/>
    <x v="0"/>
    <s v="Yes"/>
    <n v="20"/>
    <d v="2026-04-21T10:30:00"/>
    <d v="2026-04-22T17:30:00"/>
    <d v="2026-05-12T00:00:00"/>
    <s v="0.00 EUR"/>
    <x v="10"/>
  </r>
  <r>
    <s v="Finance tools &amp; regulations &gt; Miscellaneous"/>
    <s v="Financial statements relating to the missions of Committees and Delegations"/>
    <s v="050643-EP"/>
    <x v="0"/>
    <s v="Yes"/>
    <n v="37"/>
    <d v="2025-10-14T09:00:00"/>
    <d v="2025-10-14T12:30:00"/>
    <d v="2026-04-28T00:00:00"/>
    <s v="0.00 EUR"/>
    <x v="10"/>
  </r>
  <r>
    <s v="Finance tools &amp; regulations &gt; Miscellaneous"/>
    <s v="High value contracts"/>
    <s v="023443-EP"/>
    <x v="0"/>
    <s v="Yes"/>
    <n v="28"/>
    <d v="2026-06-04T09:00:00"/>
    <d v="2026-06-04T17:00:00"/>
    <d v="2026-05-18T00:00:00"/>
    <s v="0.00 EUR"/>
    <x v="10"/>
  </r>
  <r>
    <s v="Finance tools &amp; regulations &gt; Miscellaneous"/>
    <s v="Imprest Accounts: Pay on behalf of the EP"/>
    <s v="028889-EP"/>
    <x v="0"/>
    <s v="Yes"/>
    <n v="28"/>
    <d v="2026-01-27T09:00:00"/>
    <d v="2026-01-27T17:00:00"/>
    <d v="2026-04-20T00:00:00"/>
    <s v="0.00 EUR"/>
    <x v="10"/>
  </r>
  <r>
    <s v="Finance tools &amp; regulations &gt; Miscellaneous"/>
    <s v="Introduction to Public Procurement - financial aspects"/>
    <s v="023441-EP"/>
    <x v="0"/>
    <s v="Yes"/>
    <n v="64"/>
    <d v="2026-06-17T09:00:00"/>
    <d v="2026-06-17T17:00:00"/>
    <d v="2026-05-21T00:00:00"/>
    <s v="0.00 EUR"/>
    <x v="10"/>
  </r>
  <r>
    <s v="Finance tools &amp; regulations &gt; Miscellaneous"/>
    <s v="Low and middle value contracts - how to manage negotiated procedures"/>
    <s v="023442-EP"/>
    <x v="0"/>
    <s v="Yes"/>
    <n v="42"/>
    <d v="2026-06-03T09:00:00"/>
    <d v="2026-06-03T17:05:00"/>
    <d v="2026-05-18T00:00:00"/>
    <s v="0.00 EUR"/>
    <x v="10"/>
  </r>
  <r>
    <s v="Finance tools &amp; regulations &gt; Miscellaneous"/>
    <s v="PPMT – Procedure (Common provisions procurement)"/>
    <s v="026488-DIGIT"/>
    <x v="0"/>
    <s v="Yes"/>
    <n v="138"/>
    <d v="2026-06-15T10:00:00"/>
    <d v="2026-06-15T16:00:00"/>
    <d v="2026-05-21T00:00:00"/>
    <s v="0.00 EUR"/>
    <x v="10"/>
  </r>
  <r>
    <s v="Finance tools &amp; regulations &gt; Miscellaneous"/>
    <s v="PPMT – Request"/>
    <s v="026486-DIGIT"/>
    <x v="0"/>
    <s v="Yes"/>
    <n v="101"/>
    <d v="2026-06-08T14:30:00"/>
    <d v="2026-06-08T16:30:00"/>
    <d v="2026-05-21T00:00:00"/>
    <s v="0.00 EUR"/>
    <x v="10"/>
  </r>
  <r>
    <s v="Finance tools &amp; regulations &gt; Miscellaneous"/>
    <s v="Procurement Basics in practice Workshop (Online)"/>
    <s v="071439-GEN"/>
    <x v="0"/>
    <s v="Yes"/>
    <n v="98"/>
    <d v="2026-03-26T09:15:00"/>
    <d v="2026-03-26T17:00:00"/>
    <d v="2026-05-20T00:00:00"/>
    <s v="250.00 EUR"/>
    <x v="10"/>
  </r>
  <r>
    <s v="Finance tools &amp; regulations &gt; Miscellaneous"/>
    <s v="Procurement Contract Management Workshop (online)"/>
    <s v="052918-GEN"/>
    <x v="0"/>
    <s v="Yes"/>
    <n v="110"/>
    <d v="2026-06-25T09:15:00"/>
    <d v="2026-06-25T17:00:00"/>
    <d v="2026-05-21T00:00:00"/>
    <s v="264.00 EUR"/>
    <x v="10"/>
  </r>
  <r>
    <s v="Finance tools &amp; regulations &gt; Miscellaneous"/>
    <s v="Procurement Intermediate Workshop (online)"/>
    <s v="052981-GEN"/>
    <x v="0"/>
    <s v="Yes"/>
    <n v="103"/>
    <d v="2026-05-21T09:15:00"/>
    <d v="2026-05-21T17:00:00"/>
    <d v="2026-05-21T00:00:00"/>
    <s v="250.00 EUR"/>
    <x v="10"/>
  </r>
  <r>
    <s v="Finance tools &amp; regulations &gt; Miscellaneous"/>
    <s v="Q&amp;A MyWorkplace - ABAC Assets - SUMMA"/>
    <s v="069124-DIGIT"/>
    <x v="0"/>
    <s v="Yes"/>
    <n v="8"/>
    <d v="2026-09-30T10:00:00"/>
    <d v="2026-09-30T11:00:00"/>
    <d v="2026-05-21T00:00:00"/>
    <s v="0.00 EUR"/>
    <x v="10"/>
  </r>
  <r>
    <s v="Finance tools &amp; regulations &gt; Miscellaneous"/>
    <s v="Q&amp;A sessions for eProcurement pre-award (ePreparation and eSubmission)"/>
    <s v="028290-DIGIT"/>
    <x v="0"/>
    <s v="Yes"/>
    <n v="39"/>
    <d v="2026-06-25T14:00:00"/>
    <d v="2026-06-25T16:00:00"/>
    <d v="2026-05-21T00:00:00"/>
    <s v="0.00 EUR"/>
    <x v="10"/>
  </r>
  <r>
    <s v="Finance tools &amp; regulations &gt; Miscellaneous"/>
    <s v="Q&amp;A sessions on  contracts in the corporate eProcurement solution"/>
    <s v="060030-DIGIT"/>
    <x v="0"/>
    <s v="Yes"/>
    <n v="18"/>
    <d v="2026-06-23T14:00:00"/>
    <d v="2026-06-23T15:00:00"/>
    <d v="2026-05-20T00:00:00"/>
    <s v="0.00 EUR"/>
    <x v="10"/>
  </r>
  <r>
    <s v="Finance tools &amp; regulations &gt; Miscellaneous"/>
    <s v="REA online training - Hands-on training on participant validation"/>
    <s v="069088-REA"/>
    <x v="0"/>
    <s v="NO"/>
    <m/>
    <d v="2026-12-08T09:30:00"/>
    <d v="2026-12-08T16:00:00"/>
    <d v="2026-05-19T00:00:00"/>
    <s v="0.00 EUR"/>
    <x v="10"/>
  </r>
  <r>
    <s v="Finance tools &amp; regulations &gt; Miscellaneous"/>
    <s v="REA online training - Validation of participants: legal and financial rules"/>
    <s v="069225-REA"/>
    <x v="0"/>
    <s v="NO"/>
    <m/>
    <d v="2026-12-01T10:00:00"/>
    <d v="2026-12-01T12:00:00"/>
    <d v="2026-05-20T00:00:00"/>
    <s v="0.00 EUR"/>
    <x v="10"/>
  </r>
  <r>
    <s v="Finance tools &amp; regulations &gt; Miscellaneous"/>
    <s v="Template for eSubmission eLearnings"/>
    <s v="025027-DIGIT"/>
    <x v="0"/>
    <s v="NO"/>
    <m/>
    <m/>
    <m/>
    <d v="2026-05-19T00:00:00"/>
    <s v="0.00 EUR"/>
    <x v="10"/>
  </r>
  <r>
    <s v="Finance tools &amp; regulations &gt; Miscellaneous"/>
    <s v="The Corporate eProcurement Invoice&amp;Payment solution"/>
    <s v="071019-DIGIT"/>
    <x v="0"/>
    <s v="Yes"/>
    <n v="26"/>
    <d v="2026-06-17T14:00:00"/>
    <d v="2026-06-17T16:30:00"/>
    <d v="2026-05-21T00:00:00"/>
    <s v="0.00 EUR"/>
    <x v="10"/>
  </r>
  <r>
    <s v="Finance tools &amp; regulations &gt; Miscellaneous"/>
    <s v="The Corporate eProcurement Solution: Introduction (Virtual Classroom)"/>
    <s v="023360-DIGIT"/>
    <x v="0"/>
    <s v="Yes"/>
    <n v="68"/>
    <d v="2026-06-26T09:30:00"/>
    <d v="2026-06-26T12:00:00"/>
    <d v="2026-05-21T00:00:00"/>
    <s v="0.00 EUR"/>
    <x v="10"/>
  </r>
  <r>
    <s v="Finance tools &amp; regulations &gt; Miscellaneous"/>
    <s v="The Corporate eProcurement Solution: simplified solution for contracting"/>
    <s v="070487-DIGIT"/>
    <x v="0"/>
    <s v="Yes"/>
    <n v="9"/>
    <d v="2026-06-23T09:30:00"/>
    <d v="2026-06-23T12:00:00"/>
    <d v="2026-05-20T00:00:00"/>
    <s v="0.00 EUR"/>
    <x v="10"/>
  </r>
  <r>
    <s v="Finance tools &amp; regulations &gt; Miscellaneous"/>
    <s v="The Early Detection and Exclusion System (EDES): Presentation and Workshop (classroom)"/>
    <s v="001842-GEN"/>
    <x v="0"/>
    <s v="Yes"/>
    <n v="235"/>
    <d v="2026-06-11T09:15:00"/>
    <d v="2026-06-11T17:00:00"/>
    <d v="2026-05-20T00:00:00"/>
    <s v="264.00 EUR"/>
    <x v="10"/>
  </r>
  <r>
    <s v="Finance tools &amp; regulations &gt; Miscellaneous"/>
    <s v="The eProcurement advanced solution for contracting: Request for specific contract (preparation to awarding)"/>
    <s v="053424-DIGIT"/>
    <x v="0"/>
    <s v="Yes"/>
    <n v="47"/>
    <d v="2025-09-25T09:00:00"/>
    <d v="2025-09-25T12:45:00"/>
    <d v="2026-05-21T00:00:00"/>
    <s v="0.00 EUR"/>
    <x v="10"/>
  </r>
  <r>
    <s v="Finance tools &amp; regulations &gt; Miscellaneous"/>
    <s v="The eProcurement advanced solution for contracting: Request for specific contract - Monitoring to awarding"/>
    <s v="071976-DIGIT"/>
    <x v="0"/>
    <s v="Yes"/>
    <n v="6"/>
    <d v="2026-06-17T09:30:00"/>
    <d v="2026-06-17T11:30:00"/>
    <d v="2026-05-21T00:00:00"/>
    <s v="0.00 EUR"/>
    <x v="10"/>
  </r>
  <r>
    <s v="Finance tools &amp; regulations &gt; Miscellaneous"/>
    <s v="The eProcurement advanced solution for contracting: Request for specific contract - Preparation to invitation"/>
    <s v="071975-DIGIT"/>
    <x v="0"/>
    <s v="Yes"/>
    <n v="3"/>
    <d v="2026-06-19T09:00:00"/>
    <d v="2026-06-19T12:00:00"/>
    <d v="2026-05-21T00:00:00"/>
    <s v="0.00 EUR"/>
    <x v="10"/>
  </r>
  <r>
    <s v="Finance tools &amp; regulations &gt; Miscellaneous"/>
    <s v="The eProcurement advanced solution for contracting: preparation to signature"/>
    <s v="027025-DIGIT"/>
    <x v="0"/>
    <s v="Yes"/>
    <n v="48"/>
    <d v="2026-06-18T09:30:00"/>
    <d v="2026-06-18T12:00:00"/>
    <d v="2026-05-21T00:00:00"/>
    <s v="0.00 EUR"/>
    <x v="10"/>
  </r>
  <r>
    <s v="Finance tools &amp; regulations &gt; Miscellaneous"/>
    <s v="Very low value procurement and requests for specific contract in PPMT: preparation to awarding"/>
    <s v="026489-DIGIT"/>
    <x v="0"/>
    <s v="Yes"/>
    <n v="119"/>
    <d v="2026-06-09T14:00:00"/>
    <d v="2026-06-09T17:00:00"/>
    <d v="2026-05-15T00:00:00"/>
    <s v="0.00 EUR"/>
    <x v="10"/>
  </r>
  <r>
    <s v="Finance tools &amp; regulations &gt; Miscellaneous"/>
    <s v="WebContracts - Awards &amp; Legal Commitments"/>
    <s v="078126-EP"/>
    <x v="0"/>
    <s v="Yes"/>
    <n v="0"/>
    <d v="2026-10-14T09:00:00"/>
    <d v="2026-10-14T17:30:00"/>
    <s v=" "/>
    <s v="0.00 EUR"/>
    <x v="10"/>
  </r>
  <r>
    <s v="Finance tools &amp; regulations &gt; Miscellaneous"/>
    <s v="ePhysical Inventory"/>
    <s v="025274-DIGIT"/>
    <x v="0"/>
    <s v="Yes"/>
    <n v="27"/>
    <d v="2026-03-26T10:00:00"/>
    <d v="2026-03-26T12:00:00"/>
    <d v="2026-05-12T00:00:00"/>
    <s v="0.00 EUR"/>
    <x v="10"/>
  </r>
  <r>
    <s v="Finance tools &amp; regulations &gt; Miscellaneous"/>
    <s v="eProcurement for competitive procedure with negotiation"/>
    <s v="031803-DIGIT"/>
    <x v="0"/>
    <s v="Yes"/>
    <n v="55"/>
    <d v="2025-11-18T09:30:00"/>
    <d v="2025-11-18T12:30:00"/>
    <d v="2026-05-08T00:00:00"/>
    <s v="0.00 EUR"/>
    <x v="10"/>
  </r>
  <r>
    <s v="Finance tools &amp; regulations &gt; Miscellaneous"/>
    <s v="eProcurement for exceptional negotiated procedure and competitive procedure with negotiation without publication"/>
    <s v="031802-DIGIT"/>
    <x v="0"/>
    <s v="Yes"/>
    <n v="22"/>
    <d v="2026-05-29T09:30:00"/>
    <d v="2026-05-29T13:00:00"/>
    <d v="2026-05-19T00:00:00"/>
    <s v="0.00 EUR"/>
    <x v="10"/>
  </r>
  <r>
    <s v="Finance tools &amp; regulations &gt; Miscellaneous"/>
    <s v="eProcurement for negotiated procedures for middle and low value contracts"/>
    <s v="028880-DIGIT"/>
    <x v="0"/>
    <s v="Yes"/>
    <n v="82"/>
    <d v="2026-06-12T09:30:00"/>
    <d v="2026-06-12T13:00:00"/>
    <d v="2026-05-20T00:00:00"/>
    <s v="0.00 EUR"/>
    <x v="10"/>
  </r>
  <r>
    <s v="Finance tools &amp; regulations &gt; Miscellaneous"/>
    <s v="eProcurement for open procedure"/>
    <s v="026625-DIGIT"/>
    <x v="0"/>
    <s v="Yes"/>
    <n v="90"/>
    <d v="2026-06-05T09:30:00"/>
    <d v="2026-06-05T12:30:00"/>
    <d v="2026-05-20T00:00:00"/>
    <s v="0.00 EUR"/>
    <x v="10"/>
  </r>
  <r>
    <s v="Finance tools &amp; regulations &gt; Miscellaneous"/>
    <s v="eProcurement for restricted procedure and design contest"/>
    <s v="026626-DIGIT"/>
    <x v="0"/>
    <s v="Yes"/>
    <n v="32"/>
    <d v="2026-06-26T09:30:00"/>
    <d v="2026-06-26T13:00:00"/>
    <d v="2026-05-21T00:00:00"/>
    <s v="0.00 EUR"/>
    <x v="10"/>
  </r>
  <r>
    <s v="Finance tools &amp; regulations &gt; Miscellaneous"/>
    <s v="AV&amp;C-4 Fundamentals - Introduction to SCIC’s Framework Contract for Audiovisual and Conference Services"/>
    <s v="076680-SCIC-0001-EN-GB"/>
    <x v="2"/>
    <m/>
    <m/>
    <d v="2026-05-21T10:00:00"/>
    <d v="2026-05-21T12:00:00"/>
    <d v="2026-05-20T00:00:00"/>
    <s v="0.00 EUR"/>
    <x v="10"/>
  </r>
  <r>
    <s v="Finance tools &amp; regulations &gt; Videos - EP Finance Academy"/>
    <s v="BadgeBud"/>
    <s v="066005-EP-0002-EN-GB"/>
    <x v="2"/>
    <m/>
    <m/>
    <s v="duration of use"/>
    <m/>
    <d v="2026-05-14T00:00:00"/>
    <s v="0.00 EUR"/>
    <x v="10"/>
  </r>
  <r>
    <s v="Finance tools &amp; regulations &gt; Videos - EP Finance Academy"/>
    <s v="FMS - Material creation - CATAGAO"/>
    <s v="071569-EP-0001-EN-GB"/>
    <x v="2"/>
    <m/>
    <m/>
    <s v="duration of use"/>
    <m/>
    <d v="2026-05-11T00:00:00"/>
    <s v="0.00 EUR"/>
    <x v="10"/>
  </r>
  <r>
    <s v="Finance tools &amp; regulations &gt; Videos - EP Finance Academy"/>
    <s v="Financial Ethics"/>
    <s v="067441-EP-0001-EN-GB"/>
    <x v="2"/>
    <m/>
    <m/>
    <s v="duration of use"/>
    <m/>
    <d v="2026-05-20T00:00:00"/>
    <s v="0.00 EUR"/>
    <x v="10"/>
  </r>
  <r>
    <s v="Finance tools &amp; regulations &gt; Videos - EP Finance Academy"/>
    <s v="Internal control at the European Parliament"/>
    <s v="067441-EP-0002-EN-GB"/>
    <x v="2"/>
    <m/>
    <m/>
    <s v="duration of use"/>
    <m/>
    <d v="2026-05-20T00:00:00"/>
    <s v="0.00 EUR"/>
    <x v="10"/>
  </r>
  <r>
    <s v="Finance tools &amp; regulations &gt; Videos - EP Finance Academy"/>
    <s v="Inventory Management at the European Parliament"/>
    <s v="066621-EP-0001-EN-GB"/>
    <x v="2"/>
    <m/>
    <m/>
    <s v="duration of use"/>
    <m/>
    <d v="2026-05-20T00:00:00"/>
    <s v="0.00 EUR"/>
    <x v="10"/>
  </r>
  <r>
    <s v="Finance tools &amp; regulations &gt; Videos - EP Finance Academy"/>
    <s v="New financial rules 2024-2025 – Financial Regulation 2024 recast"/>
    <s v="070615-EP-0001-EN-GB"/>
    <x v="2"/>
    <m/>
    <m/>
    <s v="duration of use"/>
    <m/>
    <d v="2026-05-07T00:00:00"/>
    <s v="0.00 EUR"/>
    <x v="10"/>
  </r>
  <r>
    <s v="Finance tools &amp; regulations &gt; Videos - EP Finance Academy"/>
    <s v="New financial rules 2024-2025 – Internal rules for the Implementation of the Budget and Charters / Code of professional Standards"/>
    <s v="070616-EP-0001-EN-GB"/>
    <x v="2"/>
    <m/>
    <m/>
    <s v="duration of use"/>
    <m/>
    <d v="2026-05-07T00:00:00"/>
    <s v="0.00 EUR"/>
    <x v="10"/>
  </r>
  <r>
    <s v="Finance tools &amp; regulations &gt; Videos - EP Finance Academy"/>
    <s v="Ordres de recouvrement"/>
    <s v="069477-EP-0001-FR-FR"/>
    <x v="2"/>
    <m/>
    <m/>
    <s v="duration of use"/>
    <m/>
    <d v="2026-05-13T00:00:00"/>
    <s v="0.00 EUR"/>
    <x v="10"/>
  </r>
  <r>
    <s v="Finance tools &amp; regulations &gt; Videos - EP Finance Academy"/>
    <s v="Procurement"/>
    <s v="069226-EP-0001-EN-GB"/>
    <x v="2"/>
    <m/>
    <m/>
    <s v="duration of use"/>
    <m/>
    <d v="2026-05-20T00:00:00"/>
    <s v="0.00 EUR"/>
    <x v="10"/>
  </r>
  <r>
    <s v="Finance tools &amp; regulations &gt; Videos - EP Finance Academy"/>
    <s v="The role of a CAF agent"/>
    <s v="070805-EP-0001-EN-GB"/>
    <x v="2"/>
    <m/>
    <m/>
    <s v="duration of use"/>
    <m/>
    <d v="2026-05-17T00:00:00"/>
    <s v="0.00 EUR"/>
    <x v="10"/>
  </r>
  <r>
    <s v="Finance tools &amp; regulations &gt; Videos - EP Finance Academy"/>
    <s v="Value Added Tax (VAT) Exemption in the EP – Basic principles"/>
    <s v="069076-EP-0001-EN-GB"/>
    <x v="2"/>
    <m/>
    <m/>
    <s v="duration of use"/>
    <m/>
    <d v="2026-05-21T00:00:00"/>
    <s v="0.00 EUR"/>
    <x v="10"/>
  </r>
  <r>
    <s v="Jean Monnet Academy"/>
    <s v="Jean Monnet Academy - Our House"/>
    <s v="028258-EP"/>
    <x v="0"/>
    <s v="Yes"/>
    <n v="51"/>
    <d v="2026-11-30T12:30:00"/>
    <d v="2026-12-02T13:00:00"/>
    <d v="2026-05-21T00:00:00"/>
    <s v="0.00 EUR"/>
    <x v="11"/>
  </r>
  <r>
    <s v="Jean Monnet Academy"/>
    <s v="Jean Monnet Academy - seminar for 20+ officials"/>
    <s v="038600-EP"/>
    <x v="0"/>
    <s v="Yes"/>
    <n v="17"/>
    <d v="2026-12-07T12:30:00"/>
    <d v="2026-12-09T13:00:00"/>
    <d v="2026-05-21T00:00:00"/>
    <s v="0.00 EUR"/>
    <x v="11"/>
  </r>
  <r>
    <s v="Jean Monnet Academy"/>
    <s v="Jean Monnet Academy - seminar for Administrators"/>
    <s v="028259-EP"/>
    <x v="0"/>
    <s v="Yes"/>
    <n v="6"/>
    <d v="2026-11-23T12:30:00"/>
    <d v="2026-11-25T13:00:00"/>
    <d v="2026-05-12T00:00:00"/>
    <s v="0.00 EUR"/>
    <x v="11"/>
  </r>
  <r>
    <s v="Jean Monnet Academy"/>
    <s v="Jean Monnet Academy - seminar for Assistants"/>
    <s v="026504-EP"/>
    <x v="0"/>
    <s v="Yes"/>
    <n v="41"/>
    <d v="2026-10-19T12:30:00"/>
    <d v="2026-10-21T13:00:00"/>
    <d v="2026-05-19T00:00:00"/>
    <s v="0.00 EUR"/>
    <x v="11"/>
  </r>
  <r>
    <s v="Jean Monnet Academy"/>
    <s v="Jean Monnet Academy - seminar for Directors"/>
    <s v="038601-EP"/>
    <x v="0"/>
    <s v="Yes"/>
    <n v="2"/>
    <d v="2025-01-13T12:30:00"/>
    <d v="2025-01-15T14:00:00"/>
    <d v="2025-05-22T00:00:00"/>
    <s v="0.00 EUR"/>
    <x v="11"/>
  </r>
  <r>
    <s v="Jean Monnet Academy"/>
    <s v="Jean Monnet Academy - seminar for Heads of Unit"/>
    <s v="028219-EP"/>
    <x v="0"/>
    <s v="Yes"/>
    <n v="7"/>
    <d v="2026-06-29T12:30:00"/>
    <d v="2026-07-01T13:00:00"/>
    <d v="2026-05-19T00:00:00"/>
    <s v="0.00 EUR"/>
    <x v="11"/>
  </r>
  <r>
    <s v="Jean Monnet Academy"/>
    <s v="Jean Monnet Academy - seminar for newly appointed Administrators "/>
    <s v="027350-EP"/>
    <x v="0"/>
    <s v="NO"/>
    <m/>
    <d v="2026-10-05T12:30:00"/>
    <d v="2026-10-07T13:00:00"/>
    <d v="2026-05-20T00:00:00"/>
    <s v="0.00 EUR"/>
    <x v="11"/>
  </r>
  <r>
    <s v="Jean Monnet Academy"/>
    <s v="Jean Monnet Academy - seminar for newly appointed Assistants"/>
    <s v="026855-EP"/>
    <x v="0"/>
    <s v="NO"/>
    <m/>
    <d v="2026-10-26T12:30:00"/>
    <d v="2026-10-28T13:00:00"/>
    <d v="2025-05-22T00:00:00"/>
    <s v="0.00 EUR"/>
    <x v="11"/>
  </r>
  <r>
    <s v="Jean Monnet Academy"/>
    <s v="Jean Monnet Academy - seminar for newly appointed Heads of Unit"/>
    <s v="027406-EP"/>
    <x v="0"/>
    <s v="Yes"/>
    <n v="2"/>
    <d v="2026-07-15T12:30:00"/>
    <d v="2026-07-17T13:00:00"/>
    <d v="2026-05-21T00:00:00"/>
    <s v="0.00 EUR"/>
    <x v="11"/>
  </r>
  <r>
    <s v="Language courses &gt; Brussels"/>
    <s v="BNT - Arabic - Level 01 A"/>
    <s v="051517-Lang"/>
    <x v="0"/>
    <s v="Yes"/>
    <n v="32"/>
    <d v="2026-09-21T08:30:00"/>
    <d v="2027-01-22T17:30:00"/>
    <d v="2026-05-20T00:00:00"/>
    <s v="487.50 EUR"/>
    <x v="12"/>
  </r>
  <r>
    <s v="Language courses &gt; Brussels"/>
    <s v="BNT - Arabic - Level 01 B"/>
    <s v="051669-Lang"/>
    <x v="0"/>
    <s v="Yes"/>
    <n v="13"/>
    <d v="2026-09-21T08:30:00"/>
    <d v="2027-01-22T17:30:00"/>
    <d v="2026-05-21T00:00:00"/>
    <s v="487.50 EUR"/>
    <x v="12"/>
  </r>
  <r>
    <s v="Language courses &gt; Brussels"/>
    <s v="BNT - Arabic - Level 02A"/>
    <s v="051631-Lang"/>
    <x v="0"/>
    <s v="Yes"/>
    <n v="13"/>
    <d v="2026-09-21T08:30:00"/>
    <d v="2027-01-22T17:30:00"/>
    <d v="2026-05-19T00:00:00"/>
    <s v="487.50 EUR"/>
    <x v="12"/>
  </r>
  <r>
    <s v="Language courses &gt; Brussels"/>
    <s v="BNT - Arabic - Level 02B"/>
    <s v="051702-Lang"/>
    <x v="0"/>
    <s v="Yes"/>
    <n v="4"/>
    <d v="2026-09-21T08:30:00"/>
    <d v="2027-01-22T17:30:00"/>
    <d v="2026-05-17T00:00:00"/>
    <s v="487.50 EUR"/>
    <x v="12"/>
  </r>
  <r>
    <s v="Language courses &gt; Brussels"/>
    <s v="BNT - Arabic - Level 03A"/>
    <s v="051685-Lang"/>
    <x v="0"/>
    <s v="Yes"/>
    <n v="8"/>
    <d v="2026-09-21T08:30:00"/>
    <d v="2027-01-22T17:30:00"/>
    <d v="2026-05-19T00:00:00"/>
    <s v="487.50 EUR"/>
    <x v="12"/>
  </r>
  <r>
    <s v="Language courses &gt; Brussels"/>
    <s v="BNT - Arabic - Level 03B"/>
    <s v="051693-Lang"/>
    <x v="0"/>
    <s v="Yes"/>
    <n v="7"/>
    <d v="2026-09-21T08:30:00"/>
    <d v="2027-01-22T17:30:00"/>
    <d v="2026-05-20T00:00:00"/>
    <s v="487.50 EUR"/>
    <x v="12"/>
  </r>
  <r>
    <s v="Language courses &gt; Brussels"/>
    <s v="BNT - Arabic - Level 04A"/>
    <s v="051705-Lang"/>
    <x v="0"/>
    <s v="Yes"/>
    <n v="0"/>
    <d v="2026-09-21T08:30:00"/>
    <d v="2027-01-22T17:30:00"/>
    <d v="2026-01-23T00:00:00"/>
    <s v="487.50 EUR"/>
    <x v="12"/>
  </r>
  <r>
    <s v="Language courses &gt; Brussels"/>
    <s v="BNT - Arabic - Level 04B"/>
    <s v="051706-Lang"/>
    <x v="0"/>
    <s v="Yes"/>
    <n v="0"/>
    <d v="2026-09-21T08:30:00"/>
    <d v="2027-01-22T17:30:00"/>
    <d v="2026-03-16T00:00:00"/>
    <s v="487.50 EUR"/>
    <x v="12"/>
  </r>
  <r>
    <s v="Language courses &gt; Brussels"/>
    <s v="BNT - Arabic - Level 05A"/>
    <s v="051708-Lang"/>
    <x v="0"/>
    <s v="Yes"/>
    <n v="3"/>
    <d v="2026-09-21T08:30:00"/>
    <d v="2027-01-22T17:30:00"/>
    <d v="2026-05-17T00:00:00"/>
    <s v="487.50 EUR"/>
    <x v="12"/>
  </r>
  <r>
    <s v="Language courses &gt; Brussels"/>
    <s v="BNT - Arabic - Level 05B"/>
    <s v="051698-Lang"/>
    <x v="0"/>
    <s v="Yes"/>
    <n v="0"/>
    <d v="2026-09-21T08:30:00"/>
    <d v="2027-01-22T17:30:00"/>
    <d v="2026-01-23T00:00:00"/>
    <s v="487.50 EUR"/>
    <x v="12"/>
  </r>
  <r>
    <s v="Language courses &gt; Brussels"/>
    <s v="BNT - Arabic - Level 06A"/>
    <s v="051720-Lang"/>
    <x v="0"/>
    <s v="Yes"/>
    <n v="0"/>
    <d v="2026-09-21T08:30:00"/>
    <d v="2027-01-22T17:30:00"/>
    <d v="2026-02-10T00:00:00"/>
    <s v="487.50 EUR"/>
    <x v="12"/>
  </r>
  <r>
    <s v="Language courses &gt; Brussels"/>
    <s v="BNT - Arabic - Level 06B"/>
    <s v="051722-Lang"/>
    <x v="0"/>
    <s v="Yes"/>
    <n v="2"/>
    <d v="2026-09-21T08:30:00"/>
    <d v="2027-01-22T17:30:00"/>
    <d v="2026-05-17T00:00:00"/>
    <s v="487.50 EUR"/>
    <x v="12"/>
  </r>
  <r>
    <s v="Language courses &gt; Brussels"/>
    <s v="BNT - Arabic - Level 07"/>
    <s v="051724-Lang"/>
    <x v="0"/>
    <s v="Yes"/>
    <n v="0"/>
    <d v="2026-09-21T08:30:00"/>
    <d v="2027-01-22T17:30:00"/>
    <s v=" "/>
    <s v="487.50 EUR"/>
    <x v="12"/>
  </r>
  <r>
    <s v="Language courses &gt; Brussels"/>
    <s v="BNT - Arabic - Level 08"/>
    <s v="051712-Lang"/>
    <x v="0"/>
    <s v="Yes"/>
    <n v="0"/>
    <d v="2026-09-21T08:30:00"/>
    <d v="2027-01-22T17:30:00"/>
    <d v="2026-01-22T00:00:00"/>
    <s v="487.50 EUR"/>
    <x v="12"/>
  </r>
  <r>
    <s v="Language courses &gt; Brussels"/>
    <s v="BNT - Bulgarian - Level 01 "/>
    <s v="051480-Lang"/>
    <x v="0"/>
    <s v="Yes"/>
    <n v="6"/>
    <d v="2026-09-21T08:30:00"/>
    <d v="2027-01-22T17:30:00"/>
    <d v="2026-05-13T00:00:00"/>
    <s v="487.50 EUR"/>
    <x v="12"/>
  </r>
  <r>
    <s v="Language courses &gt; Brussels"/>
    <s v="BNT - Bulgarian - Level 02"/>
    <s v="051500-Lang"/>
    <x v="0"/>
    <s v="Yes"/>
    <n v="0"/>
    <d v="2026-09-21T08:30:00"/>
    <d v="2027-01-22T17:30:00"/>
    <s v=" "/>
    <s v="487.50 EUR"/>
    <x v="12"/>
  </r>
  <r>
    <s v="Language courses &gt; Brussels"/>
    <s v="BNT - Bulgarian - Level 03"/>
    <s v="051490-Lang"/>
    <x v="0"/>
    <s v="Yes"/>
    <n v="0"/>
    <d v="2026-09-21T08:30:00"/>
    <d v="2027-01-22T17:30:00"/>
    <s v=" "/>
    <s v="487.50 EUR"/>
    <x v="12"/>
  </r>
  <r>
    <s v="Language courses &gt; Brussels"/>
    <s v="BNT - Bulgarian - Level 04"/>
    <s v="051492-Lang"/>
    <x v="0"/>
    <s v="Yes"/>
    <n v="8"/>
    <d v="2026-09-21T08:30:00"/>
    <d v="2027-01-22T17:30:00"/>
    <d v="2026-05-20T00:00:00"/>
    <s v="487.50 EUR"/>
    <x v="12"/>
  </r>
  <r>
    <s v="Language courses &gt; Brussels"/>
    <s v="BNT - Bulgarian - Level 05"/>
    <s v="051495-Lang"/>
    <x v="0"/>
    <s v="Yes"/>
    <n v="0"/>
    <d v="2026-09-21T08:30:00"/>
    <d v="2027-01-22T17:30:00"/>
    <d v="2024-06-26T00:00:00"/>
    <s v="487.50 EUR"/>
    <x v="12"/>
  </r>
  <r>
    <s v="Language courses &gt; Brussels"/>
    <s v="BNT - Bulgarian - Level 06"/>
    <s v="051508-Lang"/>
    <x v="0"/>
    <s v="Yes"/>
    <n v="0"/>
    <d v="2026-09-21T08:30:00"/>
    <d v="2027-01-22T17:30:00"/>
    <d v="2025-01-22T00:00:00"/>
    <s v="487.50 EUR"/>
    <x v="12"/>
  </r>
  <r>
    <s v="Language courses &gt; Brussels"/>
    <s v="BNT - Bulgarian - Level 07"/>
    <s v="051498-Lang"/>
    <x v="0"/>
    <s v="Yes"/>
    <n v="0"/>
    <d v="2026-09-21T08:30:00"/>
    <d v="2027-01-22T17:30:00"/>
    <d v="2025-06-18T00:00:00"/>
    <s v="487.50 EUR"/>
    <x v="12"/>
  </r>
  <r>
    <s v="Language courses &gt; Brussels"/>
    <s v="BNT - Bulgarian - Level 08"/>
    <s v="051510-Lang"/>
    <x v="0"/>
    <s v="Yes"/>
    <n v="3"/>
    <d v="2026-09-21T08:30:00"/>
    <d v="2027-01-22T17:30:00"/>
    <d v="2026-05-20T00:00:00"/>
    <s v="487.50 EUR"/>
    <x v="12"/>
  </r>
  <r>
    <s v="Language courses &gt; Brussels"/>
    <s v="BNT - Chinese - Level 01 A"/>
    <s v="051740-Lang"/>
    <x v="0"/>
    <s v="Yes"/>
    <n v="14"/>
    <d v="2026-09-21T08:30:00"/>
    <d v="2027-01-22T17:30:00"/>
    <d v="2026-05-21T00:00:00"/>
    <s v="487.50 EUR"/>
    <x v="12"/>
  </r>
  <r>
    <s v="Language courses &gt; Brussels"/>
    <s v="BNT - Chinese - Level 01 B"/>
    <s v="051738-Lang"/>
    <x v="0"/>
    <s v="Yes"/>
    <n v="6"/>
    <d v="2026-09-21T08:30:00"/>
    <d v="2027-01-22T17:30:00"/>
    <d v="2026-05-20T00:00:00"/>
    <s v="487.50 EUR"/>
    <x v="12"/>
  </r>
  <r>
    <s v="Language courses &gt; Brussels"/>
    <s v="BNT - Chinese - Level 02 A"/>
    <s v="051741-Lang"/>
    <x v="0"/>
    <s v="Yes"/>
    <n v="6"/>
    <d v="2026-09-21T08:30:00"/>
    <d v="2027-01-22T17:30:00"/>
    <d v="2026-05-20T00:00:00"/>
    <s v="487.50 EUR"/>
    <x v="12"/>
  </r>
  <r>
    <s v="Language courses &gt; Brussels"/>
    <s v="BNT - Chinese - Level 02 B"/>
    <s v="051739-Lang"/>
    <x v="0"/>
    <s v="Yes"/>
    <n v="3"/>
    <d v="2026-09-21T08:30:00"/>
    <d v="2027-01-22T17:30:00"/>
    <d v="2026-05-19T00:00:00"/>
    <s v="487.50 EUR"/>
    <x v="12"/>
  </r>
  <r>
    <s v="Language courses &gt; Brussels"/>
    <s v="BNT - Chinese - Level 03 A"/>
    <s v="051760-Lang"/>
    <x v="0"/>
    <s v="Yes"/>
    <n v="3"/>
    <d v="2026-09-21T08:30:00"/>
    <d v="2027-01-22T17:30:00"/>
    <d v="2026-05-13T00:00:00"/>
    <s v="487.50 EUR"/>
    <x v="12"/>
  </r>
  <r>
    <s v="Language courses &gt; Brussels"/>
    <s v="BNT - Chinese - Level 03 B"/>
    <s v="051742-Lang"/>
    <x v="0"/>
    <s v="Yes"/>
    <n v="0"/>
    <d v="2026-09-21T08:30:00"/>
    <d v="2027-01-22T17:30:00"/>
    <d v="2025-01-23T00:00:00"/>
    <s v="487.50 EUR"/>
    <x v="12"/>
  </r>
  <r>
    <s v="Language courses &gt; Brussels"/>
    <s v="BNT - Chinese - Level 04 A"/>
    <s v="051761-Lang"/>
    <x v="0"/>
    <s v="Yes"/>
    <n v="2"/>
    <d v="2026-09-21T08:30:00"/>
    <d v="2027-01-22T17:30:00"/>
    <d v="2026-05-13T00:00:00"/>
    <s v="487.50 EUR"/>
    <x v="12"/>
  </r>
  <r>
    <s v="Language courses &gt; Brussels"/>
    <s v="BNT - Chinese - Level 04 B"/>
    <s v="051743-Lang"/>
    <x v="0"/>
    <s v="Yes"/>
    <n v="2"/>
    <d v="2026-09-21T08:30:00"/>
    <d v="2027-01-22T17:30:00"/>
    <d v="2026-05-19T00:00:00"/>
    <s v="487.50 EUR"/>
    <x v="12"/>
  </r>
  <r>
    <s v="Language courses &gt; Brussels"/>
    <s v="BNT - Chinese - Level 05 A"/>
    <s v="051762-Lang"/>
    <x v="0"/>
    <s v="Yes"/>
    <n v="1"/>
    <d v="2026-09-21T08:30:00"/>
    <d v="2027-01-22T17:30:00"/>
    <d v="2026-05-12T00:00:00"/>
    <s v="487.50 EUR"/>
    <x v="12"/>
  </r>
  <r>
    <s v="Language courses &gt; Brussels"/>
    <s v="BNT - Chinese - Level 05 B"/>
    <s v="051764-Lang"/>
    <x v="0"/>
    <s v="Yes"/>
    <n v="3"/>
    <d v="2026-09-21T08:30:00"/>
    <d v="2027-01-22T17:30:00"/>
    <d v="2026-05-17T00:00:00"/>
    <s v="487.50 EUR"/>
    <x v="12"/>
  </r>
  <r>
    <s v="Language courses &gt; Brussels"/>
    <s v="BNT - Chinese - Level 06 A"/>
    <s v="051744-Lang"/>
    <x v="0"/>
    <s v="Yes"/>
    <n v="1"/>
    <d v="2026-09-21T08:30:00"/>
    <d v="2027-01-22T17:30:00"/>
    <d v="2026-05-12T00:00:00"/>
    <s v="487.50 EUR"/>
    <x v="12"/>
  </r>
  <r>
    <s v="Language courses &gt; Brussels"/>
    <s v="BNT - Chinese - Level 06 B"/>
    <s v="051765-Lang"/>
    <x v="0"/>
    <s v="Yes"/>
    <n v="0"/>
    <d v="2026-09-21T08:30:00"/>
    <d v="2027-01-22T17:30:00"/>
    <d v="2024-06-27T00:00:00"/>
    <s v="487.50 EUR"/>
    <x v="12"/>
  </r>
  <r>
    <s v="Language courses &gt; Brussels"/>
    <s v="BNT - Chinese - Level 07"/>
    <s v="051766-Lang"/>
    <x v="0"/>
    <s v="Yes"/>
    <n v="0"/>
    <d v="2026-09-21T08:30:00"/>
    <d v="2027-01-22T17:30:00"/>
    <d v="2025-01-27T00:00:00"/>
    <s v="487.50 EUR"/>
    <x v="12"/>
  </r>
  <r>
    <s v="Language courses &gt; Brussels"/>
    <s v="BNT - Chinese - Level 08"/>
    <s v="051745-Lang"/>
    <x v="0"/>
    <s v="Yes"/>
    <n v="0"/>
    <d v="2026-09-21T08:30:00"/>
    <d v="2027-01-22T17:30:00"/>
    <d v="2025-06-20T00:00:00"/>
    <s v="487.50 EUR"/>
    <x v="12"/>
  </r>
  <r>
    <s v="Language courses &gt; Brussels"/>
    <s v="BNT - Croatian - Level 01 "/>
    <s v="051524-Lang"/>
    <x v="0"/>
    <s v="Yes"/>
    <n v="2"/>
    <d v="2026-09-21T08:30:00"/>
    <d v="2027-01-22T17:30:00"/>
    <d v="2026-05-11T00:00:00"/>
    <s v="487.50 EUR"/>
    <x v="12"/>
  </r>
  <r>
    <s v="Language courses &gt; Brussels"/>
    <s v="BNT - Croatian - Level 02"/>
    <s v="051525-Lang"/>
    <x v="0"/>
    <s v="Yes"/>
    <n v="8"/>
    <d v="2026-09-21T08:30:00"/>
    <d v="2027-01-22T17:30:00"/>
    <d v="2026-05-19T00:00:00"/>
    <s v="487.50 EUR"/>
    <x v="12"/>
  </r>
  <r>
    <s v="Language courses &gt; Brussels"/>
    <s v="BNT - Croatian - Level 03"/>
    <s v="051528-Lang"/>
    <x v="0"/>
    <s v="Yes"/>
    <n v="5"/>
    <d v="2026-09-21T08:30:00"/>
    <d v="2027-01-22T17:30:00"/>
    <d v="2026-05-19T00:00:00"/>
    <s v="487.50 EUR"/>
    <x v="12"/>
  </r>
  <r>
    <s v="Language courses &gt; Brussels"/>
    <s v="BNT - Croatian - Level 04"/>
    <s v="051541-Lang"/>
    <x v="0"/>
    <s v="Yes"/>
    <n v="0"/>
    <d v="2026-09-21T08:30:00"/>
    <d v="2027-01-22T17:30:00"/>
    <d v="2026-04-20T00:00:00"/>
    <s v="487.50 EUR"/>
    <x v="12"/>
  </r>
  <r>
    <s v="Language courses &gt; Brussels"/>
    <s v="BNT - Croatian - Level 05"/>
    <s v="051542-Lang"/>
    <x v="0"/>
    <s v="Yes"/>
    <n v="8"/>
    <d v="2026-09-21T08:30:00"/>
    <d v="2027-01-22T17:30:00"/>
    <d v="2026-05-20T00:00:00"/>
    <s v="487.50 EUR"/>
    <x v="12"/>
  </r>
  <r>
    <s v="Language courses &gt; Brussels"/>
    <s v="BNT - Croatian - Level 06"/>
    <s v="051544-Lang"/>
    <x v="0"/>
    <s v="Yes"/>
    <n v="1"/>
    <d v="2026-09-21T08:30:00"/>
    <d v="2027-01-22T17:30:00"/>
    <d v="2026-05-11T00:00:00"/>
    <s v="487.50 EUR"/>
    <x v="12"/>
  </r>
  <r>
    <s v="Language courses &gt; Brussels"/>
    <s v="BNT - Croatian - Level 07"/>
    <s v="051546-Lang"/>
    <x v="0"/>
    <s v="Yes"/>
    <n v="4"/>
    <d v="2026-09-21T08:30:00"/>
    <d v="2027-01-22T17:30:00"/>
    <d v="2026-05-15T00:00:00"/>
    <s v="487.50 EUR"/>
    <x v="12"/>
  </r>
  <r>
    <s v="Language courses &gt; Brussels"/>
    <s v="BNT - Croatian - Level 08"/>
    <s v="051531-Lang"/>
    <x v="0"/>
    <s v="Yes"/>
    <n v="1"/>
    <d v="2026-09-21T08:30:00"/>
    <d v="2027-01-22T17:30:00"/>
    <d v="2026-05-11T00:00:00"/>
    <s v="487.50 EUR"/>
    <x v="12"/>
  </r>
  <r>
    <s v="Language courses &gt; Brussels"/>
    <s v="BNT - Czech - Level 01 "/>
    <s v="051725-Lang"/>
    <x v="0"/>
    <s v="Yes"/>
    <n v="1"/>
    <d v="2026-09-21T08:30:00"/>
    <d v="2027-01-22T17:30:00"/>
    <d v="2026-05-11T00:00:00"/>
    <s v="487.50 EUR"/>
    <x v="12"/>
  </r>
  <r>
    <s v="Language courses &gt; Brussels"/>
    <s v="BNT - Czech - Level 02"/>
    <s v="051726-Lang"/>
    <x v="0"/>
    <s v="Yes"/>
    <n v="0"/>
    <d v="2026-09-21T08:30:00"/>
    <d v="2027-01-22T17:30:00"/>
    <d v="2026-01-22T00:00:00"/>
    <s v="487.50 EUR"/>
    <x v="12"/>
  </r>
  <r>
    <s v="Language courses &gt; Brussels"/>
    <s v="BNT - Czech - Level 03"/>
    <s v="051727-Lang"/>
    <x v="0"/>
    <s v="Yes"/>
    <n v="0"/>
    <d v="2026-09-21T08:30:00"/>
    <d v="2027-01-22T17:30:00"/>
    <d v="2026-02-18T00:00:00"/>
    <s v="487.50 EUR"/>
    <x v="12"/>
  </r>
  <r>
    <s v="Language courses &gt; Brussels"/>
    <s v="BNT - Czech - Level 04"/>
    <s v="051715-Lang"/>
    <x v="0"/>
    <s v="Yes"/>
    <n v="6"/>
    <d v="2026-09-21T08:30:00"/>
    <d v="2027-01-22T17:30:00"/>
    <d v="2026-05-18T00:00:00"/>
    <s v="487.50 EUR"/>
    <x v="12"/>
  </r>
  <r>
    <s v="Language courses &gt; Brussels"/>
    <s v="BNT - Czech - Level 05"/>
    <s v="051718-Lang"/>
    <x v="0"/>
    <s v="Yes"/>
    <n v="1"/>
    <d v="2026-09-21T08:30:00"/>
    <d v="2027-01-22T17:30:00"/>
    <d v="2026-05-20T00:00:00"/>
    <s v="487.50 EUR"/>
    <x v="12"/>
  </r>
  <r>
    <s v="Language courses &gt; Brussels"/>
    <s v="BNT - Czech - Level 06"/>
    <s v="051736-Lang"/>
    <x v="0"/>
    <s v="Yes"/>
    <n v="0"/>
    <d v="2026-09-21T08:30:00"/>
    <d v="2027-01-22T17:30:00"/>
    <s v=" "/>
    <s v="487.50 EUR"/>
    <x v="12"/>
  </r>
  <r>
    <s v="Language courses &gt; Brussels"/>
    <s v="BNT - Czech - Level 07"/>
    <s v="051719-Lang"/>
    <x v="0"/>
    <s v="Yes"/>
    <n v="0"/>
    <d v="2026-09-21T08:30:00"/>
    <d v="2027-01-22T17:30:00"/>
    <s v=" "/>
    <s v="487.50 EUR"/>
    <x v="12"/>
  </r>
  <r>
    <s v="Language courses &gt; Brussels"/>
    <s v="BNT - Czech - Level 08"/>
    <s v="051737-Lang"/>
    <x v="0"/>
    <s v="Yes"/>
    <n v="0"/>
    <d v="2026-09-21T08:30:00"/>
    <d v="2027-01-22T17:30:00"/>
    <s v=" "/>
    <s v="487.50 EUR"/>
    <x v="12"/>
  </r>
  <r>
    <s v="Language courses &gt; Brussels"/>
    <s v="BNT - Danish - Level 01 "/>
    <s v="051455-Lang"/>
    <x v="0"/>
    <s v="Yes"/>
    <n v="4"/>
    <d v="2026-09-21T08:30:00"/>
    <d v="2027-01-22T17:30:00"/>
    <d v="2026-05-20T00:00:00"/>
    <s v="487.50 EUR"/>
    <x v="12"/>
  </r>
  <r>
    <s v="Language courses &gt; Brussels"/>
    <s v="BNT - Danish - Level 02"/>
    <s v="051478-Lang"/>
    <x v="0"/>
    <s v="Yes"/>
    <n v="3"/>
    <d v="2026-09-21T08:30:00"/>
    <d v="2027-01-22T17:30:00"/>
    <d v="2026-05-21T00:00:00"/>
    <s v="487.50 EUR"/>
    <x v="12"/>
  </r>
  <r>
    <s v="Language courses &gt; Brussels"/>
    <s v="BNT - Danish - Level 03"/>
    <s v="051483-Lang"/>
    <x v="0"/>
    <s v="Yes"/>
    <n v="0"/>
    <d v="2026-09-21T08:30:00"/>
    <d v="2027-01-22T17:30:00"/>
    <s v=" "/>
    <s v="487.50 EUR"/>
    <x v="12"/>
  </r>
  <r>
    <s v="Language courses &gt; Brussels"/>
    <s v="BNT - Danish - Level 04"/>
    <s v="051491-Lang"/>
    <x v="0"/>
    <s v="Yes"/>
    <n v="0"/>
    <d v="2026-09-21T08:30:00"/>
    <d v="2027-01-22T17:30:00"/>
    <d v="2024-01-30T00:00:00"/>
    <s v="487.50 EUR"/>
    <x v="12"/>
  </r>
  <r>
    <s v="Language courses &gt; Brussels"/>
    <s v="BNT - Danish - Level 05"/>
    <s v="051540-Lang"/>
    <x v="0"/>
    <s v="Yes"/>
    <n v="1"/>
    <d v="2026-09-21T08:30:00"/>
    <d v="2027-01-22T17:30:00"/>
    <d v="2026-05-19T00:00:00"/>
    <s v="487.50 EUR"/>
    <x v="12"/>
  </r>
  <r>
    <s v="Language courses &gt; Brussels"/>
    <s v="BNT - Danish - Level 06"/>
    <s v="051529-Lang"/>
    <x v="0"/>
    <s v="Yes"/>
    <n v="0"/>
    <d v="2026-09-21T08:30:00"/>
    <d v="2027-01-22T17:30:00"/>
    <d v="2025-01-27T00:00:00"/>
    <s v="487.50 EUR"/>
    <x v="12"/>
  </r>
  <r>
    <s v="Language courses &gt; Brussels"/>
    <s v="BNT - Danish - Level 07"/>
    <s v="051532-Lang"/>
    <x v="0"/>
    <s v="Yes"/>
    <n v="1"/>
    <d v="2026-09-21T08:30:00"/>
    <d v="2027-01-22T17:30:00"/>
    <d v="2026-05-11T00:00:00"/>
    <s v="487.50 EUR"/>
    <x v="12"/>
  </r>
  <r>
    <s v="Language courses &gt; Brussels"/>
    <s v="BNT - Danish - Level 08"/>
    <s v="051549-Lang"/>
    <x v="0"/>
    <s v="Yes"/>
    <n v="0"/>
    <d v="2026-09-21T08:30:00"/>
    <d v="2027-01-22T17:30:00"/>
    <d v="2026-01-20T00:00:00"/>
    <s v="487.50 EUR"/>
    <x v="12"/>
  </r>
  <r>
    <s v="Language courses &gt; Brussels"/>
    <s v="BNT - Dutch - Level 01 "/>
    <s v="051454-Lang"/>
    <x v="0"/>
    <s v="Yes"/>
    <n v="101"/>
    <d v="2026-09-21T08:30:00"/>
    <d v="2027-01-22T17:30:00"/>
    <d v="2026-05-21T00:00:00"/>
    <s v="487.50 EUR"/>
    <x v="12"/>
  </r>
  <r>
    <s v="Language courses &gt; Brussels"/>
    <s v="BNT - Dutch - Level 02"/>
    <s v="051487-Lang"/>
    <x v="0"/>
    <s v="Yes"/>
    <n v="51"/>
    <d v="2026-09-21T08:30:00"/>
    <d v="2027-01-22T17:30:00"/>
    <d v="2026-05-20T00:00:00"/>
    <s v="487.50 EUR"/>
    <x v="12"/>
  </r>
  <r>
    <s v="Language courses &gt; Brussels"/>
    <s v="BNT - Dutch - Level 03"/>
    <s v="051502-Lang"/>
    <x v="0"/>
    <s v="Yes"/>
    <n v="60"/>
    <d v="2026-09-21T08:30:00"/>
    <d v="2027-01-22T17:30:00"/>
    <d v="2026-05-21T00:00:00"/>
    <s v="487.50 EUR"/>
    <x v="12"/>
  </r>
  <r>
    <s v="Language courses &gt; Brussels"/>
    <s v="BNT - Dutch - Level 04"/>
    <s v="051503-Lang"/>
    <x v="0"/>
    <s v="Yes"/>
    <n v="52"/>
    <d v="2026-09-21T08:30:00"/>
    <d v="2027-01-22T17:30:00"/>
    <d v="2026-05-21T00:00:00"/>
    <s v="487.50 EUR"/>
    <x v="12"/>
  </r>
  <r>
    <s v="Language courses &gt; Brussels"/>
    <s v="BNT - Dutch - Level 05"/>
    <s v="051493-Lang"/>
    <x v="0"/>
    <s v="Yes"/>
    <n v="52"/>
    <d v="2026-09-21T08:30:00"/>
    <d v="2027-01-22T17:30:00"/>
    <d v="2026-05-21T00:00:00"/>
    <s v="487.50 EUR"/>
    <x v="12"/>
  </r>
  <r>
    <s v="Language courses &gt; Brussels"/>
    <s v="BNT - Dutch - Level 06"/>
    <s v="051505-Lang"/>
    <x v="0"/>
    <s v="Yes"/>
    <n v="43"/>
    <d v="2026-09-21T08:30:00"/>
    <d v="2027-01-22T17:30:00"/>
    <d v="2026-05-20T00:00:00"/>
    <s v="487.50 EUR"/>
    <x v="12"/>
  </r>
  <r>
    <s v="Language courses &gt; Brussels"/>
    <s v="BNT - Dutch - Level 07"/>
    <s v="051496-Lang"/>
    <x v="0"/>
    <s v="Yes"/>
    <n v="33"/>
    <d v="2026-09-21T08:30:00"/>
    <d v="2027-01-22T17:30:00"/>
    <d v="2026-05-20T00:00:00"/>
    <s v="487.50 EUR"/>
    <x v="12"/>
  </r>
  <r>
    <s v="Language courses &gt; Brussels"/>
    <s v="BNT - Dutch - Level 08"/>
    <s v="051521-Lang"/>
    <x v="0"/>
    <s v="Yes"/>
    <n v="37"/>
    <d v="2026-09-21T08:30:00"/>
    <d v="2027-01-22T17:30:00"/>
    <d v="2026-05-20T00:00:00"/>
    <s v="487.50 EUR"/>
    <x v="12"/>
  </r>
  <r>
    <s v="Language courses &gt; Brussels"/>
    <s v="BNT - Dutch – Conversation Table - Level A2"/>
    <s v="051754-Lang"/>
    <x v="0"/>
    <s v="Yes"/>
    <n v="4"/>
    <d v="2026-09-21T12:30:00"/>
    <d v="2027-01-22T13:30:00"/>
    <d v="2026-05-11T00:00:00"/>
    <s v="121.87 EUR"/>
    <x v="12"/>
  </r>
  <r>
    <s v="Language courses &gt; Brussels"/>
    <s v="BNT - Dutch – Conversation Table - Level B2"/>
    <s v="051756-Lang"/>
    <x v="0"/>
    <s v="Yes"/>
    <n v="12"/>
    <d v="2026-09-21T12:10:00"/>
    <d v="2027-01-22T13:30:00"/>
    <d v="2026-05-19T00:00:00"/>
    <s v="182.81 EUR"/>
    <x v="12"/>
  </r>
  <r>
    <s v="Language courses &gt; Brussels"/>
    <s v="BNT - English - Level 01 "/>
    <s v="051458-Lang"/>
    <x v="0"/>
    <s v="Yes"/>
    <n v="5"/>
    <d v="2026-09-21T08:30:00"/>
    <d v="2027-01-22T17:30:00"/>
    <d v="2026-05-20T00:00:00"/>
    <s v="487.50 EUR"/>
    <x v="12"/>
  </r>
  <r>
    <s v="Language courses &gt; Brussels"/>
    <s v="BNT - English - Level 02"/>
    <s v="051481-Lang"/>
    <x v="0"/>
    <s v="Yes"/>
    <n v="10"/>
    <d v="2026-09-21T08:30:00"/>
    <d v="2027-01-22T17:30:00"/>
    <d v="2026-05-19T00:00:00"/>
    <s v="487.50 EUR"/>
    <x v="12"/>
  </r>
  <r>
    <s v="Language courses &gt; Brussels"/>
    <s v="BNT - English - Level 03"/>
    <s v="051485-Lang"/>
    <x v="0"/>
    <s v="Yes"/>
    <n v="12"/>
    <d v="2026-09-21T08:30:00"/>
    <d v="2027-01-22T17:30:00"/>
    <d v="2026-05-21T00:00:00"/>
    <s v="487.50 EUR"/>
    <x v="12"/>
  </r>
  <r>
    <s v="Language courses &gt; Brussels"/>
    <s v="BNT - English - Level 04"/>
    <s v="051501-Lang"/>
    <x v="0"/>
    <s v="Yes"/>
    <n v="17"/>
    <d v="2026-09-21T08:30:00"/>
    <d v="2027-01-22T17:30:00"/>
    <d v="2026-05-21T00:00:00"/>
    <s v="487.50 EUR"/>
    <x v="12"/>
  </r>
  <r>
    <s v="Language courses &gt; Brussels"/>
    <s v="BNT - English - Level 05"/>
    <s v="051488-Lang"/>
    <x v="0"/>
    <s v="Yes"/>
    <n v="23"/>
    <d v="2026-09-21T08:30:00"/>
    <d v="2027-01-22T17:30:00"/>
    <d v="2026-05-21T00:00:00"/>
    <s v="487.50 EUR"/>
    <x v="12"/>
  </r>
  <r>
    <s v="Language courses &gt; Brussels"/>
    <s v="BNT - English - Level 06"/>
    <s v="051489-Lang"/>
    <x v="0"/>
    <s v="Yes"/>
    <n v="22"/>
    <d v="2026-09-21T08:30:00"/>
    <d v="2027-01-22T17:30:00"/>
    <d v="2026-05-21T00:00:00"/>
    <s v="487.50 EUR"/>
    <x v="12"/>
  </r>
  <r>
    <s v="Language courses &gt; Brussels"/>
    <s v="BNT - English - Level 07"/>
    <s v="051504-Lang"/>
    <x v="0"/>
    <s v="Yes"/>
    <n v="32"/>
    <d v="2026-09-21T08:30:00"/>
    <d v="2027-01-22T17:30:00"/>
    <d v="2026-05-21T00:00:00"/>
    <s v="487.50 EUR"/>
    <x v="12"/>
  </r>
  <r>
    <s v="Language courses &gt; Brussels"/>
    <s v="BNT - English - Level 08"/>
    <s v="051506-Lang"/>
    <x v="0"/>
    <s v="Yes"/>
    <n v="23"/>
    <d v="2026-09-21T08:30:00"/>
    <d v="2027-01-22T17:30:00"/>
    <d v="2026-05-21T00:00:00"/>
    <s v="487.50 EUR"/>
    <x v="12"/>
  </r>
  <r>
    <s v="Language courses &gt; Brussels"/>
    <s v="BNT - English - Level 09"/>
    <s v="051497-Lang"/>
    <x v="0"/>
    <s v="Yes"/>
    <n v="25"/>
    <d v="2026-09-21T08:30:00"/>
    <d v="2027-01-22T17:30:00"/>
    <d v="2026-05-21T00:00:00"/>
    <s v="487.50 EUR"/>
    <x v="12"/>
  </r>
  <r>
    <s v="Language courses &gt; Brussels"/>
    <s v="BNT - English - Level 10"/>
    <s v="051520-Lang"/>
    <x v="0"/>
    <s v="Yes"/>
    <n v="27"/>
    <d v="2026-09-21T08:30:00"/>
    <d v="2027-01-22T17:30:00"/>
    <d v="2026-05-21T00:00:00"/>
    <s v="487.50 EUR"/>
    <x v="12"/>
  </r>
  <r>
    <s v="Language courses &gt; Brussels"/>
    <s v="BNT - English - Level 11"/>
    <s v="051512-Lang"/>
    <x v="0"/>
    <s v="Yes"/>
    <n v="22"/>
    <d v="2026-09-21T08:30:00"/>
    <d v="2027-01-22T17:30:00"/>
    <d v="2026-05-21T00:00:00"/>
    <s v="487.50 EUR"/>
    <x v="12"/>
  </r>
  <r>
    <s v="Language courses &gt; Brussels"/>
    <s v="BNT - English - Level 12"/>
    <s v="051522-Lang"/>
    <x v="0"/>
    <s v="Yes"/>
    <n v="9"/>
    <d v="2026-09-21T08:30:00"/>
    <d v="2027-01-22T17:30:00"/>
    <d v="2026-05-21T00:00:00"/>
    <s v="487.50 EUR"/>
    <x v="12"/>
  </r>
  <r>
    <s v="Language courses &gt; Brussels"/>
    <s v="BNT - English – Conversation Table - Level A2"/>
    <s v="051777-Lang"/>
    <x v="0"/>
    <s v="Yes"/>
    <n v="4"/>
    <d v="2026-09-21T12:30:00"/>
    <d v="2027-01-22T13:30:00"/>
    <d v="2026-05-14T00:00:00"/>
    <s v="121.87 EUR"/>
    <x v="12"/>
  </r>
  <r>
    <s v="Language courses &gt; Brussels"/>
    <s v="BNT - English – Conversation Table - Level B2"/>
    <s v="051779-Lang"/>
    <x v="0"/>
    <s v="Yes"/>
    <n v="14"/>
    <d v="2026-09-21T12:10:00"/>
    <d v="2027-01-22T13:30:00"/>
    <d v="2026-05-20T00:00:00"/>
    <s v="182.81 EUR"/>
    <x v="12"/>
  </r>
  <r>
    <s v="Language courses &gt; Brussels"/>
    <s v="BNT - Estonian - Level 01 "/>
    <s v="051537-Lang"/>
    <x v="0"/>
    <s v="Yes"/>
    <n v="0"/>
    <d v="2026-09-21T08:30:00"/>
    <d v="2027-01-22T17:30:00"/>
    <d v="2025-07-01T00:00:00"/>
    <s v="487.50 EUR"/>
    <x v="12"/>
  </r>
  <r>
    <s v="Language courses &gt; Brussels"/>
    <s v="BNT - Estonian - Level 02"/>
    <s v="051672-Lang"/>
    <x v="0"/>
    <s v="Yes"/>
    <n v="1"/>
    <d v="2026-09-21T08:30:00"/>
    <d v="2027-01-22T17:30:00"/>
    <d v="2026-05-11T00:00:00"/>
    <s v="487.50 EUR"/>
    <x v="12"/>
  </r>
  <r>
    <s v="Language courses &gt; Brussels"/>
    <s v="BNT - Estonian - Level 03"/>
    <s v="051673-Lang"/>
    <x v="0"/>
    <s v="Yes"/>
    <n v="0"/>
    <d v="2026-09-21T08:30:00"/>
    <d v="2027-01-22T17:30:00"/>
    <d v="2026-02-09T00:00:00"/>
    <s v="487.50 EUR"/>
    <x v="12"/>
  </r>
  <r>
    <s v="Language courses &gt; Brussels"/>
    <s v="BNT - Estonian - Level 04"/>
    <s v="051723-Lang"/>
    <x v="0"/>
    <s v="Yes"/>
    <n v="5"/>
    <d v="2026-09-21T08:30:00"/>
    <d v="2027-01-22T17:30:00"/>
    <d v="2026-05-18T00:00:00"/>
    <s v="487.50 EUR"/>
    <x v="12"/>
  </r>
  <r>
    <s v="Language courses &gt; Brussels"/>
    <s v="BNT - Estonian - Level 05"/>
    <s v="051675-Lang"/>
    <x v="0"/>
    <s v="Yes"/>
    <n v="0"/>
    <d v="2026-09-21T08:30:00"/>
    <d v="2027-01-22T17:30:00"/>
    <s v=" "/>
    <s v="487.50 EUR"/>
    <x v="12"/>
  </r>
  <r>
    <s v="Language courses &gt; Brussels"/>
    <s v="BNT - Estonian - Level 06"/>
    <s v="051632-Lang"/>
    <x v="0"/>
    <s v="Yes"/>
    <n v="0"/>
    <d v="2026-09-21T08:30:00"/>
    <d v="2027-01-22T17:30:00"/>
    <s v=" "/>
    <s v="487.50 EUR"/>
    <x v="12"/>
  </r>
  <r>
    <s v="Language courses &gt; Brussels"/>
    <s v="BNT - Estonian - Level 07"/>
    <s v="051636-Lang"/>
    <x v="0"/>
    <s v="Yes"/>
    <n v="0"/>
    <d v="2026-09-21T08:30:00"/>
    <d v="2027-01-22T17:30:00"/>
    <d v="2024-01-25T00:00:00"/>
    <s v="487.50 EUR"/>
    <x v="12"/>
  </r>
  <r>
    <s v="Language courses &gt; Brussels"/>
    <s v="BNT - Estonian - Level 08"/>
    <s v="051678-Lang"/>
    <x v="0"/>
    <s v="Yes"/>
    <n v="0"/>
    <d v="2026-09-21T08:30:00"/>
    <d v="2027-01-22T17:30:00"/>
    <d v="2024-06-27T00:00:00"/>
    <s v="487.50 EUR"/>
    <x v="12"/>
  </r>
  <r>
    <s v="Language courses &gt; Brussels"/>
    <s v="BNT - Finnish - Level 01 "/>
    <s v="051701-Lang"/>
    <x v="0"/>
    <s v="Yes"/>
    <n v="5"/>
    <d v="2026-09-21T08:30:00"/>
    <d v="2027-01-22T17:30:00"/>
    <d v="2026-05-21T00:00:00"/>
    <s v="487.50 EUR"/>
    <x v="12"/>
  </r>
  <r>
    <s v="Language courses &gt; Brussels"/>
    <s v="BNT - Finnish - Level 02"/>
    <s v="051684-Lang"/>
    <x v="0"/>
    <s v="Yes"/>
    <n v="3"/>
    <d v="2026-09-21T08:30:00"/>
    <d v="2027-01-22T17:30:00"/>
    <d v="2026-05-21T00:00:00"/>
    <s v="487.50 EUR"/>
    <x v="12"/>
  </r>
  <r>
    <s v="Language courses &gt; Brussels"/>
    <s v="BNT - Finnish - Level 03"/>
    <s v="051687-Lang"/>
    <x v="0"/>
    <s v="Yes"/>
    <n v="0"/>
    <d v="2026-09-21T08:30:00"/>
    <d v="2027-01-22T17:30:00"/>
    <d v="2026-01-21T00:00:00"/>
    <s v="487.50 EUR"/>
    <x v="12"/>
  </r>
  <r>
    <s v="Language courses &gt; Brussels"/>
    <s v="BNT - Finnish - Level 04"/>
    <s v="051695-Lang"/>
    <x v="0"/>
    <s v="Yes"/>
    <n v="1"/>
    <d v="2026-09-21T08:30:00"/>
    <d v="2027-01-22T17:30:00"/>
    <d v="2026-05-20T00:00:00"/>
    <s v="487.50 EUR"/>
    <x v="12"/>
  </r>
  <r>
    <s v="Language courses &gt; Brussels"/>
    <s v="BNT - Finnish - Level 05"/>
    <s v="051688-Lang"/>
    <x v="0"/>
    <s v="Yes"/>
    <n v="1"/>
    <d v="2026-09-21T08:30:00"/>
    <d v="2027-01-22T17:30:00"/>
    <d v="2026-05-11T00:00:00"/>
    <s v="487.50 EUR"/>
    <x v="12"/>
  </r>
  <r>
    <s v="Language courses &gt; Brussels"/>
    <s v="BNT - Finnish - Level 06"/>
    <s v="051691-Lang"/>
    <x v="0"/>
    <s v="Yes"/>
    <n v="0"/>
    <d v="2026-09-21T08:30:00"/>
    <d v="2027-01-22T17:30:00"/>
    <d v="2026-02-09T00:00:00"/>
    <s v="487.50 EUR"/>
    <x v="12"/>
  </r>
  <r>
    <s v="Language courses &gt; Brussels"/>
    <s v="BNT - Finnish - Level 07"/>
    <s v="051707-Lang"/>
    <x v="0"/>
    <s v="Yes"/>
    <n v="7"/>
    <d v="2026-09-21T08:30:00"/>
    <d v="2027-01-22T17:30:00"/>
    <d v="2026-05-19T00:00:00"/>
    <s v="487.50 EUR"/>
    <x v="12"/>
  </r>
  <r>
    <s v="Language courses &gt; Brussels"/>
    <s v="BNT - Finnish - Level 08"/>
    <s v="051709-Lang"/>
    <x v="0"/>
    <s v="Yes"/>
    <n v="0"/>
    <d v="2026-09-21T08:30:00"/>
    <d v="2027-01-22T17:30:00"/>
    <s v=" "/>
    <s v="487.50 EUR"/>
    <x v="12"/>
  </r>
  <r>
    <s v="Language courses &gt; Brussels"/>
    <s v="BNT - French - Level 01 "/>
    <s v="051415-Lang"/>
    <x v="0"/>
    <s v="Yes"/>
    <n v="88"/>
    <d v="2026-09-21T08:30:00"/>
    <d v="2027-01-22T17:30:00"/>
    <d v="2026-05-21T00:00:00"/>
    <s v="487.50 EUR"/>
    <x v="12"/>
  </r>
  <r>
    <s v="Language courses &gt; Brussels"/>
    <s v="BNT - French - Level 02"/>
    <s v="051416-Lang"/>
    <x v="0"/>
    <s v="Yes"/>
    <n v="111"/>
    <d v="2026-09-21T08:30:00"/>
    <d v="2027-01-22T17:30:00"/>
    <d v="2026-05-21T00:00:00"/>
    <s v="487.50 EUR"/>
    <x v="12"/>
  </r>
  <r>
    <s v="Language courses &gt; Brussels"/>
    <s v="BNT - French - Level 03"/>
    <s v="051460-Lang"/>
    <x v="0"/>
    <s v="Yes"/>
    <n v="113"/>
    <d v="2026-09-21T08:30:00"/>
    <d v="2027-01-22T17:30:00"/>
    <d v="2026-05-21T00:00:00"/>
    <s v="487.50 EUR"/>
    <x v="12"/>
  </r>
  <r>
    <s v="Language courses &gt; Brussels"/>
    <s v="BNT - French - Level 04"/>
    <s v="051689-Lang"/>
    <x v="0"/>
    <s v="Yes"/>
    <n v="141"/>
    <d v="2026-09-21T08:30:00"/>
    <d v="2027-01-22T17:30:00"/>
    <d v="2026-05-21T00:00:00"/>
    <s v="487.50 EUR"/>
    <x v="12"/>
  </r>
  <r>
    <s v="Language courses &gt; Brussels"/>
    <s v="BNT - French - Level 05"/>
    <s v="051443-Lang"/>
    <x v="0"/>
    <s v="Yes"/>
    <n v="155"/>
    <d v="2026-09-21T08:30:00"/>
    <d v="2027-01-22T17:30:00"/>
    <d v="2026-05-21T00:00:00"/>
    <s v="487.50 EUR"/>
    <x v="12"/>
  </r>
  <r>
    <s v="Language courses &gt; Brussels"/>
    <s v="BNT - French - Level 06"/>
    <s v="051418-Lang"/>
    <x v="0"/>
    <s v="Yes"/>
    <n v="166"/>
    <d v="2026-09-21T08:30:00"/>
    <d v="2027-01-22T17:30:00"/>
    <d v="2026-05-21T00:00:00"/>
    <s v="487.50 EUR"/>
    <x v="12"/>
  </r>
  <r>
    <s v="Language courses &gt; Brussels"/>
    <s v="BNT - French - Level 07"/>
    <s v="051417-Lang"/>
    <x v="0"/>
    <s v="Yes"/>
    <n v="143"/>
    <d v="2026-09-21T08:30:00"/>
    <d v="2027-01-22T17:30:00"/>
    <d v="2026-05-21T00:00:00"/>
    <s v="487.50 EUR"/>
    <x v="12"/>
  </r>
  <r>
    <s v="Language courses &gt; Brussels"/>
    <s v="BNT - French - Level 08"/>
    <s v="051464-Lang"/>
    <x v="0"/>
    <s v="Yes"/>
    <n v="150"/>
    <d v="2026-09-21T08:30:00"/>
    <d v="2027-01-22T17:30:00"/>
    <d v="2026-05-21T00:00:00"/>
    <s v="487.50 EUR"/>
    <x v="12"/>
  </r>
  <r>
    <s v="Language courses &gt; Brussels"/>
    <s v="BNT - French - Level 09"/>
    <s v="051465-Lang"/>
    <x v="0"/>
    <s v="Yes"/>
    <n v="114"/>
    <d v="2026-09-21T08:30:00"/>
    <d v="2027-01-22T17:30:00"/>
    <d v="2026-05-21T00:00:00"/>
    <s v="487.50 EUR"/>
    <x v="12"/>
  </r>
  <r>
    <s v="Language courses &gt; Brussels"/>
    <s v="BNT - French - Level 10"/>
    <s v="051445-Lang"/>
    <x v="0"/>
    <s v="Yes"/>
    <n v="105"/>
    <d v="2026-09-21T08:30:00"/>
    <d v="2027-01-22T17:30:00"/>
    <d v="2026-05-21T00:00:00"/>
    <s v="487.50 EUR"/>
    <x v="12"/>
  </r>
  <r>
    <s v="Language courses &gt; Brussels"/>
    <s v="BNT - French - Level 11"/>
    <s v="051446-Lang"/>
    <x v="0"/>
    <s v="Yes"/>
    <n v="77"/>
    <d v="2026-09-21T08:30:00"/>
    <d v="2027-01-22T17:30:00"/>
    <d v="2026-05-21T00:00:00"/>
    <s v="487.50 EUR"/>
    <x v="12"/>
  </r>
  <r>
    <s v="Language courses &gt; Brussels"/>
    <s v="BNT - French - Level 12"/>
    <s v="051447-Lang"/>
    <x v="0"/>
    <s v="Yes"/>
    <n v="46"/>
    <d v="2026-09-21T08:30:00"/>
    <d v="2027-01-22T17:30:00"/>
    <d v="2026-05-21T00:00:00"/>
    <s v="487.50 EUR"/>
    <x v="12"/>
  </r>
  <r>
    <s v="Language courses &gt; Brussels"/>
    <s v="BNT - French – Conversation Table - Level A2"/>
    <s v="051776-Lang"/>
    <x v="0"/>
    <s v="Yes"/>
    <n v="17"/>
    <d v="2026-09-21T12:30:00"/>
    <d v="2027-01-22T13:30:00"/>
    <d v="2026-05-21T00:00:00"/>
    <s v="121.87 EUR"/>
    <x v="12"/>
  </r>
  <r>
    <s v="Language courses &gt; Brussels"/>
    <s v="BNT - French – Conversation Table - Level B2"/>
    <s v="051782-Lang"/>
    <x v="0"/>
    <s v="Yes"/>
    <n v="54"/>
    <d v="2026-09-21T12:10:00"/>
    <d v="2027-01-22T13:30:00"/>
    <d v="2026-05-21T00:00:00"/>
    <s v="182.81 EUR"/>
    <x v="12"/>
  </r>
  <r>
    <s v="Language courses &gt; Brussels"/>
    <s v="BNT - German - Level 01 "/>
    <s v="051507-Lang"/>
    <x v="0"/>
    <s v="Yes"/>
    <n v="48"/>
    <d v="2026-09-21T08:30:00"/>
    <d v="2027-01-22T17:30:00"/>
    <d v="2026-05-21T00:00:00"/>
    <s v="487.50 EUR"/>
    <x v="12"/>
  </r>
  <r>
    <s v="Language courses &gt; Brussels"/>
    <s v="BNT - German - Level 02"/>
    <s v="051509-Lang"/>
    <x v="0"/>
    <s v="Yes"/>
    <n v="38"/>
    <d v="2026-09-21T08:30:00"/>
    <d v="2027-01-22T17:30:00"/>
    <d v="2026-05-20T00:00:00"/>
    <s v="487.50 EUR"/>
    <x v="12"/>
  </r>
  <r>
    <s v="Language courses &gt; Brussels"/>
    <s v="BNT - German - Level 03"/>
    <s v="051514-Lang"/>
    <x v="0"/>
    <s v="Yes"/>
    <n v="53"/>
    <d v="2026-09-21T08:30:00"/>
    <d v="2027-01-22T17:30:00"/>
    <d v="2026-05-20T00:00:00"/>
    <s v="487.50 EUR"/>
    <x v="12"/>
  </r>
  <r>
    <s v="Language courses &gt; Brussels"/>
    <s v="BNT - German - Level 04"/>
    <s v="051515-Lang"/>
    <x v="0"/>
    <s v="Yes"/>
    <n v="36"/>
    <d v="2026-09-21T08:30:00"/>
    <d v="2027-01-22T17:30:00"/>
    <d v="2026-05-20T00:00:00"/>
    <s v="487.50 EUR"/>
    <x v="12"/>
  </r>
  <r>
    <s v="Language courses &gt; Brussels"/>
    <s v="BNT - German - Level 05"/>
    <s v="051545-Lang"/>
    <x v="0"/>
    <s v="Yes"/>
    <n v="46"/>
    <d v="2026-09-21T08:30:00"/>
    <d v="2027-01-22T17:30:00"/>
    <d v="2026-05-21T00:00:00"/>
    <s v="487.50 EUR"/>
    <x v="12"/>
  </r>
  <r>
    <s v="Language courses &gt; Brussels"/>
    <s v="BNT - German - Level 06"/>
    <s v="051547-Lang"/>
    <x v="0"/>
    <s v="Yes"/>
    <n v="35"/>
    <d v="2026-09-21T08:30:00"/>
    <d v="2027-01-22T17:30:00"/>
    <d v="2026-05-21T00:00:00"/>
    <s v="487.50 EUR"/>
    <x v="12"/>
  </r>
  <r>
    <s v="Language courses &gt; Brussels"/>
    <s v="BNT - German - Level 07"/>
    <s v="051535-Lang"/>
    <x v="0"/>
    <s v="Yes"/>
    <n v="34"/>
    <d v="2026-09-21T08:30:00"/>
    <d v="2027-01-22T17:30:00"/>
    <d v="2026-05-21T00:00:00"/>
    <s v="487.50 EUR"/>
    <x v="12"/>
  </r>
  <r>
    <s v="Language courses &gt; Brussels"/>
    <s v="BNT - German - Level 08"/>
    <s v="051539-Lang"/>
    <x v="0"/>
    <s v="Yes"/>
    <n v="31"/>
    <d v="2026-09-21T08:30:00"/>
    <d v="2027-01-22T17:30:00"/>
    <d v="2026-05-21T00:00:00"/>
    <s v="487.50 EUR"/>
    <x v="12"/>
  </r>
  <r>
    <s v="Language courses &gt; Brussels"/>
    <s v="BNT - German - Level 09"/>
    <s v="051560-Lang"/>
    <x v="0"/>
    <s v="Yes"/>
    <n v="20"/>
    <d v="2026-09-21T08:30:00"/>
    <d v="2027-01-22T17:30:00"/>
    <d v="2026-05-20T00:00:00"/>
    <s v="487.50 EUR"/>
    <x v="12"/>
  </r>
  <r>
    <s v="Language courses &gt; Brussels"/>
    <s v="BNT - German - Level 10"/>
    <s v="051562-Lang"/>
    <x v="0"/>
    <s v="Yes"/>
    <n v="19"/>
    <d v="2026-09-21T08:30:00"/>
    <d v="2027-01-22T17:30:00"/>
    <d v="2026-05-20T00:00:00"/>
    <s v="487.50 EUR"/>
    <x v="12"/>
  </r>
  <r>
    <s v="Language courses &gt; Brussels"/>
    <s v="BNT - German - Level 11"/>
    <s v="051564-Lang"/>
    <x v="0"/>
    <s v="Yes"/>
    <n v="14"/>
    <d v="2026-09-21T08:30:00"/>
    <d v="2027-01-22T17:30:00"/>
    <d v="2026-05-20T00:00:00"/>
    <s v="487.50 EUR"/>
    <x v="12"/>
  </r>
  <r>
    <s v="Language courses &gt; Brussels"/>
    <s v="BNT - German - Level 12"/>
    <s v="051566-Lang"/>
    <x v="0"/>
    <s v="Yes"/>
    <n v="10"/>
    <d v="2026-09-21T08:30:00"/>
    <d v="2027-01-22T17:30:00"/>
    <d v="2026-05-21T00:00:00"/>
    <s v="487.50 EUR"/>
    <x v="12"/>
  </r>
  <r>
    <s v="Language courses &gt; Brussels"/>
    <s v="BNT - German – Conversation Table - Level A2"/>
    <s v="051753-Lang"/>
    <x v="0"/>
    <s v="Yes"/>
    <n v="4"/>
    <d v="2026-09-21T12:30:00"/>
    <d v="2027-01-22T13:30:00"/>
    <d v="2026-05-21T00:00:00"/>
    <s v="121.87 EUR"/>
    <x v="12"/>
  </r>
  <r>
    <s v="Language courses &gt; Brussels"/>
    <s v="BNT - German – Conversation Table - Level B2"/>
    <s v="051783-Lang"/>
    <x v="0"/>
    <s v="Yes"/>
    <n v="6"/>
    <d v="2026-09-21T12:10:00"/>
    <d v="2027-01-22T13:30:00"/>
    <d v="2026-05-21T00:00:00"/>
    <s v="182.81 EUR"/>
    <x v="12"/>
  </r>
  <r>
    <s v="Language courses &gt; Brussels"/>
    <s v="BNT - Greek - Level 01 "/>
    <s v="051629-Lang"/>
    <x v="0"/>
    <s v="Yes"/>
    <n v="21"/>
    <d v="2026-09-21T08:30:00"/>
    <d v="2027-01-22T17:30:00"/>
    <d v="2026-05-20T00:00:00"/>
    <s v="487.50 EUR"/>
    <x v="12"/>
  </r>
  <r>
    <s v="Language courses &gt; Brussels"/>
    <s v="BNT - Greek - Level 02"/>
    <s v="051667-Lang"/>
    <x v="0"/>
    <s v="Yes"/>
    <n v="23"/>
    <d v="2026-09-21T08:30:00"/>
    <d v="2027-01-22T17:30:00"/>
    <d v="2026-05-19T00:00:00"/>
    <s v="487.50 EUR"/>
    <x v="12"/>
  </r>
  <r>
    <s v="Language courses &gt; Brussels"/>
    <s v="BNT - Greek - Level 03"/>
    <s v="051668-Lang"/>
    <x v="0"/>
    <s v="Yes"/>
    <n v="11"/>
    <d v="2026-09-21T08:30:00"/>
    <d v="2027-01-22T17:30:00"/>
    <d v="2026-05-21T00:00:00"/>
    <s v="487.50 EUR"/>
    <x v="12"/>
  </r>
  <r>
    <s v="Language courses &gt; Brussels"/>
    <s v="BNT - Greek - Level 04"/>
    <s v="051714-Lang"/>
    <x v="0"/>
    <s v="Yes"/>
    <n v="4"/>
    <d v="2026-09-21T08:30:00"/>
    <d v="2027-01-22T17:30:00"/>
    <d v="2026-05-11T00:00:00"/>
    <s v="487.50 EUR"/>
    <x v="12"/>
  </r>
  <r>
    <s v="Language courses &gt; Brussels"/>
    <s v="BNT - Greek - Level 05"/>
    <s v="051630-Lang"/>
    <x v="0"/>
    <s v="Yes"/>
    <n v="8"/>
    <d v="2026-09-21T08:30:00"/>
    <d v="2027-01-22T17:30:00"/>
    <d v="2026-05-19T00:00:00"/>
    <s v="487.50 EUR"/>
    <x v="12"/>
  </r>
  <r>
    <s v="Language courses &gt; Brussels"/>
    <s v="BNT - Greek - Level 06"/>
    <s v="051670-Lang"/>
    <x v="0"/>
    <s v="Yes"/>
    <n v="11"/>
    <d v="2026-09-21T08:30:00"/>
    <d v="2027-01-22T17:30:00"/>
    <d v="2026-05-20T00:00:00"/>
    <s v="487.50 EUR"/>
    <x v="12"/>
  </r>
  <r>
    <s v="Language courses &gt; Brussels"/>
    <s v="BNT - Greek - Level 07"/>
    <s v="051679-Lang"/>
    <x v="0"/>
    <s v="Yes"/>
    <n v="3"/>
    <d v="2026-09-21T08:30:00"/>
    <d v="2027-01-22T17:30:00"/>
    <d v="2026-05-19T00:00:00"/>
    <s v="487.50 EUR"/>
    <x v="12"/>
  </r>
  <r>
    <s v="Language courses &gt; Brussels"/>
    <s v="BNT - Greek - Level 08"/>
    <s v="051681-Lang"/>
    <x v="0"/>
    <s v="Yes"/>
    <n v="7"/>
    <d v="2026-09-21T08:30:00"/>
    <d v="2027-01-22T17:30:00"/>
    <d v="2026-05-19T00:00:00"/>
    <s v="487.50 EUR"/>
    <x v="12"/>
  </r>
  <r>
    <s v="Language courses &gt; Brussels"/>
    <s v="BNT - Hungarian - Level 01 "/>
    <s v="051729-Lang"/>
    <x v="0"/>
    <s v="Yes"/>
    <n v="2"/>
    <d v="2026-09-21T08:30:00"/>
    <d v="2027-01-22T17:30:00"/>
    <d v="2026-05-18T00:00:00"/>
    <s v="487.50 EUR"/>
    <x v="12"/>
  </r>
  <r>
    <s v="Language courses &gt; Brussels"/>
    <s v="BNT - Hungarian - Level 02"/>
    <s v="051730-Lang"/>
    <x v="0"/>
    <s v="Yes"/>
    <n v="1"/>
    <d v="2026-09-21T08:30:00"/>
    <d v="2027-01-22T17:30:00"/>
    <d v="2026-05-14T00:00:00"/>
    <s v="487.50 EUR"/>
    <x v="12"/>
  </r>
  <r>
    <s v="Language courses &gt; Brussels"/>
    <s v="BNT - Hungarian - Level 03"/>
    <s v="051731-Lang"/>
    <x v="0"/>
    <s v="Yes"/>
    <n v="1"/>
    <d v="2026-09-21T08:30:00"/>
    <d v="2027-01-22T17:30:00"/>
    <d v="2026-05-19T00:00:00"/>
    <s v="487.50 EUR"/>
    <x v="12"/>
  </r>
  <r>
    <s v="Language courses &gt; Brussels"/>
    <s v="BNT - Hungarian - Level 04"/>
    <s v="051717-Lang"/>
    <x v="0"/>
    <s v="Yes"/>
    <n v="4"/>
    <d v="2026-09-21T08:30:00"/>
    <d v="2027-01-22T17:30:00"/>
    <d v="2026-05-12T00:00:00"/>
    <s v="487.50 EUR"/>
    <x v="12"/>
  </r>
  <r>
    <s v="Language courses &gt; Brussels"/>
    <s v="BNT - Hungarian - Level 05"/>
    <s v="051732-Lang"/>
    <x v="0"/>
    <s v="Yes"/>
    <n v="0"/>
    <d v="2026-09-21T08:30:00"/>
    <d v="2027-01-22T17:30:00"/>
    <s v=" "/>
    <s v="487.50 EUR"/>
    <x v="12"/>
  </r>
  <r>
    <s v="Language courses &gt; Brussels"/>
    <s v="BNT - Hungarian - Level 06"/>
    <s v="051733-Lang"/>
    <x v="0"/>
    <s v="Yes"/>
    <n v="0"/>
    <d v="2026-09-21T08:30:00"/>
    <d v="2027-01-22T17:30:00"/>
    <s v=" "/>
    <s v="487.50 EUR"/>
    <x v="12"/>
  </r>
  <r>
    <s v="Language courses &gt; Brussels"/>
    <s v="BNT - Hungarian - Level 07"/>
    <s v="051734-Lang"/>
    <x v="0"/>
    <s v="Yes"/>
    <n v="0"/>
    <d v="2026-09-21T08:30:00"/>
    <d v="2027-01-22T17:30:00"/>
    <s v=" "/>
    <s v="487.50 EUR"/>
    <x v="12"/>
  </r>
  <r>
    <s v="Language courses &gt; Brussels"/>
    <s v="BNT - Hungarian - Level 08"/>
    <s v="051735-Lang"/>
    <x v="0"/>
    <s v="Yes"/>
    <n v="0"/>
    <d v="2026-09-21T08:30:00"/>
    <d v="2027-01-22T17:30:00"/>
    <s v=" "/>
    <s v="487.50 EUR"/>
    <x v="12"/>
  </r>
  <r>
    <s v="Language courses &gt; Brussels"/>
    <s v="BNT - Irish - Level 01 "/>
    <s v="051703-Lang"/>
    <x v="0"/>
    <s v="Yes"/>
    <n v="2"/>
    <d v="2026-09-21T08:30:00"/>
    <d v="2027-01-22T17:30:00"/>
    <d v="2026-05-17T00:00:00"/>
    <s v="487.50 EUR"/>
    <x v="12"/>
  </r>
  <r>
    <s v="Language courses &gt; Brussels"/>
    <s v="BNT - Irish - Level 02"/>
    <s v="051686-Lang"/>
    <x v="0"/>
    <s v="Yes"/>
    <n v="5"/>
    <d v="2026-09-21T08:30:00"/>
    <d v="2027-01-22T17:30:00"/>
    <d v="2026-05-20T00:00:00"/>
    <s v="487.50 EUR"/>
    <x v="12"/>
  </r>
  <r>
    <s v="Language courses &gt; Brussels"/>
    <s v="BNT - Irish - Level 03"/>
    <s v="051704-Lang"/>
    <x v="0"/>
    <s v="Yes"/>
    <n v="0"/>
    <d v="2026-09-21T08:30:00"/>
    <d v="2027-01-22T17:30:00"/>
    <s v=" "/>
    <s v="487.50 EUR"/>
    <x v="12"/>
  </r>
  <r>
    <s v="Language courses &gt; Brussels"/>
    <s v="BNT - Irish - Level 04"/>
    <s v="051699-Lang"/>
    <x v="0"/>
    <s v="Yes"/>
    <n v="0"/>
    <d v="2026-09-21T08:30:00"/>
    <d v="2027-01-22T17:30:00"/>
    <s v=" "/>
    <s v="487.50 EUR"/>
    <x v="12"/>
  </r>
  <r>
    <s v="Language courses &gt; Brussels"/>
    <s v="BNT - Irish - Level 05"/>
    <s v="051697-Lang"/>
    <x v="0"/>
    <s v="Yes"/>
    <n v="0"/>
    <d v="2026-09-21T08:30:00"/>
    <d v="2027-01-22T17:30:00"/>
    <s v=" "/>
    <s v="487.50 EUR"/>
    <x v="12"/>
  </r>
  <r>
    <s v="Language courses &gt; Brussels"/>
    <s v="BNT - Irish - Level 06"/>
    <s v="051710-Lang"/>
    <x v="0"/>
    <s v="Yes"/>
    <n v="0"/>
    <d v="2026-09-21T08:30:00"/>
    <d v="2027-01-22T17:30:00"/>
    <s v=" "/>
    <s v="487.50 EUR"/>
    <x v="12"/>
  </r>
  <r>
    <s v="Language courses &gt; Brussels"/>
    <s v="BNT - Irish - Level 07"/>
    <s v="051711-Lang"/>
    <x v="0"/>
    <s v="Yes"/>
    <n v="0"/>
    <d v="2026-09-21T08:30:00"/>
    <d v="2027-01-22T17:30:00"/>
    <s v=" "/>
    <s v="487.50 EUR"/>
    <x v="12"/>
  </r>
  <r>
    <s v="Language courses &gt; Brussels"/>
    <s v="BNT - Irish - Level 08"/>
    <s v="051713-Lang"/>
    <x v="0"/>
    <s v="Yes"/>
    <n v="0"/>
    <d v="2026-09-21T08:30:00"/>
    <d v="2027-01-22T17:30:00"/>
    <s v=" "/>
    <s v="487.50 EUR"/>
    <x v="12"/>
  </r>
  <r>
    <s v="Language courses &gt; Brussels"/>
    <s v="BNT - Italian - Level 01 "/>
    <s v="051596-Lang"/>
    <x v="0"/>
    <s v="Yes"/>
    <n v="54"/>
    <d v="2026-09-21T08:30:00"/>
    <d v="2027-01-22T17:30:00"/>
    <d v="2026-05-21T00:00:00"/>
    <s v="487.50 EUR"/>
    <x v="12"/>
  </r>
  <r>
    <s v="Language courses &gt; Brussels"/>
    <s v="BNT - Italian - Level 02"/>
    <s v="051620-Lang"/>
    <x v="0"/>
    <s v="Yes"/>
    <n v="58"/>
    <d v="2026-09-21T08:30:00"/>
    <d v="2027-01-22T17:30:00"/>
    <d v="2026-05-20T00:00:00"/>
    <s v="487.50 EUR"/>
    <x v="12"/>
  </r>
  <r>
    <s v="Language courses &gt; Brussels"/>
    <s v="BNT - Italian - Level 03"/>
    <s v="051621-Lang"/>
    <x v="0"/>
    <s v="Yes"/>
    <n v="52"/>
    <d v="2026-09-21T08:30:00"/>
    <d v="2027-01-22T17:30:00"/>
    <d v="2026-05-21T00:00:00"/>
    <s v="487.50 EUR"/>
    <x v="12"/>
  </r>
  <r>
    <s v="Language courses &gt; Brussels"/>
    <s v="BNT - Italian - Level 04"/>
    <s v="051728-Lang"/>
    <x v="0"/>
    <s v="Yes"/>
    <n v="40"/>
    <d v="2026-09-21T08:30:00"/>
    <d v="2027-01-22T17:30:00"/>
    <d v="2026-05-21T00:00:00"/>
    <s v="487.50 EUR"/>
    <x v="12"/>
  </r>
  <r>
    <s v="Language courses &gt; Brussels"/>
    <s v="BNT - Italian - Level 05"/>
    <s v="051654-Lang"/>
    <x v="0"/>
    <s v="Yes"/>
    <n v="44"/>
    <d v="2026-09-21T08:30:00"/>
    <d v="2027-01-22T17:30:00"/>
    <d v="2026-05-21T00:00:00"/>
    <s v="487.50 EUR"/>
    <x v="12"/>
  </r>
  <r>
    <s v="Language courses &gt; Brussels"/>
    <s v="BNT - Italian - Level 06"/>
    <s v="051625-Lang"/>
    <x v="0"/>
    <s v="Yes"/>
    <n v="52"/>
    <d v="2026-09-21T08:30:00"/>
    <d v="2027-01-22T17:30:00"/>
    <d v="2026-05-21T00:00:00"/>
    <s v="487.50 EUR"/>
    <x v="12"/>
  </r>
  <r>
    <s v="Language courses &gt; Brussels"/>
    <s v="BNT - Italian - Level 07"/>
    <s v="051660-Lang"/>
    <x v="0"/>
    <s v="Yes"/>
    <n v="36"/>
    <d v="2026-09-21T08:30:00"/>
    <d v="2027-01-22T17:30:00"/>
    <d v="2026-05-21T00:00:00"/>
    <s v="487.50 EUR"/>
    <x v="12"/>
  </r>
  <r>
    <s v="Language courses &gt; Brussels"/>
    <s v="BNT - Italian - Level 08"/>
    <s v="051661-Lang"/>
    <x v="0"/>
    <s v="Yes"/>
    <n v="34"/>
    <d v="2026-09-21T08:30:00"/>
    <d v="2027-01-22T17:30:00"/>
    <d v="2026-05-20T00:00:00"/>
    <s v="487.50 EUR"/>
    <x v="12"/>
  </r>
  <r>
    <s v="Language courses &gt; Brussels"/>
    <s v="BNT - Italian – Conversation Table - Level A2"/>
    <s v="051752-Lang"/>
    <x v="0"/>
    <s v="Yes"/>
    <n v="4"/>
    <d v="2026-09-21T12:30:00"/>
    <d v="2027-01-22T13:30:00"/>
    <d v="2026-05-19T00:00:00"/>
    <s v="121.87 EUR"/>
    <x v="12"/>
  </r>
  <r>
    <s v="Language courses &gt; Brussels"/>
    <s v="BNT - Italian – Conversation Table - Level B2"/>
    <s v="051784-Lang"/>
    <x v="0"/>
    <s v="Yes"/>
    <n v="15"/>
    <d v="2026-09-21T12:10:00"/>
    <d v="2027-01-22T13:30:00"/>
    <d v="2026-05-21T00:00:00"/>
    <s v="182.81 EUR"/>
    <x v="12"/>
  </r>
  <r>
    <s v="Language courses &gt; Brussels"/>
    <s v="BNT - Latvian - Level 01 "/>
    <s v="051634-Lang"/>
    <x v="0"/>
    <s v="Yes"/>
    <n v="1"/>
    <d v="2026-09-21T08:30:00"/>
    <d v="2027-01-22T17:30:00"/>
    <d v="2026-05-19T00:00:00"/>
    <s v="487.50 EUR"/>
    <x v="12"/>
  </r>
  <r>
    <s v="Language courses &gt; Brussels"/>
    <s v="BNT - Latvian - Level 02"/>
    <s v="051680-Lang"/>
    <x v="0"/>
    <s v="Yes"/>
    <n v="0"/>
    <d v="2026-09-21T08:30:00"/>
    <d v="2027-01-22T17:30:00"/>
    <s v=" "/>
    <s v="487.50 EUR"/>
    <x v="12"/>
  </r>
  <r>
    <s v="Language courses &gt; Brussels"/>
    <s v="BNT - Latvian - Level 03"/>
    <s v="051700-Lang"/>
    <x v="0"/>
    <s v="Yes"/>
    <n v="0"/>
    <d v="2026-09-21T08:30:00"/>
    <d v="2027-01-22T17:30:00"/>
    <d v="2024-01-25T00:00:00"/>
    <s v="487.50 EUR"/>
    <x v="12"/>
  </r>
  <r>
    <s v="Language courses &gt; Brussels"/>
    <s v="BNT - Latvian - Level 04"/>
    <s v="051419-Lang"/>
    <x v="0"/>
    <s v="Yes"/>
    <n v="0"/>
    <d v="2026-09-21T08:30:00"/>
    <d v="2027-01-22T17:30:00"/>
    <d v="2024-06-28T00:00:00"/>
    <s v="487.50 EUR"/>
    <x v="12"/>
  </r>
  <r>
    <s v="Language courses &gt; Brussels"/>
    <s v="BNT - Latvian - Level 05"/>
    <s v="051683-Lang"/>
    <x v="0"/>
    <s v="Yes"/>
    <n v="0"/>
    <d v="2026-09-21T08:30:00"/>
    <d v="2027-01-22T17:30:00"/>
    <d v="2025-01-28T00:00:00"/>
    <s v="487.50 EUR"/>
    <x v="12"/>
  </r>
  <r>
    <s v="Language courses &gt; Brussels"/>
    <s v="BNT - Latvian - Level 06"/>
    <s v="051694-Lang"/>
    <x v="0"/>
    <s v="Yes"/>
    <n v="0"/>
    <d v="2026-09-21T08:30:00"/>
    <d v="2027-01-22T17:30:00"/>
    <d v="2025-06-25T00:00:00"/>
    <s v="487.50 EUR"/>
    <x v="12"/>
  </r>
  <r>
    <s v="Language courses &gt; Brussels"/>
    <s v="BNT - Latvian - Level 07"/>
    <s v="051696-Lang"/>
    <x v="0"/>
    <s v="Yes"/>
    <n v="0"/>
    <d v="2026-09-21T08:30:00"/>
    <d v="2027-01-22T17:30:00"/>
    <d v="2026-01-26T00:00:00"/>
    <s v="487.50 EUR"/>
    <x v="12"/>
  </r>
  <r>
    <s v="Language courses &gt; Brussels"/>
    <s v="BNT - Latvian - Level 08"/>
    <s v="051721-Lang"/>
    <x v="0"/>
    <s v="Yes"/>
    <n v="0"/>
    <d v="2026-09-21T08:30:00"/>
    <d v="2027-01-22T17:30:00"/>
    <d v="2026-02-13T00:00:00"/>
    <s v="487.50 EUR"/>
    <x v="12"/>
  </r>
  <r>
    <s v="Language courses &gt; Brussels"/>
    <s v="BNT - Lithuanian - Level 01 "/>
    <s v="051519-Lang"/>
    <x v="0"/>
    <s v="Yes"/>
    <n v="2"/>
    <d v="2026-09-21T08:30:00"/>
    <d v="2027-01-22T17:30:00"/>
    <d v="2026-05-12T00:00:00"/>
    <s v="487.50 EUR"/>
    <x v="12"/>
  </r>
  <r>
    <s v="Language courses &gt; Brussels"/>
    <s v="BNT - Lithuanian - Level 02"/>
    <s v="051530-Lang"/>
    <x v="0"/>
    <s v="Yes"/>
    <n v="0"/>
    <d v="2026-09-21T08:30:00"/>
    <d v="2027-01-22T17:30:00"/>
    <s v=" "/>
    <s v="487.50 EUR"/>
    <x v="12"/>
  </r>
  <r>
    <s v="Language courses &gt; Brussels"/>
    <s v="BNT - Lithuanian - Level 03"/>
    <s v="051615-Lang"/>
    <x v="0"/>
    <s v="Yes"/>
    <n v="0"/>
    <d v="2026-09-21T08:30:00"/>
    <d v="2027-01-22T17:30:00"/>
    <s v=" "/>
    <s v="487.50 EUR"/>
    <x v="12"/>
  </r>
  <r>
    <s v="Language courses &gt; Brussels"/>
    <s v="BNT - Lithuanian - Level 04"/>
    <s v="051642-Lang"/>
    <x v="0"/>
    <s v="Yes"/>
    <n v="0"/>
    <d v="2026-09-21T08:30:00"/>
    <d v="2027-01-22T17:30:00"/>
    <s v=" "/>
    <s v="487.50 EUR"/>
    <x v="12"/>
  </r>
  <r>
    <s v="Language courses &gt; Brussels"/>
    <s v="BNT - Lithuanian - Level 05"/>
    <s v="051645-Lang"/>
    <x v="0"/>
    <s v="Yes"/>
    <n v="0"/>
    <d v="2026-09-21T08:30:00"/>
    <d v="2027-01-22T17:30:00"/>
    <d v="2026-01-28T00:00:00"/>
    <s v="487.50 EUR"/>
    <x v="12"/>
  </r>
  <r>
    <s v="Language courses &gt; Brussels"/>
    <s v="BNT - Lithuanian - Level 06"/>
    <s v="051647-Lang"/>
    <x v="0"/>
    <s v="Yes"/>
    <n v="2"/>
    <d v="2026-09-21T08:30:00"/>
    <d v="2027-01-22T17:30:00"/>
    <d v="2026-05-20T00:00:00"/>
    <s v="487.50 EUR"/>
    <x v="12"/>
  </r>
  <r>
    <s v="Language courses &gt; Brussels"/>
    <s v="BNT - Lithuanian - Level 07"/>
    <s v="051651-Lang"/>
    <x v="0"/>
    <s v="Yes"/>
    <n v="0"/>
    <d v="2026-09-21T08:30:00"/>
    <d v="2027-01-22T17:30:00"/>
    <d v="2024-06-28T00:00:00"/>
    <s v="487.50 EUR"/>
    <x v="12"/>
  </r>
  <r>
    <s v="Language courses &gt; Brussels"/>
    <s v="BNT - Lithuanian - Level 08"/>
    <s v="051626-Lang"/>
    <x v="0"/>
    <s v="Yes"/>
    <n v="0"/>
    <d v="2026-09-21T08:30:00"/>
    <d v="2027-01-22T17:30:00"/>
    <d v="2025-01-26T00:00:00"/>
    <s v="487.50 EUR"/>
    <x v="12"/>
  </r>
  <r>
    <s v="Language courses &gt; Brussels"/>
    <s v="BNT - Maltese - Level 01 "/>
    <s v="051457-Lang"/>
    <x v="0"/>
    <s v="Yes"/>
    <n v="2"/>
    <d v="2026-09-21T08:30:00"/>
    <d v="2027-01-22T17:30:00"/>
    <d v="2026-05-12T00:00:00"/>
    <s v="487.50 EUR"/>
    <x v="12"/>
  </r>
  <r>
    <s v="Language courses &gt; Brussels"/>
    <s v="BNT - Maltese - Level 02"/>
    <s v="051479-Lang"/>
    <x v="0"/>
    <s v="Yes"/>
    <n v="2"/>
    <d v="2026-09-21T08:30:00"/>
    <d v="2027-01-22T17:30:00"/>
    <d v="2026-05-21T00:00:00"/>
    <s v="487.50 EUR"/>
    <x v="12"/>
  </r>
  <r>
    <s v="Language courses &gt; Brussels"/>
    <s v="BNT - Maltese - Level 03"/>
    <s v="051459-Lang"/>
    <x v="0"/>
    <s v="Yes"/>
    <n v="0"/>
    <d v="2026-09-21T08:30:00"/>
    <d v="2027-01-22T17:30:00"/>
    <s v=" "/>
    <s v="487.50 EUR"/>
    <x v="12"/>
  </r>
  <r>
    <s v="Language courses &gt; Brussels"/>
    <s v="BNT - Maltese - Level 04"/>
    <s v="051482-Lang"/>
    <x v="0"/>
    <s v="Yes"/>
    <n v="0"/>
    <d v="2026-09-21T08:30:00"/>
    <d v="2027-01-22T17:30:00"/>
    <s v=" "/>
    <s v="487.50 EUR"/>
    <x v="12"/>
  </r>
  <r>
    <s v="Language courses &gt; Brussels"/>
    <s v="BNT - Maltese - Level 05"/>
    <s v="051554-Lang"/>
    <x v="0"/>
    <s v="Yes"/>
    <n v="0"/>
    <d v="2026-09-21T08:30:00"/>
    <d v="2027-01-22T17:30:00"/>
    <s v=" "/>
    <s v="487.50 EUR"/>
    <x v="12"/>
  </r>
  <r>
    <s v="Language courses &gt; Brussels"/>
    <s v="BNT - Maltese - Level 06"/>
    <s v="051580-Lang"/>
    <x v="0"/>
    <s v="Yes"/>
    <n v="0"/>
    <d v="2026-09-21T08:30:00"/>
    <d v="2027-01-22T17:30:00"/>
    <s v=" "/>
    <s v="487.50 EUR"/>
    <x v="12"/>
  </r>
  <r>
    <s v="Language courses &gt; Brussels"/>
    <s v="BNT - Maltese - Level 07"/>
    <s v="051581-Lang"/>
    <x v="0"/>
    <s v="Yes"/>
    <n v="0"/>
    <d v="2026-09-21T08:30:00"/>
    <d v="2027-01-22T17:30:00"/>
    <s v=" "/>
    <s v="487.50 EUR"/>
    <x v="12"/>
  </r>
  <r>
    <s v="Language courses &gt; Brussels"/>
    <s v="BNT - Maltese - Level 08"/>
    <s v="051583-Lang"/>
    <x v="0"/>
    <s v="Yes"/>
    <n v="0"/>
    <d v="2026-09-21T08:30:00"/>
    <d v="2027-01-22T17:30:00"/>
    <s v=" "/>
    <s v="487.50 EUR"/>
    <x v="12"/>
  </r>
  <r>
    <s v="Language courses &gt; Brussels"/>
    <s v="BNT - Polish - Level 01 "/>
    <s v="051584-Lang"/>
    <x v="0"/>
    <s v="Yes"/>
    <n v="7"/>
    <d v="2026-09-21T08:30:00"/>
    <d v="2027-01-22T17:30:00"/>
    <d v="2026-05-19T00:00:00"/>
    <s v="487.50 EUR"/>
    <x v="12"/>
  </r>
  <r>
    <s v="Language courses &gt; Brussels"/>
    <s v="BNT - Polish - Level 02"/>
    <s v="051555-Lang"/>
    <x v="0"/>
    <s v="Yes"/>
    <n v="6"/>
    <d v="2026-09-21T08:30:00"/>
    <d v="2027-01-22T17:30:00"/>
    <d v="2026-05-19T00:00:00"/>
    <s v="487.50 EUR"/>
    <x v="12"/>
  </r>
  <r>
    <s v="Language courses &gt; Brussels"/>
    <s v="BNT - Polish - Level 03"/>
    <s v="051586-Lang"/>
    <x v="0"/>
    <s v="Yes"/>
    <n v="7"/>
    <d v="2026-09-21T08:30:00"/>
    <d v="2027-01-22T17:30:00"/>
    <d v="2026-05-19T00:00:00"/>
    <s v="487.50 EUR"/>
    <x v="12"/>
  </r>
  <r>
    <s v="Language courses &gt; Brussels"/>
    <s v="BNT - Polish - Level 04"/>
    <s v="051587-Lang"/>
    <x v="0"/>
    <s v="Yes"/>
    <n v="10"/>
    <d v="2026-09-21T08:30:00"/>
    <d v="2027-01-22T17:30:00"/>
    <d v="2026-05-21T00:00:00"/>
    <s v="487.50 EUR"/>
    <x v="12"/>
  </r>
  <r>
    <s v="Language courses &gt; Brussels"/>
    <s v="BNT - Polish - Level 05"/>
    <s v="051588-Lang"/>
    <x v="0"/>
    <s v="Yes"/>
    <n v="11"/>
    <d v="2026-09-21T08:30:00"/>
    <d v="2027-01-22T17:30:00"/>
    <d v="2026-05-18T00:00:00"/>
    <s v="487.50 EUR"/>
    <x v="12"/>
  </r>
  <r>
    <s v="Language courses &gt; Brussels"/>
    <s v="BNT - Polish - Level 06"/>
    <s v="051601-Lang"/>
    <x v="0"/>
    <s v="Yes"/>
    <n v="1"/>
    <d v="2026-09-21T08:30:00"/>
    <d v="2027-01-22T17:30:00"/>
    <d v="2026-05-11T00:00:00"/>
    <s v="487.50 EUR"/>
    <x v="12"/>
  </r>
  <r>
    <s v="Language courses &gt; Brussels"/>
    <s v="BNT - Polish - Level 07"/>
    <s v="051589-Lang"/>
    <x v="0"/>
    <s v="Yes"/>
    <n v="0"/>
    <d v="2026-09-21T08:30:00"/>
    <d v="2027-01-22T17:30:00"/>
    <d v="2026-02-10T00:00:00"/>
    <s v="487.50 EUR"/>
    <x v="12"/>
  </r>
  <r>
    <s v="Language courses &gt; Brussels"/>
    <s v="BNT - Polish - Level 08"/>
    <s v="051591-Lang"/>
    <x v="0"/>
    <s v="Yes"/>
    <n v="7"/>
    <d v="2026-09-21T08:30:00"/>
    <d v="2027-01-22T17:30:00"/>
    <d v="2026-05-11T00:00:00"/>
    <s v="487.50 EUR"/>
    <x v="12"/>
  </r>
  <r>
    <s v="Language courses &gt; Brussels"/>
    <s v="BNT - Portuguese - Level 01 "/>
    <s v="051523-Lang"/>
    <x v="0"/>
    <s v="Yes"/>
    <n v="20"/>
    <d v="2026-09-21T08:30:00"/>
    <d v="2027-01-22T17:30:00"/>
    <d v="2026-05-18T00:00:00"/>
    <s v="487.50 EUR"/>
    <x v="12"/>
  </r>
  <r>
    <s v="Language courses &gt; Brussels"/>
    <s v="BNT - Portuguese - Level 02"/>
    <s v="051518-Lang"/>
    <x v="0"/>
    <s v="Yes"/>
    <n v="21"/>
    <d v="2026-09-21T08:30:00"/>
    <d v="2027-01-22T17:30:00"/>
    <d v="2026-05-21T00:00:00"/>
    <s v="487.50 EUR"/>
    <x v="12"/>
  </r>
  <r>
    <s v="Language courses &gt; Brussels"/>
    <s v="BNT - Portuguese - Level 03"/>
    <s v="051543-Lang"/>
    <x v="0"/>
    <s v="Yes"/>
    <n v="20"/>
    <d v="2026-09-21T08:30:00"/>
    <d v="2027-01-22T17:30:00"/>
    <d v="2026-05-21T00:00:00"/>
    <s v="487.50 EUR"/>
    <x v="12"/>
  </r>
  <r>
    <s v="Language courses &gt; Brussels"/>
    <s v="BNT - Portuguese - Level 04"/>
    <s v="051548-Lang"/>
    <x v="0"/>
    <s v="Yes"/>
    <n v="12"/>
    <d v="2026-09-21T08:30:00"/>
    <d v="2027-01-22T17:30:00"/>
    <d v="2026-05-21T00:00:00"/>
    <s v="487.50 EUR"/>
    <x v="12"/>
  </r>
  <r>
    <s v="Language courses &gt; Brussels"/>
    <s v="BNT - Portuguese - Level 05"/>
    <s v="051533-Lang"/>
    <x v="0"/>
    <s v="Yes"/>
    <n v="18"/>
    <d v="2026-09-21T08:30:00"/>
    <d v="2027-01-22T17:30:00"/>
    <d v="2026-05-21T00:00:00"/>
    <s v="487.50 EUR"/>
    <x v="12"/>
  </r>
  <r>
    <s v="Language courses &gt; Brussels"/>
    <s v="BNT - Portuguese - Level 06"/>
    <s v="051536-Lang"/>
    <x v="0"/>
    <s v="Yes"/>
    <n v="12"/>
    <d v="2026-09-21T08:30:00"/>
    <d v="2027-01-22T17:30:00"/>
    <d v="2026-05-21T00:00:00"/>
    <s v="487.50 EUR"/>
    <x v="12"/>
  </r>
  <r>
    <s v="Language courses &gt; Brussels"/>
    <s v="BNT - Portuguese - Level 07"/>
    <s v="051538-Lang"/>
    <x v="0"/>
    <s v="Yes"/>
    <n v="14"/>
    <d v="2026-09-21T08:30:00"/>
    <d v="2027-01-22T17:30:00"/>
    <d v="2026-05-19T00:00:00"/>
    <s v="487.50 EUR"/>
    <x v="12"/>
  </r>
  <r>
    <s v="Language courses &gt; Brussels"/>
    <s v="BNT - Portuguese - Level 08"/>
    <s v="051551-Lang"/>
    <x v="0"/>
    <s v="Yes"/>
    <n v="9"/>
    <d v="2026-09-21T08:30:00"/>
    <d v="2027-01-22T17:30:00"/>
    <d v="2026-05-18T00:00:00"/>
    <s v="487.50 EUR"/>
    <x v="12"/>
  </r>
  <r>
    <s v="Language courses &gt; Brussels"/>
    <s v="BNT - Romanian - Level 01 "/>
    <s v="051556-Lang"/>
    <x v="0"/>
    <s v="Yes"/>
    <n v="4"/>
    <d v="2026-09-21T08:30:00"/>
    <d v="2027-01-22T17:30:00"/>
    <d v="2026-05-21T00:00:00"/>
    <s v="487.50 EUR"/>
    <x v="12"/>
  </r>
  <r>
    <s v="Language courses &gt; Brussels"/>
    <s v="BNT - Romanian - Level 02"/>
    <s v="051557-Lang"/>
    <x v="0"/>
    <s v="Yes"/>
    <n v="7"/>
    <d v="2026-09-21T08:30:00"/>
    <d v="2027-01-22T17:30:00"/>
    <d v="2026-05-20T00:00:00"/>
    <s v="487.50 EUR"/>
    <x v="12"/>
  </r>
  <r>
    <s v="Language courses &gt; Brussels"/>
    <s v="BNT - Romanian - Level 03"/>
    <s v="051558-Lang"/>
    <x v="0"/>
    <s v="Yes"/>
    <n v="3"/>
    <d v="2026-09-21T08:30:00"/>
    <d v="2027-01-22T17:30:00"/>
    <d v="2026-05-11T00:00:00"/>
    <s v="487.50 EUR"/>
    <x v="12"/>
  </r>
  <r>
    <s v="Language courses &gt; Brussels"/>
    <s v="BNT - Romanian - Level 04"/>
    <s v="051600-Lang"/>
    <x v="0"/>
    <s v="Yes"/>
    <n v="1"/>
    <d v="2026-09-21T08:30:00"/>
    <d v="2027-01-22T17:30:00"/>
    <d v="2026-05-19T00:00:00"/>
    <s v="487.50 EUR"/>
    <x v="12"/>
  </r>
  <r>
    <s v="Language courses &gt; Brussels"/>
    <s v="BNT - Romanian - Level 05"/>
    <s v="051590-Lang"/>
    <x v="0"/>
    <s v="Yes"/>
    <n v="0"/>
    <d v="2026-09-21T08:30:00"/>
    <d v="2027-01-22T17:30:00"/>
    <d v="2026-01-21T00:00:00"/>
    <s v="487.50 EUR"/>
    <x v="12"/>
  </r>
  <r>
    <s v="Language courses &gt; Brussels"/>
    <s v="BNT - Romanian - Level 06"/>
    <s v="051603-Lang"/>
    <x v="0"/>
    <s v="Yes"/>
    <n v="0"/>
    <d v="2026-09-21T08:30:00"/>
    <d v="2027-01-22T17:30:00"/>
    <d v="2026-02-09T00:00:00"/>
    <s v="487.50 EUR"/>
    <x v="12"/>
  </r>
  <r>
    <s v="Language courses &gt; Brussels"/>
    <s v="BNT - Romanian - Level 07"/>
    <s v="051592-Lang"/>
    <x v="0"/>
    <s v="Yes"/>
    <n v="5"/>
    <d v="2026-09-21T08:30:00"/>
    <d v="2027-01-22T17:30:00"/>
    <d v="2026-05-20T00:00:00"/>
    <s v="487.50 EUR"/>
    <x v="12"/>
  </r>
  <r>
    <s v="Language courses &gt; Brussels"/>
    <s v="BNT - Romanian - Level 08"/>
    <s v="051604-Lang"/>
    <x v="0"/>
    <s v="Yes"/>
    <n v="0"/>
    <d v="2026-09-21T08:30:00"/>
    <d v="2027-01-22T17:30:00"/>
    <d v="2024-06-27T00:00:00"/>
    <s v="487.50 EUR"/>
    <x v="12"/>
  </r>
  <r>
    <s v="Language courses &gt; Brussels"/>
    <s v="BNT - Russian - Level 01 "/>
    <s v="051649-Lang"/>
    <x v="0"/>
    <s v="Yes"/>
    <n v="10"/>
    <d v="2026-09-21T08:30:00"/>
    <d v="2027-01-22T17:30:00"/>
    <d v="2026-05-21T00:00:00"/>
    <s v="487.50 EUR"/>
    <x v="12"/>
  </r>
  <r>
    <s v="Language courses &gt; Brussels"/>
    <s v="BNT - Russian - Level 02"/>
    <s v="051652-Lang"/>
    <x v="0"/>
    <s v="Yes"/>
    <n v="4"/>
    <d v="2026-09-21T08:30:00"/>
    <d v="2027-01-22T17:30:00"/>
    <d v="2026-05-19T00:00:00"/>
    <s v="487.50 EUR"/>
    <x v="12"/>
  </r>
  <r>
    <s v="Language courses &gt; Brussels"/>
    <s v="BNT - Russian - Level 03"/>
    <s v="051655-Lang"/>
    <x v="0"/>
    <s v="Yes"/>
    <n v="5"/>
    <d v="2026-09-21T08:30:00"/>
    <d v="2027-01-22T17:30:00"/>
    <d v="2026-05-21T00:00:00"/>
    <s v="487.50 EUR"/>
    <x v="12"/>
  </r>
  <r>
    <s v="Language courses &gt; Brussels"/>
    <s v="BNT - Russian - Level 04"/>
    <s v="051692-Lang"/>
    <x v="0"/>
    <s v="Yes"/>
    <n v="8"/>
    <d v="2026-09-21T08:30:00"/>
    <d v="2027-01-22T17:30:00"/>
    <d v="2026-05-19T00:00:00"/>
    <s v="487.50 EUR"/>
    <x v="12"/>
  </r>
  <r>
    <s v="Language courses &gt; Brussels"/>
    <s v="BNT - Russian - Level 05"/>
    <s v="051657-Lang"/>
    <x v="0"/>
    <s v="Yes"/>
    <n v="5"/>
    <d v="2026-09-21T08:30:00"/>
    <d v="2027-01-22T17:30:00"/>
    <d v="2026-05-20T00:00:00"/>
    <s v="487.50 EUR"/>
    <x v="12"/>
  </r>
  <r>
    <s v="Language courses &gt; Brussels"/>
    <s v="BNT - Russian - Level 06"/>
    <s v="051659-Lang"/>
    <x v="0"/>
    <s v="Yes"/>
    <n v="2"/>
    <d v="2026-09-21T08:30:00"/>
    <d v="2027-01-22T17:30:00"/>
    <d v="2026-05-11T00:00:00"/>
    <s v="487.50 EUR"/>
    <x v="12"/>
  </r>
  <r>
    <s v="Language courses &gt; Brussels"/>
    <s v="BNT - Russian - Level 07"/>
    <s v="051628-Lang"/>
    <x v="0"/>
    <s v="Yes"/>
    <n v="4"/>
    <d v="2026-09-21T08:30:00"/>
    <d v="2027-01-22T17:30:00"/>
    <d v="2026-05-13T00:00:00"/>
    <s v="487.50 EUR"/>
    <x v="12"/>
  </r>
  <r>
    <s v="Language courses &gt; Brussels"/>
    <s v="BNT - Russian - Level 08"/>
    <s v="051662-Lang"/>
    <x v="0"/>
    <s v="Yes"/>
    <n v="3"/>
    <d v="2026-09-21T08:30:00"/>
    <d v="2027-01-22T17:30:00"/>
    <d v="2026-05-18T00:00:00"/>
    <s v="487.50 EUR"/>
    <x v="12"/>
  </r>
  <r>
    <s v="Language courses &gt; Brussels"/>
    <s v="BNT - Slovak - Level 01 "/>
    <s v="051610-Lang"/>
    <x v="0"/>
    <s v="Yes"/>
    <n v="1"/>
    <d v="2026-09-21T08:30:00"/>
    <d v="2027-01-22T17:30:00"/>
    <d v="2026-05-13T00:00:00"/>
    <s v="487.50 EUR"/>
    <x v="12"/>
  </r>
  <r>
    <s v="Language courses &gt; Brussels"/>
    <s v="BNT - Slovak - Level 02"/>
    <s v="051612-Lang"/>
    <x v="0"/>
    <s v="Yes"/>
    <n v="4"/>
    <d v="2026-09-21T08:30:00"/>
    <d v="2027-01-22T17:30:00"/>
    <d v="2026-05-20T00:00:00"/>
    <s v="487.50 EUR"/>
    <x v="12"/>
  </r>
  <r>
    <s v="Language courses &gt; Brussels"/>
    <s v="BNT - Slovak - Level 03"/>
    <s v="051616-Lang"/>
    <x v="0"/>
    <s v="Yes"/>
    <n v="2"/>
    <d v="2026-09-21T08:30:00"/>
    <d v="2027-01-22T17:30:00"/>
    <d v="2026-05-20T00:00:00"/>
    <s v="487.50 EUR"/>
    <x v="12"/>
  </r>
  <r>
    <s v="Language courses &gt; Brussels"/>
    <s v="BNT - Slovak - Level 04"/>
    <s v="051619-Lang"/>
    <x v="0"/>
    <s v="Yes"/>
    <n v="3"/>
    <d v="2026-09-21T08:30:00"/>
    <d v="2027-01-22T17:30:00"/>
    <d v="2026-05-21T00:00:00"/>
    <s v="487.50 EUR"/>
    <x v="12"/>
  </r>
  <r>
    <s v="Language courses &gt; Brussels"/>
    <s v="BNT - Slovak - Level 05"/>
    <s v="051640-Lang"/>
    <x v="0"/>
    <s v="Yes"/>
    <n v="0"/>
    <d v="2026-09-21T08:30:00"/>
    <d v="2027-01-22T17:30:00"/>
    <d v="2024-01-24T00:00:00"/>
    <s v="487.50 EUR"/>
    <x v="12"/>
  </r>
  <r>
    <s v="Language courses &gt; Brussels"/>
    <s v="BNT - Slovak - Level 06"/>
    <s v="051623-Lang"/>
    <x v="0"/>
    <s v="Yes"/>
    <n v="0"/>
    <d v="2026-09-21T08:30:00"/>
    <d v="2027-01-22T17:30:00"/>
    <s v=" "/>
    <s v="487.50 EUR"/>
    <x v="12"/>
  </r>
  <r>
    <s v="Language courses &gt; Brussels"/>
    <s v="BNT - Slovak - Level 07"/>
    <s v="051644-Lang"/>
    <x v="0"/>
    <s v="Yes"/>
    <n v="0"/>
    <d v="2026-09-21T08:30:00"/>
    <d v="2027-01-22T17:30:00"/>
    <s v=" "/>
    <s v="487.50 EUR"/>
    <x v="12"/>
  </r>
  <r>
    <s v="Language courses &gt; Brussels"/>
    <s v="BNT - Slovak - Level 08"/>
    <s v="051646-Lang"/>
    <x v="0"/>
    <s v="Yes"/>
    <n v="1"/>
    <d v="2026-09-21T08:30:00"/>
    <d v="2027-01-22T17:30:00"/>
    <d v="2026-05-11T00:00:00"/>
    <s v="487.50 EUR"/>
    <x v="12"/>
  </r>
  <r>
    <s v="Language courses &gt; Brussels"/>
    <s v="BNT - Slovenian - Level 01 "/>
    <s v="051611-Lang"/>
    <x v="0"/>
    <s v="Yes"/>
    <n v="3"/>
    <d v="2026-09-21T08:30:00"/>
    <d v="2027-01-22T17:30:00"/>
    <d v="2026-05-21T00:00:00"/>
    <s v="487.50 EUR"/>
    <x v="12"/>
  </r>
  <r>
    <s v="Language courses &gt; Brussels"/>
    <s v="BNT - Slovenian - Level 02"/>
    <s v="051650-Lang"/>
    <x v="0"/>
    <s v="Yes"/>
    <n v="1"/>
    <d v="2026-09-21T08:30:00"/>
    <d v="2027-01-22T17:30:00"/>
    <d v="2026-05-19T00:00:00"/>
    <s v="487.50 EUR"/>
    <x v="12"/>
  </r>
  <r>
    <s v="Language courses &gt; Brussels"/>
    <s v="BNT - Slovenian - Level 03"/>
    <s v="051653-Lang"/>
    <x v="0"/>
    <s v="Yes"/>
    <n v="0"/>
    <d v="2026-09-21T08:30:00"/>
    <d v="2027-01-22T17:30:00"/>
    <d v="2026-02-09T00:00:00"/>
    <s v="487.50 EUR"/>
    <x v="12"/>
  </r>
  <r>
    <s v="Language courses &gt; Brussels"/>
    <s v="BNT - Slovenian - Level 04"/>
    <s v="051690-Lang"/>
    <x v="0"/>
    <s v="Yes"/>
    <n v="2"/>
    <d v="2026-09-21T08:30:00"/>
    <d v="2027-01-22T17:30:00"/>
    <d v="2026-05-19T00:00:00"/>
    <s v="487.50 EUR"/>
    <x v="12"/>
  </r>
  <r>
    <s v="Language courses &gt; Brussels"/>
    <s v="BNT - Slovenian - Level 05"/>
    <s v="051656-Lang"/>
    <x v="0"/>
    <s v="Yes"/>
    <n v="1"/>
    <d v="2026-09-21T08:30:00"/>
    <d v="2027-01-22T17:30:00"/>
    <d v="2026-05-13T00:00:00"/>
    <s v="487.50 EUR"/>
    <x v="12"/>
  </r>
  <r>
    <s v="Language courses &gt; Brussels"/>
    <s v="BNT - Slovenian - Level 06"/>
    <s v="051627-Lang"/>
    <x v="0"/>
    <s v="Yes"/>
    <n v="0"/>
    <d v="2026-09-21T08:30:00"/>
    <d v="2027-01-22T17:30:00"/>
    <s v=" "/>
    <s v="487.50 EUR"/>
    <x v="12"/>
  </r>
  <r>
    <s v="Language courses &gt; Brussels"/>
    <s v="BNT - Slovenian - Level 07"/>
    <s v="051663-Lang"/>
    <x v="0"/>
    <s v="Yes"/>
    <n v="0"/>
    <d v="2026-09-21T08:30:00"/>
    <d v="2027-01-22T17:30:00"/>
    <s v=" "/>
    <s v="487.50 EUR"/>
    <x v="12"/>
  </r>
  <r>
    <s v="Language courses &gt; Brussels"/>
    <s v="BNT - Slovenian - Level 08"/>
    <s v="051664-Lang"/>
    <x v="0"/>
    <s v="Yes"/>
    <n v="0"/>
    <d v="2026-09-21T08:30:00"/>
    <d v="2027-01-22T17:30:00"/>
    <s v=" "/>
    <s v="487.50 EUR"/>
    <x v="12"/>
  </r>
  <r>
    <s v="Language courses &gt; Brussels"/>
    <s v="BNT - Spanish - Level 01 "/>
    <s v="051467-Lang"/>
    <x v="0"/>
    <s v="Yes"/>
    <n v="81"/>
    <d v="2026-09-21T08:30:00"/>
    <d v="2027-01-22T17:30:00"/>
    <d v="2026-05-21T00:00:00"/>
    <s v="487.50 EUR"/>
    <x v="12"/>
  </r>
  <r>
    <s v="Language courses &gt; Brussels"/>
    <s v="BNT - Spanish - Level 02"/>
    <s v="051471-Lang"/>
    <x v="0"/>
    <s v="Yes"/>
    <n v="70"/>
    <d v="2026-09-21T08:30:00"/>
    <d v="2027-01-22T17:30:00"/>
    <d v="2026-05-20T00:00:00"/>
    <s v="487.50 EUR"/>
    <x v="12"/>
  </r>
  <r>
    <s v="Language courses &gt; Brussels"/>
    <s v="BNT - Spanish - Level 03"/>
    <s v="051474-Lang"/>
    <x v="0"/>
    <s v="Yes"/>
    <n v="76"/>
    <d v="2026-09-21T08:30:00"/>
    <d v="2027-01-22T17:30:00"/>
    <d v="2026-05-21T00:00:00"/>
    <s v="487.50 EUR"/>
    <x v="12"/>
  </r>
  <r>
    <s v="Language courses &gt; Brussels"/>
    <s v="BNT - Spanish - Level 04"/>
    <s v="051452-Lang"/>
    <x v="0"/>
    <s v="Yes"/>
    <n v="77"/>
    <d v="2026-09-21T08:30:00"/>
    <d v="2027-01-22T17:30:00"/>
    <d v="2026-05-21T00:00:00"/>
    <s v="487.50 EUR"/>
    <x v="12"/>
  </r>
  <r>
    <s v="Language courses &gt; Brussels"/>
    <s v="BNT - Spanish - Level 05"/>
    <s v="051453-Lang"/>
    <x v="0"/>
    <s v="Yes"/>
    <n v="69"/>
    <d v="2026-09-21T08:30:00"/>
    <d v="2027-01-22T17:30:00"/>
    <d v="2026-05-20T00:00:00"/>
    <s v="487.50 EUR"/>
    <x v="12"/>
  </r>
  <r>
    <s v="Language courses &gt; Brussels"/>
    <s v="BNT - Spanish - Level 06"/>
    <s v="051476-Lang"/>
    <x v="0"/>
    <s v="Yes"/>
    <n v="59"/>
    <d v="2026-09-21T08:30:00"/>
    <d v="2027-01-22T17:30:00"/>
    <d v="2026-05-21T00:00:00"/>
    <s v="487.50 EUR"/>
    <x v="12"/>
  </r>
  <r>
    <s v="Language courses &gt; Brussels"/>
    <s v="BNT - Spanish - Level 07"/>
    <s v="051477-Lang"/>
    <x v="0"/>
    <s v="Yes"/>
    <n v="52"/>
    <d v="2026-09-21T08:30:00"/>
    <d v="2027-01-22T17:30:00"/>
    <d v="2026-05-20T00:00:00"/>
    <s v="487.50 EUR"/>
    <x v="12"/>
  </r>
  <r>
    <s v="Language courses &gt; Brussels"/>
    <s v="BNT - Spanish - Level 08"/>
    <s v="051456-Lang"/>
    <x v="0"/>
    <s v="Yes"/>
    <n v="53"/>
    <d v="2026-09-21T08:30:00"/>
    <d v="2027-01-22T17:30:00"/>
    <d v="2026-05-21T00:00:00"/>
    <s v="487.50 EUR"/>
    <x v="12"/>
  </r>
  <r>
    <s v="Language courses &gt; Brussels"/>
    <s v="BNT - Spanish – Conversation Table - Level A2"/>
    <s v="051751-Lang"/>
    <x v="0"/>
    <s v="Yes"/>
    <n v="2"/>
    <d v="2026-09-21T12:30:00"/>
    <d v="2027-01-22T13:30:00"/>
    <d v="2026-05-20T00:00:00"/>
    <s v="121.87 EUR"/>
    <x v="12"/>
  </r>
  <r>
    <s v="Language courses &gt; Brussels"/>
    <s v="BNT - Spanish – Conversation Table - Level B2"/>
    <s v="051757-Lang"/>
    <x v="0"/>
    <s v="Yes"/>
    <n v="25"/>
    <d v="2026-09-21T12:10:00"/>
    <d v="2027-01-22T13:30:00"/>
    <d v="2026-05-21T00:00:00"/>
    <s v="182.81 EUR"/>
    <x v="12"/>
  </r>
  <r>
    <s v="Language courses &gt; Brussels"/>
    <s v="BNT - Swedish - Level 01 "/>
    <s v="051486-Lang"/>
    <x v="0"/>
    <s v="Yes"/>
    <n v="6"/>
    <d v="2026-09-21T08:30:00"/>
    <d v="2027-01-22T17:30:00"/>
    <d v="2026-05-19T00:00:00"/>
    <s v="487.50 EUR"/>
    <x v="12"/>
  </r>
  <r>
    <s v="Language courses &gt; Brussels"/>
    <s v="BNT - Swedish - Level 02"/>
    <s v="051582-Lang"/>
    <x v="0"/>
    <s v="Yes"/>
    <n v="4"/>
    <d v="2026-09-21T08:30:00"/>
    <d v="2027-01-22T17:30:00"/>
    <d v="2026-05-11T00:00:00"/>
    <s v="487.50 EUR"/>
    <x v="12"/>
  </r>
  <r>
    <s v="Language courses &gt; Brussels"/>
    <s v="BNT - Swedish - Level 03"/>
    <s v="051585-Lang"/>
    <x v="0"/>
    <s v="Yes"/>
    <n v="11"/>
    <d v="2026-09-21T08:30:00"/>
    <d v="2027-01-22T17:30:00"/>
    <d v="2026-05-20T00:00:00"/>
    <s v="487.50 EUR"/>
    <x v="12"/>
  </r>
  <r>
    <s v="Language courses &gt; Brussels"/>
    <s v="BNT - Swedish - Level 04"/>
    <s v="051593-Lang"/>
    <x v="0"/>
    <s v="Yes"/>
    <n v="3"/>
    <d v="2026-09-21T08:30:00"/>
    <d v="2027-01-22T17:30:00"/>
    <d v="2026-05-16T00:00:00"/>
    <s v="487.50 EUR"/>
    <x v="12"/>
  </r>
  <r>
    <s v="Language courses &gt; Brussels"/>
    <s v="BNT - Swedish - Level 05"/>
    <s v="051607-Lang"/>
    <x v="0"/>
    <s v="Yes"/>
    <n v="9"/>
    <d v="2026-09-21T08:30:00"/>
    <d v="2027-01-22T17:30:00"/>
    <d v="2026-05-20T00:00:00"/>
    <s v="487.50 EUR"/>
    <x v="12"/>
  </r>
  <r>
    <s v="Language courses &gt; Brussels"/>
    <s v="BNT - Swedish - Level 06"/>
    <s v="051594-Lang"/>
    <x v="0"/>
    <s v="Yes"/>
    <n v="2"/>
    <d v="2026-09-21T08:30:00"/>
    <d v="2027-01-22T17:30:00"/>
    <d v="2026-05-18T00:00:00"/>
    <s v="487.50 EUR"/>
    <x v="12"/>
  </r>
  <r>
    <s v="Language courses &gt; Brussels"/>
    <s v="BNT - Swedish - Level 07"/>
    <s v="051595-Lang"/>
    <x v="0"/>
    <s v="Yes"/>
    <n v="0"/>
    <d v="2026-09-21T08:30:00"/>
    <d v="2027-01-22T17:30:00"/>
    <d v="2026-01-24T00:00:00"/>
    <s v="487.50 EUR"/>
    <x v="12"/>
  </r>
  <r>
    <s v="Language courses &gt; Brussels"/>
    <s v="BNT - Swedish - Level 08"/>
    <s v="051609-Lang"/>
    <x v="0"/>
    <s v="Yes"/>
    <n v="0"/>
    <d v="2026-09-21T08:30:00"/>
    <d v="2027-01-22T17:30:00"/>
    <d v="2026-03-26T00:00:00"/>
    <s v="487.50 EUR"/>
    <x v="12"/>
  </r>
  <r>
    <s v="Language courses &gt; Brussels"/>
    <s v="BNT - Turkish - Level 01 "/>
    <s v="051605-Lang"/>
    <x v="0"/>
    <s v="Yes"/>
    <n v="8"/>
    <d v="2026-09-21T08:30:00"/>
    <d v="2027-01-22T17:30:00"/>
    <d v="2026-05-20T00:00:00"/>
    <s v="487.50 EUR"/>
    <x v="12"/>
  </r>
  <r>
    <s v="Language courses &gt; Brussels"/>
    <s v="BNT - Turkish - Level 02"/>
    <s v="051606-Lang"/>
    <x v="0"/>
    <s v="Yes"/>
    <n v="4"/>
    <d v="2026-09-21T08:30:00"/>
    <d v="2027-01-22T17:30:00"/>
    <d v="2026-05-19T00:00:00"/>
    <s v="487.50 EUR"/>
    <x v="12"/>
  </r>
  <r>
    <s v="Language courses &gt; Brussels"/>
    <s v="BNT - Turkish - Level 03"/>
    <s v="051613-Lang"/>
    <x v="0"/>
    <s v="Yes"/>
    <n v="0"/>
    <d v="2026-09-21T08:30:00"/>
    <d v="2027-01-22T17:30:00"/>
    <d v="2026-03-22T00:00:00"/>
    <s v="487.50 EUR"/>
    <x v="12"/>
  </r>
  <r>
    <s v="Language courses &gt; Brussels"/>
    <s v="BNT - Turkish - Level 04"/>
    <s v="051597-Lang"/>
    <x v="0"/>
    <s v="Yes"/>
    <n v="9"/>
    <d v="2026-09-21T08:30:00"/>
    <d v="2027-01-22T17:30:00"/>
    <d v="2026-05-19T00:00:00"/>
    <s v="487.50 EUR"/>
    <x v="12"/>
  </r>
  <r>
    <s v="Language courses &gt; Brussels"/>
    <s v="BNT - Turkish - Level 05"/>
    <s v="051618-Lang"/>
    <x v="0"/>
    <s v="Yes"/>
    <n v="2"/>
    <d v="2026-09-21T08:30:00"/>
    <d v="2027-01-22T17:30:00"/>
    <d v="2026-05-19T00:00:00"/>
    <s v="487.50 EUR"/>
    <x v="12"/>
  </r>
  <r>
    <s v="Language courses &gt; Brussels"/>
    <s v="BNT - Turkish - Level 06"/>
    <s v="051598-Lang"/>
    <x v="0"/>
    <s v="Yes"/>
    <n v="1"/>
    <d v="2026-09-21T08:30:00"/>
    <d v="2027-01-22T17:30:00"/>
    <d v="2026-05-12T00:00:00"/>
    <s v="487.50 EUR"/>
    <x v="12"/>
  </r>
  <r>
    <s v="Language courses &gt; Brussels"/>
    <s v="BNT - Turkish - Level 07"/>
    <s v="051641-Lang"/>
    <x v="0"/>
    <s v="Yes"/>
    <n v="1"/>
    <d v="2026-09-21T08:30:00"/>
    <d v="2027-01-22T17:30:00"/>
    <d v="2026-05-11T00:00:00"/>
    <s v="487.50 EUR"/>
    <x v="12"/>
  </r>
  <r>
    <s v="Language courses &gt; Brussels"/>
    <s v="BNT - Turkish - Level 08"/>
    <s v="051624-Lang"/>
    <x v="0"/>
    <s v="Yes"/>
    <n v="0"/>
    <d v="2026-09-21T08:30:00"/>
    <d v="2027-01-22T17:30:00"/>
    <s v=" "/>
    <s v="487.50 EUR"/>
    <x v="12"/>
  </r>
  <r>
    <s v="Language courses &gt; Brussels"/>
    <s v="BNT - Ukrainian - Level 01 "/>
    <s v="062800-Lang"/>
    <x v="0"/>
    <s v="Yes"/>
    <n v="14"/>
    <d v="2026-09-21T08:30:00"/>
    <d v="2027-01-22T17:30:00"/>
    <d v="2026-05-19T00:00:00"/>
    <s v="487.50 EUR"/>
    <x v="12"/>
  </r>
  <r>
    <s v="Language courses &gt; Brussels"/>
    <s v="BNT - Ukrainian - Level 02"/>
    <s v="062801-Lang"/>
    <x v="0"/>
    <s v="Yes"/>
    <n v="2"/>
    <d v="2026-09-21T08:30:00"/>
    <d v="2027-01-22T17:30:00"/>
    <d v="2026-05-18T00:00:00"/>
    <s v="487.50 EUR"/>
    <x v="12"/>
  </r>
  <r>
    <s v="Language courses &gt; Brussels"/>
    <s v="BNT - Ukrainian - Level 03"/>
    <s v="062802-Lang"/>
    <x v="0"/>
    <s v="Yes"/>
    <n v="3"/>
    <d v="2026-09-21T08:30:00"/>
    <d v="2027-01-22T17:30:00"/>
    <d v="2026-05-12T00:00:00"/>
    <s v="487.50 EUR"/>
    <x v="12"/>
  </r>
  <r>
    <s v="Language courses &gt; Brussels"/>
    <s v="BNT - Ukrainian - Level 04"/>
    <s v="062803-Lang"/>
    <x v="0"/>
    <s v="Yes"/>
    <n v="7"/>
    <d v="2026-09-21T08:30:00"/>
    <d v="2027-01-22T17:30:00"/>
    <d v="2026-05-18T00:00:00"/>
    <s v="487.50 EUR"/>
    <x v="12"/>
  </r>
  <r>
    <s v="Language courses &gt; Brussels"/>
    <s v="BNT - Ukrainian - Level 05"/>
    <s v="062804-Lang"/>
    <x v="0"/>
    <s v="Yes"/>
    <n v="0"/>
    <d v="2026-09-21T08:30:00"/>
    <d v="2027-01-22T17:30:00"/>
    <s v=" "/>
    <s v="487.50 EUR"/>
    <x v="12"/>
  </r>
  <r>
    <s v="Language courses &gt; Brussels"/>
    <s v="BNT - Ukrainian - Level 06"/>
    <s v="062806-Lang"/>
    <x v="0"/>
    <s v="Yes"/>
    <n v="1"/>
    <d v="2026-09-21T08:30:00"/>
    <d v="2027-01-22T17:30:00"/>
    <d v="2026-05-20T00:00:00"/>
    <s v="487.50 EUR"/>
    <x v="12"/>
  </r>
  <r>
    <s v="Language courses &gt; Brussels"/>
    <s v="BNT - Ukrainian - Level 07"/>
    <s v="062807-Lang"/>
    <x v="0"/>
    <s v="Yes"/>
    <n v="1"/>
    <d v="2026-09-21T08:30:00"/>
    <d v="2027-01-22T17:30:00"/>
    <d v="2026-05-11T00:00:00"/>
    <s v="487.50 EUR"/>
    <x v="12"/>
  </r>
  <r>
    <s v="Language courses &gt; Brussels"/>
    <s v="BNT - Ukrainian - Level 08"/>
    <s v="062808-Lang"/>
    <x v="0"/>
    <s v="Yes"/>
    <n v="1"/>
    <d v="2026-09-21T08:30:00"/>
    <d v="2027-01-22T17:30:00"/>
    <d v="2026-05-19T00:00:00"/>
    <s v="487.50 EUR"/>
    <x v="12"/>
  </r>
  <r>
    <s v="Language courses &gt; Brussels"/>
    <s v="ARABIC Placement Test"/>
    <s v="072087-Lang-0005-EN-GB"/>
    <x v="2"/>
    <m/>
    <m/>
    <d v="2025-10-13T08:00:00"/>
    <d v="2026-12-31T23:59:00"/>
    <d v="2026-05-21T00:00:00"/>
    <s v="0.00 EUR"/>
    <x v="12"/>
  </r>
  <r>
    <s v="Language courses &gt; Brussels"/>
    <s v="BULGARIAN Placement Test"/>
    <s v="072087-Lang-0004-EN-GB"/>
    <x v="2"/>
    <m/>
    <m/>
    <d v="2025-10-13T08:00:00"/>
    <d v="2026-12-31T23:59:00"/>
    <d v="2026-04-30T00:00:00"/>
    <s v="0.00 EUR"/>
    <x v="12"/>
  </r>
  <r>
    <s v="Language courses &gt; Brussels"/>
    <s v="CHINESE Placement Test"/>
    <s v="072087-Lang-0008-EN-GB"/>
    <x v="2"/>
    <m/>
    <m/>
    <d v="2025-10-13T08:00:00"/>
    <d v="2026-12-31T23:59:00"/>
    <d v="2026-05-20T00:00:00"/>
    <s v="0.00 EUR"/>
    <x v="12"/>
  </r>
  <r>
    <s v="Language courses &gt; Brussels"/>
    <s v="CROATIAN Placement Test"/>
    <s v="072087-Lang-0020-EN-GB"/>
    <x v="2"/>
    <m/>
    <m/>
    <d v="2025-10-13T08:00:00"/>
    <d v="2026-12-31T23:59:00"/>
    <d v="2026-05-19T00:00:00"/>
    <s v="0.00 EUR"/>
    <x v="12"/>
  </r>
  <r>
    <s v="Language courses &gt; Brussels"/>
    <s v="CZECH Placement Test"/>
    <s v="072087-Lang-0015-EN-GB"/>
    <x v="2"/>
    <m/>
    <m/>
    <d v="2025-10-13T08:00:00"/>
    <d v="2026-12-31T23:59:00"/>
    <d v="2026-05-17T00:00:00"/>
    <s v="0.00 EUR"/>
    <x v="12"/>
  </r>
  <r>
    <s v="Language courses &gt; Brussels"/>
    <s v="DANISH Placement Test"/>
    <s v="072087-Lang-0013-EN-GB"/>
    <x v="2"/>
    <m/>
    <m/>
    <d v="2025-10-13T08:00:00"/>
    <d v="2026-12-31T23:59:00"/>
    <d v="2026-05-21T00:00:00"/>
    <s v="0.00 EUR"/>
    <x v="12"/>
  </r>
  <r>
    <s v="Language courses &gt; Brussels"/>
    <s v="DUTCH Placement Test"/>
    <s v="072087-Lang-0024-EN-GB"/>
    <x v="2"/>
    <m/>
    <m/>
    <d v="2025-10-13T08:00:00"/>
    <d v="2026-12-31T23:59:00"/>
    <d v="2026-05-21T00:00:00"/>
    <s v="0.00 EUR"/>
    <x v="12"/>
  </r>
  <r>
    <s v="Language courses &gt; Brussels"/>
    <s v="ENGLISH Placement test"/>
    <s v="072087-Lang-0003-EN-GB"/>
    <x v="2"/>
    <m/>
    <m/>
    <d v="2025-10-13T08:00:00"/>
    <d v="2026-12-31T23:59:00"/>
    <d v="2026-05-21T00:00:00"/>
    <s v="0.00 EUR"/>
    <x v="12"/>
  </r>
  <r>
    <s v="Language courses &gt; Brussels"/>
    <s v="ESTONIAN Placement Test"/>
    <s v="072087-Lang-0016-EN-GB"/>
    <x v="2"/>
    <m/>
    <m/>
    <d v="2025-10-13T08:00:00"/>
    <d v="2026-12-31T23:59:00"/>
    <m/>
    <s v="0.00 EUR"/>
    <x v="12"/>
  </r>
  <r>
    <s v="Language courses &gt; Brussels"/>
    <s v="FINNISH Placement Test"/>
    <s v="072087-Lang-0017-EN-GB"/>
    <x v="2"/>
    <m/>
    <m/>
    <d v="2025-10-13T08:00:00"/>
    <d v="2026-12-31T23:59:00"/>
    <d v="2026-05-11T00:00:00"/>
    <s v="0.00 EUR"/>
    <x v="12"/>
  </r>
  <r>
    <s v="Language courses &gt; Brussels"/>
    <s v="FRENCH Placement Test"/>
    <s v="072087-Lang-0012-EN-GB"/>
    <x v="2"/>
    <m/>
    <m/>
    <d v="2025-10-13T08:00:00"/>
    <d v="2026-12-31T23:59:00"/>
    <d v="2026-05-21T00:00:00"/>
    <s v="0.00 EUR"/>
    <x v="12"/>
  </r>
  <r>
    <s v="Language courses &gt; Brussels"/>
    <s v="GERMAN Placement test"/>
    <s v="072087-Lang-0002-EN-GB"/>
    <x v="2"/>
    <m/>
    <m/>
    <d v="2025-10-13T08:00:00"/>
    <d v="2026-12-31T23:59:00"/>
    <d v="2026-05-21T00:00:00"/>
    <s v="0.00 EUR"/>
    <x v="12"/>
  </r>
  <r>
    <s v="Language courses &gt; Brussels"/>
    <s v="GREEK Placement Test"/>
    <s v="072087-Lang-0014-EN-GB"/>
    <x v="2"/>
    <m/>
    <m/>
    <d v="2025-10-13T08:00:00"/>
    <d v="2026-12-31T23:59:00"/>
    <d v="2026-05-20T00:00:00"/>
    <s v="0.00 EUR"/>
    <x v="12"/>
  </r>
  <r>
    <s v="Language courses &gt; Brussels"/>
    <s v="HUNGARIAN Placement Test"/>
    <s v="072087-Lang-0021-EN-GB"/>
    <x v="2"/>
    <m/>
    <m/>
    <d v="2025-10-13T08:00:00"/>
    <d v="2026-12-31T23:59:00"/>
    <d v="2026-04-20T00:00:00"/>
    <s v="0.00 EUR"/>
    <x v="12"/>
  </r>
  <r>
    <s v="Language courses &gt; Brussels"/>
    <s v="IRISH Placement Test"/>
    <s v="072087-Lang-0018-EN-GB"/>
    <x v="2"/>
    <m/>
    <m/>
    <d v="2025-10-13T08:00:00"/>
    <d v="2026-12-31T23:59:00"/>
    <d v="2026-05-20T00:00:00"/>
    <s v="0.00 EUR"/>
    <x v="12"/>
  </r>
  <r>
    <s v="Language courses &gt; Brussels"/>
    <s v="ITALIAN Placement Test"/>
    <s v="072087-Lang-0011-EN-GB"/>
    <x v="2"/>
    <m/>
    <m/>
    <d v="2025-10-13T08:00:00"/>
    <d v="2026-12-31T23:59:00"/>
    <d v="2026-05-21T00:00:00"/>
    <s v="0.00 EUR"/>
    <x v="12"/>
  </r>
  <r>
    <s v="Language courses &gt; Brussels"/>
    <s v="LATVIAN Placement Test"/>
    <s v="072087-Lang-0023-EN-GB"/>
    <x v="2"/>
    <m/>
    <m/>
    <d v="2025-10-13T08:00:00"/>
    <d v="2026-12-31T23:59:00"/>
    <d v="2026-03-29T00:00:00"/>
    <s v="0.00 EUR"/>
    <x v="12"/>
  </r>
  <r>
    <s v="Language courses &gt; Brussels"/>
    <s v="LITHUANIAN Placement Test"/>
    <s v="072087-Lang-0022-EN-GB"/>
    <x v="2"/>
    <m/>
    <m/>
    <d v="2025-10-13T08:00:00"/>
    <d v="2026-12-31T23:59:00"/>
    <d v="2025-11-14T00:00:00"/>
    <s v="0.00 EUR"/>
    <x v="12"/>
  </r>
  <r>
    <s v="Language courses &gt; Brussels"/>
    <s v="MALTESE Placement Test"/>
    <s v="072087-Lang-0025-EN-GB"/>
    <x v="2"/>
    <m/>
    <m/>
    <d v="2025-10-13T08:00:00"/>
    <d v="2026-12-31T23:59:00"/>
    <d v="2026-05-13T00:00:00"/>
    <s v="0.00 EUR"/>
    <x v="12"/>
  </r>
  <r>
    <s v="Language courses &gt; Brussels"/>
    <s v="POLISH Placement Test"/>
    <s v="072087-Lang-0026-EN-GB"/>
    <x v="2"/>
    <m/>
    <m/>
    <d v="2025-10-13T08:00:00"/>
    <d v="2026-12-31T23:59:00"/>
    <d v="2026-05-11T00:00:00"/>
    <s v="0.00 EUR"/>
    <x v="12"/>
  </r>
  <r>
    <s v="Language courses &gt; Brussels"/>
    <s v="PORTUGUESE Placement Test"/>
    <s v="072087-Lang-0027-EN-GB"/>
    <x v="2"/>
    <m/>
    <m/>
    <d v="2025-10-13T08:00:00"/>
    <d v="2026-12-31T23:59:00"/>
    <d v="2026-05-21T00:00:00"/>
    <s v="0.00 EUR"/>
    <x v="12"/>
  </r>
  <r>
    <s v="Language courses &gt; Brussels"/>
    <s v="ROMANIAN Placement Test"/>
    <s v="072087-Lang-0028-EN-GB"/>
    <x v="2"/>
    <m/>
    <m/>
    <d v="2025-10-13T08:00:00"/>
    <d v="2026-12-31T23:59:00"/>
    <d v="2026-05-05T00:00:00"/>
    <s v="0.00 EUR"/>
    <x v="12"/>
  </r>
  <r>
    <s v="Language courses &gt; Brussels"/>
    <s v="RUSSIAN Placement Test"/>
    <s v="072087-Lang-0006-EN-GB"/>
    <x v="2"/>
    <m/>
    <m/>
    <d v="2025-10-13T08:00:00"/>
    <d v="2026-12-31T23:59:00"/>
    <d v="2026-05-18T00:00:00"/>
    <s v="0.00 EUR"/>
    <x v="12"/>
  </r>
  <r>
    <s v="Language courses &gt; Brussels"/>
    <s v="SLOVAK Placement Test"/>
    <s v="072087-Lang-0030-EN-GB"/>
    <x v="2"/>
    <m/>
    <m/>
    <d v="2025-10-13T08:00:00"/>
    <d v="2026-12-31T23:59:00"/>
    <d v="2026-05-15T00:00:00"/>
    <s v="0.00 EUR"/>
    <x v="12"/>
  </r>
  <r>
    <s v="Language courses &gt; Brussels"/>
    <s v="SLOVENIAN Placement Test"/>
    <s v="072087-Lang-0029-EN-GB"/>
    <x v="2"/>
    <m/>
    <m/>
    <d v="2025-10-13T08:00:00"/>
    <d v="2026-12-31T23:59:00"/>
    <d v="2026-05-20T00:00:00"/>
    <s v="0.00 EUR"/>
    <x v="12"/>
  </r>
  <r>
    <s v="Language courses &gt; Brussels"/>
    <s v="SPANISH placement test"/>
    <s v="072087-Lang-0001-EN-GB"/>
    <x v="2"/>
    <m/>
    <m/>
    <d v="2025-10-13T08:00:00"/>
    <d v="2026-12-31T23:59:00"/>
    <d v="2026-05-21T00:00:00"/>
    <s v="0.00 EUR"/>
    <x v="12"/>
  </r>
  <r>
    <s v="Language courses &gt; Brussels"/>
    <s v="SWEDISH Placement Test"/>
    <s v="072087-Lang-0031-EN-GB"/>
    <x v="2"/>
    <m/>
    <m/>
    <d v="2025-10-13T08:00:00"/>
    <d v="2026-12-31T23:59:00"/>
    <d v="2026-05-18T00:00:00"/>
    <s v="0.00 EUR"/>
    <x v="12"/>
  </r>
  <r>
    <s v="Language courses &gt; Brussels"/>
    <s v="TURKISH Placement Test"/>
    <s v="072087-Lang-0007-EN-GB"/>
    <x v="2"/>
    <m/>
    <m/>
    <d v="2025-10-13T08:00:00"/>
    <d v="2026-12-31T23:59:00"/>
    <d v="2026-05-19T00:00:00"/>
    <s v="0.00 EUR"/>
    <x v="12"/>
  </r>
  <r>
    <s v="Language courses &gt; Brussels"/>
    <s v="UKRAINIAN Placement Test"/>
    <s v="072087-Lang-0010-EN-GB"/>
    <x v="2"/>
    <m/>
    <m/>
    <d v="2025-10-13T08:00:00"/>
    <d v="2026-12-31T23:59:00"/>
    <d v="2026-05-13T00:00:00"/>
    <s v="0.00 EUR"/>
    <x v="12"/>
  </r>
  <r>
    <s v="Language courses &gt; Luxembourg"/>
    <s v="BNT - Arabic - Level 01 A"/>
    <s v="051517-Lang"/>
    <x v="0"/>
    <s v="Yes"/>
    <n v="32"/>
    <d v="2026-09-21T08:30:00"/>
    <d v="2027-01-22T17:30:00"/>
    <d v="2026-05-20T00:00:00"/>
    <s v="487.50 EUR"/>
    <x v="12"/>
  </r>
  <r>
    <s v="Language courses &gt; Luxembourg"/>
    <s v="BNT - Arabic - Level 01 B"/>
    <s v="051669-Lang"/>
    <x v="0"/>
    <s v="Yes"/>
    <n v="13"/>
    <d v="2026-09-21T08:30:00"/>
    <d v="2027-01-22T17:30:00"/>
    <d v="2026-05-21T00:00:00"/>
    <s v="487.50 EUR"/>
    <x v="12"/>
  </r>
  <r>
    <s v="Language courses &gt; Luxembourg"/>
    <s v="BNT - Arabic - Level 02A"/>
    <s v="051631-Lang"/>
    <x v="0"/>
    <s v="Yes"/>
    <n v="13"/>
    <d v="2026-09-21T08:30:00"/>
    <d v="2027-01-22T17:30:00"/>
    <d v="2026-05-19T00:00:00"/>
    <s v="487.50 EUR"/>
    <x v="12"/>
  </r>
  <r>
    <s v="Language courses &gt; Luxembourg"/>
    <s v="BNT - Arabic - Level 02B"/>
    <s v="051702-Lang"/>
    <x v="0"/>
    <s v="Yes"/>
    <n v="4"/>
    <d v="2026-09-21T08:30:00"/>
    <d v="2027-01-22T17:30:00"/>
    <d v="2026-05-17T00:00:00"/>
    <s v="487.50 EUR"/>
    <x v="12"/>
  </r>
  <r>
    <s v="Language courses &gt; Luxembourg"/>
    <s v="BNT - Arabic - Level 03A"/>
    <s v="051685-Lang"/>
    <x v="0"/>
    <s v="Yes"/>
    <n v="8"/>
    <d v="2026-09-21T08:30:00"/>
    <d v="2027-01-22T17:30:00"/>
    <d v="2026-05-19T00:00:00"/>
    <s v="487.50 EUR"/>
    <x v="12"/>
  </r>
  <r>
    <s v="Language courses &gt; Luxembourg"/>
    <s v="BNT - Arabic - Level 03B"/>
    <s v="051693-Lang"/>
    <x v="0"/>
    <s v="Yes"/>
    <n v="7"/>
    <d v="2026-09-21T08:30:00"/>
    <d v="2027-01-22T17:30:00"/>
    <d v="2026-05-20T00:00:00"/>
    <s v="487.50 EUR"/>
    <x v="12"/>
  </r>
  <r>
    <s v="Language courses &gt; Luxembourg"/>
    <s v="BNT - Arabic - Level 04A"/>
    <s v="051705-Lang"/>
    <x v="0"/>
    <s v="Yes"/>
    <n v="0"/>
    <d v="2026-09-21T08:30:00"/>
    <d v="2027-01-22T17:30:00"/>
    <d v="2026-01-23T00:00:00"/>
    <s v="487.50 EUR"/>
    <x v="12"/>
  </r>
  <r>
    <s v="Language courses &gt; Luxembourg"/>
    <s v="BNT - Arabic - Level 04B"/>
    <s v="051706-Lang"/>
    <x v="0"/>
    <s v="Yes"/>
    <n v="0"/>
    <d v="2026-09-21T08:30:00"/>
    <d v="2027-01-22T17:30:00"/>
    <d v="2026-03-16T00:00:00"/>
    <s v="487.50 EUR"/>
    <x v="12"/>
  </r>
  <r>
    <s v="Language courses &gt; Luxembourg"/>
    <s v="BNT - Arabic - Level 05A"/>
    <s v="051708-Lang"/>
    <x v="0"/>
    <s v="Yes"/>
    <n v="3"/>
    <d v="2026-09-21T08:30:00"/>
    <d v="2027-01-22T17:30:00"/>
    <d v="2026-05-17T00:00:00"/>
    <s v="487.50 EUR"/>
    <x v="12"/>
  </r>
  <r>
    <s v="Language courses &gt; Luxembourg"/>
    <s v="BNT - Arabic - Level 05B"/>
    <s v="051698-Lang"/>
    <x v="0"/>
    <s v="Yes"/>
    <n v="0"/>
    <d v="2026-09-21T08:30:00"/>
    <d v="2027-01-22T17:30:00"/>
    <d v="2026-01-23T00:00:00"/>
    <s v="487.50 EUR"/>
    <x v="12"/>
  </r>
  <r>
    <s v="Language courses &gt; Luxembourg"/>
    <s v="BNT - Arabic - Level 06A"/>
    <s v="051720-Lang"/>
    <x v="0"/>
    <s v="Yes"/>
    <n v="0"/>
    <d v="2026-09-21T08:30:00"/>
    <d v="2027-01-22T17:30:00"/>
    <d v="2026-02-10T00:00:00"/>
    <s v="487.50 EUR"/>
    <x v="12"/>
  </r>
  <r>
    <s v="Language courses &gt; Luxembourg"/>
    <s v="BNT - Arabic - Level 06B"/>
    <s v="051722-Lang"/>
    <x v="0"/>
    <s v="Yes"/>
    <n v="2"/>
    <d v="2026-09-21T08:30:00"/>
    <d v="2027-01-22T17:30:00"/>
    <d v="2026-05-17T00:00:00"/>
    <s v="487.50 EUR"/>
    <x v="12"/>
  </r>
  <r>
    <s v="Language courses &gt; Luxembourg"/>
    <s v="BNT - Arabic - Level 07"/>
    <s v="051724-Lang"/>
    <x v="0"/>
    <s v="Yes"/>
    <n v="0"/>
    <d v="2026-09-21T08:30:00"/>
    <d v="2027-01-22T17:30:00"/>
    <s v=" "/>
    <s v="487.50 EUR"/>
    <x v="12"/>
  </r>
  <r>
    <s v="Language courses &gt; Luxembourg"/>
    <s v="BNT - Arabic - Level 08"/>
    <s v="051712-Lang"/>
    <x v="0"/>
    <s v="Yes"/>
    <n v="0"/>
    <d v="2026-09-21T08:30:00"/>
    <d v="2027-01-22T17:30:00"/>
    <d v="2026-01-22T00:00:00"/>
    <s v="487.50 EUR"/>
    <x v="12"/>
  </r>
  <r>
    <s v="Language courses &gt; Luxembourg"/>
    <s v="BNT - Bulgarian - Level 01 "/>
    <s v="051480-Lang"/>
    <x v="0"/>
    <s v="Yes"/>
    <n v="6"/>
    <d v="2026-09-21T08:30:00"/>
    <d v="2027-01-22T17:30:00"/>
    <d v="2026-05-13T00:00:00"/>
    <s v="487.50 EUR"/>
    <x v="12"/>
  </r>
  <r>
    <s v="Language courses &gt; Luxembourg"/>
    <s v="BNT - Bulgarian - Level 02"/>
    <s v="051500-Lang"/>
    <x v="0"/>
    <s v="Yes"/>
    <n v="0"/>
    <d v="2026-09-21T08:30:00"/>
    <d v="2027-01-22T17:30:00"/>
    <s v=" "/>
    <s v="487.50 EUR"/>
    <x v="12"/>
  </r>
  <r>
    <s v="Language courses &gt; Luxembourg"/>
    <s v="BNT - Bulgarian - Level 03"/>
    <s v="051490-Lang"/>
    <x v="0"/>
    <s v="Yes"/>
    <n v="0"/>
    <d v="2026-09-21T08:30:00"/>
    <d v="2027-01-22T17:30:00"/>
    <s v=" "/>
    <s v="487.50 EUR"/>
    <x v="12"/>
  </r>
  <r>
    <s v="Language courses &gt; Luxembourg"/>
    <s v="BNT - Bulgarian - Level 04"/>
    <s v="051492-Lang"/>
    <x v="0"/>
    <s v="Yes"/>
    <n v="8"/>
    <d v="2026-09-21T08:30:00"/>
    <d v="2027-01-22T17:30:00"/>
    <d v="2026-05-20T00:00:00"/>
    <s v="487.50 EUR"/>
    <x v="12"/>
  </r>
  <r>
    <s v="Language courses &gt; Luxembourg"/>
    <s v="BNT - Bulgarian - Level 05"/>
    <s v="051495-Lang"/>
    <x v="0"/>
    <s v="Yes"/>
    <n v="0"/>
    <d v="2026-09-21T08:30:00"/>
    <d v="2027-01-22T17:30:00"/>
    <d v="2024-06-26T00:00:00"/>
    <s v="487.50 EUR"/>
    <x v="12"/>
  </r>
  <r>
    <s v="Language courses &gt; Luxembourg"/>
    <s v="BNT - Bulgarian - Level 06"/>
    <s v="051508-Lang"/>
    <x v="0"/>
    <s v="Yes"/>
    <n v="0"/>
    <d v="2026-09-21T08:30:00"/>
    <d v="2027-01-22T17:30:00"/>
    <d v="2025-01-22T00:00:00"/>
    <s v="487.50 EUR"/>
    <x v="12"/>
  </r>
  <r>
    <s v="Language courses &gt; Luxembourg"/>
    <s v="BNT - Bulgarian - Level 07"/>
    <s v="051498-Lang"/>
    <x v="0"/>
    <s v="Yes"/>
    <n v="0"/>
    <d v="2026-09-21T08:30:00"/>
    <d v="2027-01-22T17:30:00"/>
    <d v="2025-06-18T00:00:00"/>
    <s v="487.50 EUR"/>
    <x v="12"/>
  </r>
  <r>
    <s v="Language courses &gt; Luxembourg"/>
    <s v="BNT - Bulgarian - Level 08"/>
    <s v="051510-Lang"/>
    <x v="0"/>
    <s v="Yes"/>
    <n v="3"/>
    <d v="2026-09-21T08:30:00"/>
    <d v="2027-01-22T17:30:00"/>
    <d v="2026-05-20T00:00:00"/>
    <s v="487.50 EUR"/>
    <x v="12"/>
  </r>
  <r>
    <s v="Language courses &gt; Luxembourg"/>
    <s v="BNT - Chinese - Level 01 A"/>
    <s v="051740-Lang"/>
    <x v="0"/>
    <s v="Yes"/>
    <n v="14"/>
    <d v="2026-09-21T08:30:00"/>
    <d v="2027-01-22T17:30:00"/>
    <d v="2026-05-21T00:00:00"/>
    <s v="487.50 EUR"/>
    <x v="12"/>
  </r>
  <r>
    <s v="Language courses &gt; Luxembourg"/>
    <s v="BNT - Chinese - Level 01 B"/>
    <s v="051738-Lang"/>
    <x v="0"/>
    <s v="Yes"/>
    <n v="6"/>
    <d v="2026-09-21T08:30:00"/>
    <d v="2027-01-22T17:30:00"/>
    <d v="2026-05-20T00:00:00"/>
    <s v="487.50 EUR"/>
    <x v="12"/>
  </r>
  <r>
    <s v="Language courses &gt; Luxembourg"/>
    <s v="BNT - Chinese - Level 02 A"/>
    <s v="051741-Lang"/>
    <x v="0"/>
    <s v="Yes"/>
    <n v="6"/>
    <d v="2026-09-21T08:30:00"/>
    <d v="2027-01-22T17:30:00"/>
    <d v="2026-05-20T00:00:00"/>
    <s v="487.50 EUR"/>
    <x v="12"/>
  </r>
  <r>
    <s v="Language courses &gt; Luxembourg"/>
    <s v="BNT - Chinese - Level 02 B"/>
    <s v="051739-Lang"/>
    <x v="0"/>
    <s v="Yes"/>
    <n v="3"/>
    <d v="2026-09-21T08:30:00"/>
    <d v="2027-01-22T17:30:00"/>
    <d v="2026-05-19T00:00:00"/>
    <s v="487.50 EUR"/>
    <x v="12"/>
  </r>
  <r>
    <s v="Language courses &gt; Luxembourg"/>
    <s v="BNT - Chinese - Level 03 A"/>
    <s v="051760-Lang"/>
    <x v="0"/>
    <s v="Yes"/>
    <n v="3"/>
    <d v="2026-09-21T08:30:00"/>
    <d v="2027-01-22T17:30:00"/>
    <d v="2026-05-13T00:00:00"/>
    <s v="487.50 EUR"/>
    <x v="12"/>
  </r>
  <r>
    <s v="Language courses &gt; Luxembourg"/>
    <s v="BNT - Chinese - Level 03 B"/>
    <s v="051742-Lang"/>
    <x v="0"/>
    <s v="Yes"/>
    <n v="0"/>
    <d v="2026-09-21T08:30:00"/>
    <d v="2027-01-22T17:30:00"/>
    <d v="2025-01-23T00:00:00"/>
    <s v="487.50 EUR"/>
    <x v="12"/>
  </r>
  <r>
    <s v="Language courses &gt; Luxembourg"/>
    <s v="BNT - Chinese - Level 04 A"/>
    <s v="051761-Lang"/>
    <x v="0"/>
    <s v="Yes"/>
    <n v="2"/>
    <d v="2026-09-21T08:30:00"/>
    <d v="2027-01-22T17:30:00"/>
    <d v="2026-05-13T00:00:00"/>
    <s v="487.50 EUR"/>
    <x v="12"/>
  </r>
  <r>
    <s v="Language courses &gt; Luxembourg"/>
    <s v="BNT - Chinese - Level 04 B"/>
    <s v="051743-Lang"/>
    <x v="0"/>
    <s v="Yes"/>
    <n v="2"/>
    <d v="2026-09-21T08:30:00"/>
    <d v="2027-01-22T17:30:00"/>
    <d v="2026-05-19T00:00:00"/>
    <s v="487.50 EUR"/>
    <x v="12"/>
  </r>
  <r>
    <s v="Language courses &gt; Luxembourg"/>
    <s v="BNT - Chinese - Level 05 A"/>
    <s v="051762-Lang"/>
    <x v="0"/>
    <s v="Yes"/>
    <n v="1"/>
    <d v="2026-09-21T08:30:00"/>
    <d v="2027-01-22T17:30:00"/>
    <d v="2026-05-12T00:00:00"/>
    <s v="487.50 EUR"/>
    <x v="12"/>
  </r>
  <r>
    <s v="Language courses &gt; Luxembourg"/>
    <s v="BNT - Chinese - Level 05 B"/>
    <s v="051764-Lang"/>
    <x v="0"/>
    <s v="Yes"/>
    <n v="3"/>
    <d v="2026-09-21T08:30:00"/>
    <d v="2027-01-22T17:30:00"/>
    <d v="2026-05-17T00:00:00"/>
    <s v="487.50 EUR"/>
    <x v="12"/>
  </r>
  <r>
    <s v="Language courses &gt; Luxembourg"/>
    <s v="BNT - Chinese - Level 06 A"/>
    <s v="051744-Lang"/>
    <x v="0"/>
    <s v="Yes"/>
    <n v="1"/>
    <d v="2026-09-21T08:30:00"/>
    <d v="2027-01-22T17:30:00"/>
    <d v="2026-05-12T00:00:00"/>
    <s v="487.50 EUR"/>
    <x v="12"/>
  </r>
  <r>
    <s v="Language courses &gt; Luxembourg"/>
    <s v="BNT - Chinese - Level 06 B"/>
    <s v="051765-Lang"/>
    <x v="0"/>
    <s v="Yes"/>
    <n v="0"/>
    <d v="2026-09-21T08:30:00"/>
    <d v="2027-01-22T17:30:00"/>
    <d v="2024-06-27T00:00:00"/>
    <s v="487.50 EUR"/>
    <x v="12"/>
  </r>
  <r>
    <s v="Language courses &gt; Luxembourg"/>
    <s v="BNT - Chinese - Level 07"/>
    <s v="051766-Lang"/>
    <x v="0"/>
    <s v="Yes"/>
    <n v="0"/>
    <d v="2026-09-21T08:30:00"/>
    <d v="2027-01-22T17:30:00"/>
    <d v="2025-01-27T00:00:00"/>
    <s v="487.50 EUR"/>
    <x v="12"/>
  </r>
  <r>
    <s v="Language courses &gt; Luxembourg"/>
    <s v="BNT - Chinese - Level 08"/>
    <s v="051745-Lang"/>
    <x v="0"/>
    <s v="Yes"/>
    <n v="0"/>
    <d v="2026-09-21T08:30:00"/>
    <d v="2027-01-22T17:30:00"/>
    <d v="2025-06-20T00:00:00"/>
    <s v="487.50 EUR"/>
    <x v="12"/>
  </r>
  <r>
    <s v="Language courses &gt; Luxembourg"/>
    <s v="BNT - Croatian - Level 01 "/>
    <s v="051524-Lang"/>
    <x v="0"/>
    <s v="Yes"/>
    <n v="2"/>
    <d v="2026-09-21T08:30:00"/>
    <d v="2027-01-22T17:30:00"/>
    <d v="2026-05-11T00:00:00"/>
    <s v="487.50 EUR"/>
    <x v="12"/>
  </r>
  <r>
    <s v="Language courses &gt; Luxembourg"/>
    <s v="BNT - Croatian - Level 02"/>
    <s v="051525-Lang"/>
    <x v="0"/>
    <s v="Yes"/>
    <n v="8"/>
    <d v="2026-09-21T08:30:00"/>
    <d v="2027-01-22T17:30:00"/>
    <d v="2026-05-19T00:00:00"/>
    <s v="487.50 EUR"/>
    <x v="12"/>
  </r>
  <r>
    <s v="Language courses &gt; Luxembourg"/>
    <s v="BNT - Croatian - Level 03"/>
    <s v="051528-Lang"/>
    <x v="0"/>
    <s v="Yes"/>
    <n v="5"/>
    <d v="2026-09-21T08:30:00"/>
    <d v="2027-01-22T17:30:00"/>
    <d v="2026-05-19T00:00:00"/>
    <s v="487.50 EUR"/>
    <x v="12"/>
  </r>
  <r>
    <s v="Language courses &gt; Luxembourg"/>
    <s v="BNT - Croatian - Level 04"/>
    <s v="051541-Lang"/>
    <x v="0"/>
    <s v="Yes"/>
    <n v="0"/>
    <d v="2026-09-21T08:30:00"/>
    <d v="2027-01-22T17:30:00"/>
    <d v="2026-04-20T00:00:00"/>
    <s v="487.50 EUR"/>
    <x v="12"/>
  </r>
  <r>
    <s v="Language courses &gt; Luxembourg"/>
    <s v="BNT - Croatian - Level 05"/>
    <s v="051542-Lang"/>
    <x v="0"/>
    <s v="Yes"/>
    <n v="8"/>
    <d v="2026-09-21T08:30:00"/>
    <d v="2027-01-22T17:30:00"/>
    <d v="2026-05-20T00:00:00"/>
    <s v="487.50 EUR"/>
    <x v="12"/>
  </r>
  <r>
    <s v="Language courses &gt; Luxembourg"/>
    <s v="BNT - Croatian - Level 06"/>
    <s v="051544-Lang"/>
    <x v="0"/>
    <s v="Yes"/>
    <n v="1"/>
    <d v="2026-09-21T08:30:00"/>
    <d v="2027-01-22T17:30:00"/>
    <d v="2026-05-11T00:00:00"/>
    <s v="487.50 EUR"/>
    <x v="12"/>
  </r>
  <r>
    <s v="Language courses &gt; Luxembourg"/>
    <s v="BNT - Croatian - Level 07"/>
    <s v="051546-Lang"/>
    <x v="0"/>
    <s v="Yes"/>
    <n v="4"/>
    <d v="2026-09-21T08:30:00"/>
    <d v="2027-01-22T17:30:00"/>
    <d v="2026-05-15T00:00:00"/>
    <s v="487.50 EUR"/>
    <x v="12"/>
  </r>
  <r>
    <s v="Language courses &gt; Luxembourg"/>
    <s v="BNT - Croatian - Level 08"/>
    <s v="051531-Lang"/>
    <x v="0"/>
    <s v="Yes"/>
    <n v="1"/>
    <d v="2026-09-21T08:30:00"/>
    <d v="2027-01-22T17:30:00"/>
    <d v="2026-05-11T00:00:00"/>
    <s v="487.50 EUR"/>
    <x v="12"/>
  </r>
  <r>
    <s v="Language courses &gt; Luxembourg"/>
    <s v="BNT - Czech - Level 01 "/>
    <s v="051725-Lang"/>
    <x v="0"/>
    <s v="Yes"/>
    <n v="1"/>
    <d v="2026-09-21T08:30:00"/>
    <d v="2027-01-22T17:30:00"/>
    <d v="2026-05-11T00:00:00"/>
    <s v="487.50 EUR"/>
    <x v="12"/>
  </r>
  <r>
    <s v="Language courses &gt; Luxembourg"/>
    <s v="BNT - Czech - Level 02"/>
    <s v="051726-Lang"/>
    <x v="0"/>
    <s v="Yes"/>
    <n v="0"/>
    <d v="2026-09-21T08:30:00"/>
    <d v="2027-01-22T17:30:00"/>
    <d v="2026-01-22T00:00:00"/>
    <s v="487.50 EUR"/>
    <x v="12"/>
  </r>
  <r>
    <s v="Language courses &gt; Luxembourg"/>
    <s v="BNT - Czech - Level 03"/>
    <s v="051727-Lang"/>
    <x v="0"/>
    <s v="Yes"/>
    <n v="0"/>
    <d v="2026-09-21T08:30:00"/>
    <d v="2027-01-22T17:30:00"/>
    <d v="2026-02-18T00:00:00"/>
    <s v="487.50 EUR"/>
    <x v="12"/>
  </r>
  <r>
    <s v="Language courses &gt; Luxembourg"/>
    <s v="BNT - Czech - Level 04"/>
    <s v="051715-Lang"/>
    <x v="0"/>
    <s v="Yes"/>
    <n v="6"/>
    <d v="2026-09-21T08:30:00"/>
    <d v="2027-01-22T17:30:00"/>
    <d v="2026-05-18T00:00:00"/>
    <s v="487.50 EUR"/>
    <x v="12"/>
  </r>
  <r>
    <s v="Language courses &gt; Luxembourg"/>
    <s v="BNT - Czech - Level 05"/>
    <s v="051718-Lang"/>
    <x v="0"/>
    <s v="Yes"/>
    <n v="1"/>
    <d v="2026-09-21T08:30:00"/>
    <d v="2027-01-22T17:30:00"/>
    <d v="2026-05-20T00:00:00"/>
    <s v="487.50 EUR"/>
    <x v="12"/>
  </r>
  <r>
    <s v="Language courses &gt; Luxembourg"/>
    <s v="BNT - Czech - Level 06"/>
    <s v="051736-Lang"/>
    <x v="0"/>
    <s v="Yes"/>
    <n v="0"/>
    <d v="2026-09-21T08:30:00"/>
    <d v="2027-01-22T17:30:00"/>
    <s v=" "/>
    <s v="487.50 EUR"/>
    <x v="12"/>
  </r>
  <r>
    <s v="Language courses &gt; Luxembourg"/>
    <s v="BNT - Czech - Level 07"/>
    <s v="051719-Lang"/>
    <x v="0"/>
    <s v="Yes"/>
    <n v="0"/>
    <d v="2026-09-21T08:30:00"/>
    <d v="2027-01-22T17:30:00"/>
    <s v=" "/>
    <s v="487.50 EUR"/>
    <x v="12"/>
  </r>
  <r>
    <s v="Language courses &gt; Luxembourg"/>
    <s v="BNT - Czech - Level 08"/>
    <s v="051737-Lang"/>
    <x v="0"/>
    <s v="Yes"/>
    <n v="0"/>
    <d v="2026-09-21T08:30:00"/>
    <d v="2027-01-22T17:30:00"/>
    <s v=" "/>
    <s v="487.50 EUR"/>
    <x v="12"/>
  </r>
  <r>
    <s v="Language courses &gt; Luxembourg"/>
    <s v="BNT - Danish - Level 01 "/>
    <s v="051455-Lang"/>
    <x v="0"/>
    <s v="Yes"/>
    <n v="4"/>
    <d v="2026-09-21T08:30:00"/>
    <d v="2027-01-22T17:30:00"/>
    <d v="2026-05-20T00:00:00"/>
    <s v="487.50 EUR"/>
    <x v="12"/>
  </r>
  <r>
    <s v="Language courses &gt; Luxembourg"/>
    <s v="BNT - Danish - Level 02"/>
    <s v="051478-Lang"/>
    <x v="0"/>
    <s v="Yes"/>
    <n v="3"/>
    <d v="2026-09-21T08:30:00"/>
    <d v="2027-01-22T17:30:00"/>
    <d v="2026-05-21T00:00:00"/>
    <s v="487.50 EUR"/>
    <x v="12"/>
  </r>
  <r>
    <s v="Language courses &gt; Luxembourg"/>
    <s v="BNT - Danish - Level 03"/>
    <s v="051483-Lang"/>
    <x v="0"/>
    <s v="Yes"/>
    <n v="0"/>
    <d v="2026-09-21T08:30:00"/>
    <d v="2027-01-22T17:30:00"/>
    <s v=" "/>
    <s v="487.50 EUR"/>
    <x v="12"/>
  </r>
  <r>
    <s v="Language courses &gt; Luxembourg"/>
    <s v="BNT - Danish - Level 04"/>
    <s v="051491-Lang"/>
    <x v="0"/>
    <s v="Yes"/>
    <n v="0"/>
    <d v="2026-09-21T08:30:00"/>
    <d v="2027-01-22T17:30:00"/>
    <d v="2024-01-30T00:00:00"/>
    <s v="487.50 EUR"/>
    <x v="12"/>
  </r>
  <r>
    <s v="Language courses &gt; Luxembourg"/>
    <s v="BNT - Danish - Level 05"/>
    <s v="051540-Lang"/>
    <x v="0"/>
    <s v="Yes"/>
    <n v="1"/>
    <d v="2026-09-21T08:30:00"/>
    <d v="2027-01-22T17:30:00"/>
    <d v="2026-05-19T00:00:00"/>
    <s v="487.50 EUR"/>
    <x v="12"/>
  </r>
  <r>
    <s v="Language courses &gt; Luxembourg"/>
    <s v="BNT - Danish - Level 06"/>
    <s v="051529-Lang"/>
    <x v="0"/>
    <s v="Yes"/>
    <n v="0"/>
    <d v="2026-09-21T08:30:00"/>
    <d v="2027-01-22T17:30:00"/>
    <d v="2025-01-27T00:00:00"/>
    <s v="487.50 EUR"/>
    <x v="12"/>
  </r>
  <r>
    <s v="Language courses &gt; Luxembourg"/>
    <s v="BNT - Danish - Level 07"/>
    <s v="051532-Lang"/>
    <x v="0"/>
    <s v="Yes"/>
    <n v="1"/>
    <d v="2026-09-21T08:30:00"/>
    <d v="2027-01-22T17:30:00"/>
    <d v="2026-05-11T00:00:00"/>
    <s v="487.50 EUR"/>
    <x v="12"/>
  </r>
  <r>
    <s v="Language courses &gt; Luxembourg"/>
    <s v="BNT - Danish - Level 08"/>
    <s v="051549-Lang"/>
    <x v="0"/>
    <s v="Yes"/>
    <n v="0"/>
    <d v="2026-09-21T08:30:00"/>
    <d v="2027-01-22T17:30:00"/>
    <d v="2026-01-20T00:00:00"/>
    <s v="487.50 EUR"/>
    <x v="12"/>
  </r>
  <r>
    <s v="Language courses &gt; Luxembourg"/>
    <s v="BNT - Dutch - Level 01 "/>
    <s v="051454-Lang"/>
    <x v="0"/>
    <s v="Yes"/>
    <n v="101"/>
    <d v="2026-09-21T08:30:00"/>
    <d v="2027-01-22T17:30:00"/>
    <d v="2026-05-21T00:00:00"/>
    <s v="487.50 EUR"/>
    <x v="12"/>
  </r>
  <r>
    <s v="Language courses &gt; Luxembourg"/>
    <s v="BNT - Dutch - Level 02"/>
    <s v="051487-Lang"/>
    <x v="0"/>
    <s v="Yes"/>
    <n v="51"/>
    <d v="2026-09-21T08:30:00"/>
    <d v="2027-01-22T17:30:00"/>
    <d v="2026-05-20T00:00:00"/>
    <s v="487.50 EUR"/>
    <x v="12"/>
  </r>
  <r>
    <s v="Language courses &gt; Luxembourg"/>
    <s v="BNT - Dutch - Level 03"/>
    <s v="051502-Lang"/>
    <x v="0"/>
    <s v="Yes"/>
    <n v="60"/>
    <d v="2026-09-21T08:30:00"/>
    <d v="2027-01-22T17:30:00"/>
    <d v="2026-05-21T00:00:00"/>
    <s v="487.50 EUR"/>
    <x v="12"/>
  </r>
  <r>
    <s v="Language courses &gt; Luxembourg"/>
    <s v="BNT - Dutch - Level 04"/>
    <s v="051503-Lang"/>
    <x v="0"/>
    <s v="Yes"/>
    <n v="52"/>
    <d v="2026-09-21T08:30:00"/>
    <d v="2027-01-22T17:30:00"/>
    <d v="2026-05-21T00:00:00"/>
    <s v="487.50 EUR"/>
    <x v="12"/>
  </r>
  <r>
    <s v="Language courses &gt; Luxembourg"/>
    <s v="BNT - Dutch - Level 05"/>
    <s v="051493-Lang"/>
    <x v="0"/>
    <s v="Yes"/>
    <n v="52"/>
    <d v="2026-09-21T08:30:00"/>
    <d v="2027-01-22T17:30:00"/>
    <d v="2026-05-21T00:00:00"/>
    <s v="487.50 EUR"/>
    <x v="12"/>
  </r>
  <r>
    <s v="Language courses &gt; Luxembourg"/>
    <s v="BNT - Dutch - Level 06"/>
    <s v="051505-Lang"/>
    <x v="0"/>
    <s v="Yes"/>
    <n v="43"/>
    <d v="2026-09-21T08:30:00"/>
    <d v="2027-01-22T17:30:00"/>
    <d v="2026-05-20T00:00:00"/>
    <s v="487.50 EUR"/>
    <x v="12"/>
  </r>
  <r>
    <s v="Language courses &gt; Luxembourg"/>
    <s v="BNT - Dutch - Level 07"/>
    <s v="051496-Lang"/>
    <x v="0"/>
    <s v="Yes"/>
    <n v="33"/>
    <d v="2026-09-21T08:30:00"/>
    <d v="2027-01-22T17:30:00"/>
    <d v="2026-05-20T00:00:00"/>
    <s v="487.50 EUR"/>
    <x v="12"/>
  </r>
  <r>
    <s v="Language courses &gt; Luxembourg"/>
    <s v="BNT - Dutch - Level 08"/>
    <s v="051521-Lang"/>
    <x v="0"/>
    <s v="Yes"/>
    <n v="37"/>
    <d v="2026-09-21T08:30:00"/>
    <d v="2027-01-22T17:30:00"/>
    <d v="2026-05-20T00:00:00"/>
    <s v="487.50 EUR"/>
    <x v="12"/>
  </r>
  <r>
    <s v="Language courses &gt; Luxembourg"/>
    <s v="BNT - Dutch – Conversation Table - Level A2"/>
    <s v="051754-Lang"/>
    <x v="0"/>
    <s v="Yes"/>
    <n v="4"/>
    <d v="2026-09-21T12:30:00"/>
    <d v="2027-01-22T13:30:00"/>
    <d v="2026-05-11T00:00:00"/>
    <s v="121.87 EUR"/>
    <x v="12"/>
  </r>
  <r>
    <s v="Language courses &gt; Luxembourg"/>
    <s v="BNT - Dutch – Conversation Table - Level B2"/>
    <s v="051756-Lang"/>
    <x v="0"/>
    <s v="Yes"/>
    <n v="12"/>
    <d v="2026-09-21T12:10:00"/>
    <d v="2027-01-22T13:30:00"/>
    <d v="2026-05-19T00:00:00"/>
    <s v="182.81 EUR"/>
    <x v="12"/>
  </r>
  <r>
    <s v="Language courses &gt; Luxembourg"/>
    <s v="BNT - English - Level 01 "/>
    <s v="051458-Lang"/>
    <x v="0"/>
    <s v="Yes"/>
    <n v="5"/>
    <d v="2026-09-21T08:30:00"/>
    <d v="2027-01-22T17:30:00"/>
    <d v="2026-05-20T00:00:00"/>
    <s v="487.50 EUR"/>
    <x v="12"/>
  </r>
  <r>
    <s v="Language courses &gt; Luxembourg"/>
    <s v="BNT - English - Level 02"/>
    <s v="051481-Lang"/>
    <x v="0"/>
    <s v="Yes"/>
    <n v="10"/>
    <d v="2026-09-21T08:30:00"/>
    <d v="2027-01-22T17:30:00"/>
    <d v="2026-05-19T00:00:00"/>
    <s v="487.50 EUR"/>
    <x v="12"/>
  </r>
  <r>
    <s v="Language courses &gt; Luxembourg"/>
    <s v="BNT - English - Level 03"/>
    <s v="051485-Lang"/>
    <x v="0"/>
    <s v="Yes"/>
    <n v="12"/>
    <d v="2026-09-21T08:30:00"/>
    <d v="2027-01-22T17:30:00"/>
    <d v="2026-05-21T00:00:00"/>
    <s v="487.50 EUR"/>
    <x v="12"/>
  </r>
  <r>
    <s v="Language courses &gt; Luxembourg"/>
    <s v="BNT - English - Level 04"/>
    <s v="051501-Lang"/>
    <x v="0"/>
    <s v="Yes"/>
    <n v="17"/>
    <d v="2026-09-21T08:30:00"/>
    <d v="2027-01-22T17:30:00"/>
    <d v="2026-05-21T00:00:00"/>
    <s v="487.50 EUR"/>
    <x v="12"/>
  </r>
  <r>
    <s v="Language courses &gt; Luxembourg"/>
    <s v="BNT - English - Level 05"/>
    <s v="051488-Lang"/>
    <x v="0"/>
    <s v="Yes"/>
    <n v="23"/>
    <d v="2026-09-21T08:30:00"/>
    <d v="2027-01-22T17:30:00"/>
    <d v="2026-05-21T00:00:00"/>
    <s v="487.50 EUR"/>
    <x v="12"/>
  </r>
  <r>
    <s v="Language courses &gt; Luxembourg"/>
    <s v="BNT - English - Level 06"/>
    <s v="051489-Lang"/>
    <x v="0"/>
    <s v="Yes"/>
    <n v="22"/>
    <d v="2026-09-21T08:30:00"/>
    <d v="2027-01-22T17:30:00"/>
    <d v="2026-05-21T00:00:00"/>
    <s v="487.50 EUR"/>
    <x v="12"/>
  </r>
  <r>
    <s v="Language courses &gt; Luxembourg"/>
    <s v="BNT - English - Level 07"/>
    <s v="051504-Lang"/>
    <x v="0"/>
    <s v="Yes"/>
    <n v="32"/>
    <d v="2026-09-21T08:30:00"/>
    <d v="2027-01-22T17:30:00"/>
    <d v="2026-05-21T00:00:00"/>
    <s v="487.50 EUR"/>
    <x v="12"/>
  </r>
  <r>
    <s v="Language courses &gt; Luxembourg"/>
    <s v="BNT - English - Level 08"/>
    <s v="051506-Lang"/>
    <x v="0"/>
    <s v="Yes"/>
    <n v="23"/>
    <d v="2026-09-21T08:30:00"/>
    <d v="2027-01-22T17:30:00"/>
    <d v="2026-05-21T00:00:00"/>
    <s v="487.50 EUR"/>
    <x v="12"/>
  </r>
  <r>
    <s v="Language courses &gt; Luxembourg"/>
    <s v="BNT - English - Level 09"/>
    <s v="051497-Lang"/>
    <x v="0"/>
    <s v="Yes"/>
    <n v="25"/>
    <d v="2026-09-21T08:30:00"/>
    <d v="2027-01-22T17:30:00"/>
    <d v="2026-05-21T00:00:00"/>
    <s v="487.50 EUR"/>
    <x v="12"/>
  </r>
  <r>
    <s v="Language courses &gt; Luxembourg"/>
    <s v="BNT - English - Level 10"/>
    <s v="051520-Lang"/>
    <x v="0"/>
    <s v="Yes"/>
    <n v="27"/>
    <d v="2026-09-21T08:30:00"/>
    <d v="2027-01-22T17:30:00"/>
    <d v="2026-05-21T00:00:00"/>
    <s v="487.50 EUR"/>
    <x v="12"/>
  </r>
  <r>
    <s v="Language courses &gt; Luxembourg"/>
    <s v="BNT - English - Level 11"/>
    <s v="051512-Lang"/>
    <x v="0"/>
    <s v="Yes"/>
    <n v="22"/>
    <d v="2026-09-21T08:30:00"/>
    <d v="2027-01-22T17:30:00"/>
    <d v="2026-05-21T00:00:00"/>
    <s v="487.50 EUR"/>
    <x v="12"/>
  </r>
  <r>
    <s v="Language courses &gt; Luxembourg"/>
    <s v="BNT - English - Level 12"/>
    <s v="051522-Lang"/>
    <x v="0"/>
    <s v="Yes"/>
    <n v="9"/>
    <d v="2026-09-21T08:30:00"/>
    <d v="2027-01-22T17:30:00"/>
    <d v="2026-05-21T00:00:00"/>
    <s v="487.50 EUR"/>
    <x v="12"/>
  </r>
  <r>
    <s v="Language courses &gt; Luxembourg"/>
    <s v="BNT - English – Conversation Table - Level A2"/>
    <s v="051777-Lang"/>
    <x v="0"/>
    <s v="Yes"/>
    <n v="4"/>
    <d v="2026-09-21T12:30:00"/>
    <d v="2027-01-22T13:30:00"/>
    <d v="2026-05-14T00:00:00"/>
    <s v="121.87 EUR"/>
    <x v="12"/>
  </r>
  <r>
    <s v="Language courses &gt; Luxembourg"/>
    <s v="BNT - English – Conversation Table - Level B2"/>
    <s v="051779-Lang"/>
    <x v="0"/>
    <s v="Yes"/>
    <n v="14"/>
    <d v="2026-09-21T12:10:00"/>
    <d v="2027-01-22T13:30:00"/>
    <d v="2026-05-20T00:00:00"/>
    <s v="182.81 EUR"/>
    <x v="12"/>
  </r>
  <r>
    <s v="Language courses &gt; Luxembourg"/>
    <s v="BNT - Estonian - Level 01 "/>
    <s v="051537-Lang"/>
    <x v="0"/>
    <s v="Yes"/>
    <n v="0"/>
    <d v="2026-09-21T08:30:00"/>
    <d v="2027-01-22T17:30:00"/>
    <d v="2025-07-01T00:00:00"/>
    <s v="487.50 EUR"/>
    <x v="12"/>
  </r>
  <r>
    <s v="Language courses &gt; Luxembourg"/>
    <s v="BNT - Estonian - Level 02"/>
    <s v="051672-Lang"/>
    <x v="0"/>
    <s v="Yes"/>
    <n v="1"/>
    <d v="2026-09-21T08:30:00"/>
    <d v="2027-01-22T17:30:00"/>
    <d v="2026-05-11T00:00:00"/>
    <s v="487.50 EUR"/>
    <x v="12"/>
  </r>
  <r>
    <s v="Language courses &gt; Luxembourg"/>
    <s v="BNT - Estonian - Level 03"/>
    <s v="051673-Lang"/>
    <x v="0"/>
    <s v="Yes"/>
    <n v="0"/>
    <d v="2026-09-21T08:30:00"/>
    <d v="2027-01-22T17:30:00"/>
    <d v="2026-02-09T00:00:00"/>
    <s v="487.50 EUR"/>
    <x v="12"/>
  </r>
  <r>
    <s v="Language courses &gt; Luxembourg"/>
    <s v="BNT - Estonian - Level 04"/>
    <s v="051723-Lang"/>
    <x v="0"/>
    <s v="Yes"/>
    <n v="5"/>
    <d v="2026-09-21T08:30:00"/>
    <d v="2027-01-22T17:30:00"/>
    <d v="2026-05-18T00:00:00"/>
    <s v="487.50 EUR"/>
    <x v="12"/>
  </r>
  <r>
    <s v="Language courses &gt; Luxembourg"/>
    <s v="BNT - Estonian - Level 05"/>
    <s v="051675-Lang"/>
    <x v="0"/>
    <s v="Yes"/>
    <n v="0"/>
    <d v="2026-09-21T08:30:00"/>
    <d v="2027-01-22T17:30:00"/>
    <s v=" "/>
    <s v="487.50 EUR"/>
    <x v="12"/>
  </r>
  <r>
    <s v="Language courses &gt; Luxembourg"/>
    <s v="BNT - Estonian - Level 06"/>
    <s v="051632-Lang"/>
    <x v="0"/>
    <s v="Yes"/>
    <n v="0"/>
    <d v="2026-09-21T08:30:00"/>
    <d v="2027-01-22T17:30:00"/>
    <s v=" "/>
    <s v="487.50 EUR"/>
    <x v="12"/>
  </r>
  <r>
    <s v="Language courses &gt; Luxembourg"/>
    <s v="BNT - Estonian - Level 07"/>
    <s v="051636-Lang"/>
    <x v="0"/>
    <s v="Yes"/>
    <n v="0"/>
    <d v="2026-09-21T08:30:00"/>
    <d v="2027-01-22T17:30:00"/>
    <d v="2024-01-25T00:00:00"/>
    <s v="487.50 EUR"/>
    <x v="12"/>
  </r>
  <r>
    <s v="Language courses &gt; Luxembourg"/>
    <s v="BNT - Estonian - Level 08"/>
    <s v="051678-Lang"/>
    <x v="0"/>
    <s v="Yes"/>
    <n v="0"/>
    <d v="2026-09-21T08:30:00"/>
    <d v="2027-01-22T17:30:00"/>
    <d v="2024-06-27T00:00:00"/>
    <s v="487.50 EUR"/>
    <x v="12"/>
  </r>
  <r>
    <s v="Language courses &gt; Luxembourg"/>
    <s v="BNT - Finnish - Level 01 "/>
    <s v="051701-Lang"/>
    <x v="0"/>
    <s v="Yes"/>
    <n v="5"/>
    <d v="2026-09-21T08:30:00"/>
    <d v="2027-01-22T17:30:00"/>
    <d v="2026-05-21T00:00:00"/>
    <s v="487.50 EUR"/>
    <x v="12"/>
  </r>
  <r>
    <s v="Language courses &gt; Luxembourg"/>
    <s v="BNT - Finnish - Level 02"/>
    <s v="051684-Lang"/>
    <x v="0"/>
    <s v="Yes"/>
    <n v="3"/>
    <d v="2026-09-21T08:30:00"/>
    <d v="2027-01-22T17:30:00"/>
    <d v="2026-05-21T00:00:00"/>
    <s v="487.50 EUR"/>
    <x v="12"/>
  </r>
  <r>
    <s v="Language courses &gt; Luxembourg"/>
    <s v="BNT - Finnish - Level 03"/>
    <s v="051687-Lang"/>
    <x v="0"/>
    <s v="Yes"/>
    <n v="0"/>
    <d v="2026-09-21T08:30:00"/>
    <d v="2027-01-22T17:30:00"/>
    <d v="2026-01-21T00:00:00"/>
    <s v="487.50 EUR"/>
    <x v="12"/>
  </r>
  <r>
    <s v="Language courses &gt; Luxembourg"/>
    <s v="BNT - Finnish - Level 04"/>
    <s v="051695-Lang"/>
    <x v="0"/>
    <s v="Yes"/>
    <n v="1"/>
    <d v="2026-09-21T08:30:00"/>
    <d v="2027-01-22T17:30:00"/>
    <d v="2026-05-20T00:00:00"/>
    <s v="487.50 EUR"/>
    <x v="12"/>
  </r>
  <r>
    <s v="Language courses &gt; Luxembourg"/>
    <s v="BNT - Finnish - Level 05"/>
    <s v="051688-Lang"/>
    <x v="0"/>
    <s v="Yes"/>
    <n v="1"/>
    <d v="2026-09-21T08:30:00"/>
    <d v="2027-01-22T17:30:00"/>
    <d v="2026-05-11T00:00:00"/>
    <s v="487.50 EUR"/>
    <x v="12"/>
  </r>
  <r>
    <s v="Language courses &gt; Luxembourg"/>
    <s v="BNT - Finnish - Level 06"/>
    <s v="051691-Lang"/>
    <x v="0"/>
    <s v="Yes"/>
    <n v="0"/>
    <d v="2026-09-21T08:30:00"/>
    <d v="2027-01-22T17:30:00"/>
    <d v="2026-02-09T00:00:00"/>
    <s v="487.50 EUR"/>
    <x v="12"/>
  </r>
  <r>
    <s v="Language courses &gt; Luxembourg"/>
    <s v="BNT - Finnish - Level 07"/>
    <s v="051707-Lang"/>
    <x v="0"/>
    <s v="Yes"/>
    <n v="7"/>
    <d v="2026-09-21T08:30:00"/>
    <d v="2027-01-22T17:30:00"/>
    <d v="2026-05-19T00:00:00"/>
    <s v="487.50 EUR"/>
    <x v="12"/>
  </r>
  <r>
    <s v="Language courses &gt; Luxembourg"/>
    <s v="BNT - Finnish - Level 08"/>
    <s v="051709-Lang"/>
    <x v="0"/>
    <s v="Yes"/>
    <n v="0"/>
    <d v="2026-09-21T08:30:00"/>
    <d v="2027-01-22T17:30:00"/>
    <s v=" "/>
    <s v="487.50 EUR"/>
    <x v="12"/>
  </r>
  <r>
    <s v="Language courses &gt; Luxembourg"/>
    <s v="BNT - French - Level 01 "/>
    <s v="051415-Lang"/>
    <x v="0"/>
    <s v="Yes"/>
    <n v="88"/>
    <d v="2026-09-21T08:30:00"/>
    <d v="2027-01-22T17:30:00"/>
    <d v="2026-05-21T00:00:00"/>
    <s v="487.50 EUR"/>
    <x v="12"/>
  </r>
  <r>
    <s v="Language courses &gt; Luxembourg"/>
    <s v="BNT - French - Level 02"/>
    <s v="051416-Lang"/>
    <x v="0"/>
    <s v="Yes"/>
    <n v="111"/>
    <d v="2026-09-21T08:30:00"/>
    <d v="2027-01-22T17:30:00"/>
    <d v="2026-05-21T00:00:00"/>
    <s v="487.50 EUR"/>
    <x v="12"/>
  </r>
  <r>
    <s v="Language courses &gt; Luxembourg"/>
    <s v="BNT - French - Level 03"/>
    <s v="051460-Lang"/>
    <x v="0"/>
    <s v="Yes"/>
    <n v="113"/>
    <d v="2026-09-21T08:30:00"/>
    <d v="2027-01-22T17:30:00"/>
    <d v="2026-05-21T00:00:00"/>
    <s v="487.50 EUR"/>
    <x v="12"/>
  </r>
  <r>
    <s v="Language courses &gt; Luxembourg"/>
    <s v="BNT - French - Level 04"/>
    <s v="051689-Lang"/>
    <x v="0"/>
    <s v="Yes"/>
    <n v="141"/>
    <d v="2026-09-21T08:30:00"/>
    <d v="2027-01-22T17:30:00"/>
    <d v="2026-05-21T00:00:00"/>
    <s v="487.50 EUR"/>
    <x v="12"/>
  </r>
  <r>
    <s v="Language courses &gt; Luxembourg"/>
    <s v="BNT - French - Level 05"/>
    <s v="051443-Lang"/>
    <x v="0"/>
    <s v="Yes"/>
    <n v="155"/>
    <d v="2026-09-21T08:30:00"/>
    <d v="2027-01-22T17:30:00"/>
    <d v="2026-05-21T00:00:00"/>
    <s v="487.50 EUR"/>
    <x v="12"/>
  </r>
  <r>
    <s v="Language courses &gt; Luxembourg"/>
    <s v="BNT - French - Level 06"/>
    <s v="051418-Lang"/>
    <x v="0"/>
    <s v="Yes"/>
    <n v="166"/>
    <d v="2026-09-21T08:30:00"/>
    <d v="2027-01-22T17:30:00"/>
    <d v="2026-05-21T00:00:00"/>
    <s v="487.50 EUR"/>
    <x v="12"/>
  </r>
  <r>
    <s v="Language courses &gt; Luxembourg"/>
    <s v="BNT - French - Level 07"/>
    <s v="051417-Lang"/>
    <x v="0"/>
    <s v="Yes"/>
    <n v="143"/>
    <d v="2026-09-21T08:30:00"/>
    <d v="2027-01-22T17:30:00"/>
    <d v="2026-05-21T00:00:00"/>
    <s v="487.50 EUR"/>
    <x v="12"/>
  </r>
  <r>
    <s v="Language courses &gt; Luxembourg"/>
    <s v="BNT - French - Level 08"/>
    <s v="051464-Lang"/>
    <x v="0"/>
    <s v="Yes"/>
    <n v="150"/>
    <d v="2026-09-21T08:30:00"/>
    <d v="2027-01-22T17:30:00"/>
    <d v="2026-05-21T00:00:00"/>
    <s v="487.50 EUR"/>
    <x v="12"/>
  </r>
  <r>
    <s v="Language courses &gt; Luxembourg"/>
    <s v="BNT - French - Level 09"/>
    <s v="051465-Lang"/>
    <x v="0"/>
    <s v="Yes"/>
    <n v="114"/>
    <d v="2026-09-21T08:30:00"/>
    <d v="2027-01-22T17:30:00"/>
    <d v="2026-05-21T00:00:00"/>
    <s v="487.50 EUR"/>
    <x v="12"/>
  </r>
  <r>
    <s v="Language courses &gt; Luxembourg"/>
    <s v="BNT - French - Level 10"/>
    <s v="051445-Lang"/>
    <x v="0"/>
    <s v="Yes"/>
    <n v="105"/>
    <d v="2026-09-21T08:30:00"/>
    <d v="2027-01-22T17:30:00"/>
    <d v="2026-05-21T00:00:00"/>
    <s v="487.50 EUR"/>
    <x v="12"/>
  </r>
  <r>
    <s v="Language courses &gt; Luxembourg"/>
    <s v="BNT - French - Level 11"/>
    <s v="051446-Lang"/>
    <x v="0"/>
    <s v="Yes"/>
    <n v="77"/>
    <d v="2026-09-21T08:30:00"/>
    <d v="2027-01-22T17:30:00"/>
    <d v="2026-05-21T00:00:00"/>
    <s v="487.50 EUR"/>
    <x v="12"/>
  </r>
  <r>
    <s v="Language courses &gt; Luxembourg"/>
    <s v="BNT - French - Level 12"/>
    <s v="051447-Lang"/>
    <x v="0"/>
    <s v="Yes"/>
    <n v="46"/>
    <d v="2026-09-21T08:30:00"/>
    <d v="2027-01-22T17:30:00"/>
    <d v="2026-05-21T00:00:00"/>
    <s v="487.50 EUR"/>
    <x v="12"/>
  </r>
  <r>
    <s v="Language courses &gt; Luxembourg"/>
    <s v="BNT - French – Conversation Table - Level A2"/>
    <s v="051776-Lang"/>
    <x v="0"/>
    <s v="Yes"/>
    <n v="17"/>
    <d v="2026-09-21T12:30:00"/>
    <d v="2027-01-22T13:30:00"/>
    <d v="2026-05-21T00:00:00"/>
    <s v="121.87 EUR"/>
    <x v="12"/>
  </r>
  <r>
    <s v="Language courses &gt; Luxembourg"/>
    <s v="BNT - French – Conversation Table - Level B2"/>
    <s v="051782-Lang"/>
    <x v="0"/>
    <s v="Yes"/>
    <n v="54"/>
    <d v="2026-09-21T12:10:00"/>
    <d v="2027-01-22T13:30:00"/>
    <d v="2026-05-21T00:00:00"/>
    <s v="182.81 EUR"/>
    <x v="12"/>
  </r>
  <r>
    <s v="Language courses &gt; Luxembourg"/>
    <s v="BNT - German - Level 01 "/>
    <s v="051507-Lang"/>
    <x v="0"/>
    <s v="Yes"/>
    <n v="48"/>
    <d v="2026-09-21T08:30:00"/>
    <d v="2027-01-22T17:30:00"/>
    <d v="2026-05-21T00:00:00"/>
    <s v="487.50 EUR"/>
    <x v="12"/>
  </r>
  <r>
    <s v="Language courses &gt; Luxembourg"/>
    <s v="BNT - German - Level 02"/>
    <s v="051509-Lang"/>
    <x v="0"/>
    <s v="Yes"/>
    <n v="38"/>
    <d v="2026-09-21T08:30:00"/>
    <d v="2027-01-22T17:30:00"/>
    <d v="2026-05-20T00:00:00"/>
    <s v="487.50 EUR"/>
    <x v="12"/>
  </r>
  <r>
    <s v="Language courses &gt; Luxembourg"/>
    <s v="BNT - German - Level 03"/>
    <s v="051514-Lang"/>
    <x v="0"/>
    <s v="Yes"/>
    <n v="53"/>
    <d v="2026-09-21T08:30:00"/>
    <d v="2027-01-22T17:30:00"/>
    <d v="2026-05-20T00:00:00"/>
    <s v="487.50 EUR"/>
    <x v="12"/>
  </r>
  <r>
    <s v="Language courses &gt; Luxembourg"/>
    <s v="BNT - German - Level 04"/>
    <s v="051515-Lang"/>
    <x v="0"/>
    <s v="Yes"/>
    <n v="36"/>
    <d v="2026-09-21T08:30:00"/>
    <d v="2027-01-22T17:30:00"/>
    <d v="2026-05-20T00:00:00"/>
    <s v="487.50 EUR"/>
    <x v="12"/>
  </r>
  <r>
    <s v="Language courses &gt; Luxembourg"/>
    <s v="BNT - German - Level 05"/>
    <s v="051545-Lang"/>
    <x v="0"/>
    <s v="Yes"/>
    <n v="46"/>
    <d v="2026-09-21T08:30:00"/>
    <d v="2027-01-22T17:30:00"/>
    <d v="2026-05-21T00:00:00"/>
    <s v="487.50 EUR"/>
    <x v="12"/>
  </r>
  <r>
    <s v="Language courses &gt; Luxembourg"/>
    <s v="BNT - German - Level 06"/>
    <s v="051547-Lang"/>
    <x v="0"/>
    <s v="Yes"/>
    <n v="35"/>
    <d v="2026-09-21T08:30:00"/>
    <d v="2027-01-22T17:30:00"/>
    <d v="2026-05-21T00:00:00"/>
    <s v="487.50 EUR"/>
    <x v="12"/>
  </r>
  <r>
    <s v="Language courses &gt; Luxembourg"/>
    <s v="BNT - German - Level 07"/>
    <s v="051535-Lang"/>
    <x v="0"/>
    <s v="Yes"/>
    <n v="34"/>
    <d v="2026-09-21T08:30:00"/>
    <d v="2027-01-22T17:30:00"/>
    <d v="2026-05-21T00:00:00"/>
    <s v="487.50 EUR"/>
    <x v="12"/>
  </r>
  <r>
    <s v="Language courses &gt; Luxembourg"/>
    <s v="BNT - German - Level 08"/>
    <s v="051539-Lang"/>
    <x v="0"/>
    <s v="Yes"/>
    <n v="31"/>
    <d v="2026-09-21T08:30:00"/>
    <d v="2027-01-22T17:30:00"/>
    <d v="2026-05-21T00:00:00"/>
    <s v="487.50 EUR"/>
    <x v="12"/>
  </r>
  <r>
    <s v="Language courses &gt; Luxembourg"/>
    <s v="BNT - German - Level 09"/>
    <s v="051560-Lang"/>
    <x v="0"/>
    <s v="Yes"/>
    <n v="20"/>
    <d v="2026-09-21T08:30:00"/>
    <d v="2027-01-22T17:30:00"/>
    <d v="2026-05-20T00:00:00"/>
    <s v="487.50 EUR"/>
    <x v="12"/>
  </r>
  <r>
    <s v="Language courses &gt; Luxembourg"/>
    <s v="BNT - German - Level 10"/>
    <s v="051562-Lang"/>
    <x v="0"/>
    <s v="Yes"/>
    <n v="19"/>
    <d v="2026-09-21T08:30:00"/>
    <d v="2027-01-22T17:30:00"/>
    <d v="2026-05-20T00:00:00"/>
    <s v="487.50 EUR"/>
    <x v="12"/>
  </r>
  <r>
    <s v="Language courses &gt; Luxembourg"/>
    <s v="BNT - German - Level 11"/>
    <s v="051564-Lang"/>
    <x v="0"/>
    <s v="Yes"/>
    <n v="14"/>
    <d v="2026-09-21T08:30:00"/>
    <d v="2027-01-22T17:30:00"/>
    <d v="2026-05-20T00:00:00"/>
    <s v="487.50 EUR"/>
    <x v="12"/>
  </r>
  <r>
    <s v="Language courses &gt; Luxembourg"/>
    <s v="BNT - German - Level 12"/>
    <s v="051566-Lang"/>
    <x v="0"/>
    <s v="Yes"/>
    <n v="10"/>
    <d v="2026-09-21T08:30:00"/>
    <d v="2027-01-22T17:30:00"/>
    <d v="2026-05-21T00:00:00"/>
    <s v="487.50 EUR"/>
    <x v="12"/>
  </r>
  <r>
    <s v="Language courses &gt; Luxembourg"/>
    <s v="BNT - German – Conversation Table - Level A2"/>
    <s v="051753-Lang"/>
    <x v="0"/>
    <s v="Yes"/>
    <n v="4"/>
    <d v="2026-09-21T12:30:00"/>
    <d v="2027-01-22T13:30:00"/>
    <d v="2026-05-21T00:00:00"/>
    <s v="121.87 EUR"/>
    <x v="12"/>
  </r>
  <r>
    <s v="Language courses &gt; Luxembourg"/>
    <s v="BNT - German – Conversation Table - Level B2"/>
    <s v="051783-Lang"/>
    <x v="0"/>
    <s v="Yes"/>
    <n v="6"/>
    <d v="2026-09-21T12:10:00"/>
    <d v="2027-01-22T13:30:00"/>
    <d v="2026-05-21T00:00:00"/>
    <s v="182.81 EUR"/>
    <x v="12"/>
  </r>
  <r>
    <s v="Language courses &gt; Luxembourg"/>
    <s v="BNT - Greek - Level 01 "/>
    <s v="051629-Lang"/>
    <x v="0"/>
    <s v="Yes"/>
    <n v="21"/>
    <d v="2026-09-21T08:30:00"/>
    <d v="2027-01-22T17:30:00"/>
    <d v="2026-05-20T00:00:00"/>
    <s v="487.50 EUR"/>
    <x v="12"/>
  </r>
  <r>
    <s v="Language courses &gt; Luxembourg"/>
    <s v="BNT - Greek - Level 02"/>
    <s v="051667-Lang"/>
    <x v="0"/>
    <s v="Yes"/>
    <n v="23"/>
    <d v="2026-09-21T08:30:00"/>
    <d v="2027-01-22T17:30:00"/>
    <d v="2026-05-19T00:00:00"/>
    <s v="487.50 EUR"/>
    <x v="12"/>
  </r>
  <r>
    <s v="Language courses &gt; Luxembourg"/>
    <s v="BNT - Greek - Level 03"/>
    <s v="051668-Lang"/>
    <x v="0"/>
    <s v="Yes"/>
    <n v="11"/>
    <d v="2026-09-21T08:30:00"/>
    <d v="2027-01-22T17:30:00"/>
    <d v="2026-05-21T00:00:00"/>
    <s v="487.50 EUR"/>
    <x v="12"/>
  </r>
  <r>
    <s v="Language courses &gt; Luxembourg"/>
    <s v="BNT - Greek - Level 04"/>
    <s v="051714-Lang"/>
    <x v="0"/>
    <s v="Yes"/>
    <n v="4"/>
    <d v="2026-09-21T08:30:00"/>
    <d v="2027-01-22T17:30:00"/>
    <d v="2026-05-11T00:00:00"/>
    <s v="487.50 EUR"/>
    <x v="12"/>
  </r>
  <r>
    <s v="Language courses &gt; Luxembourg"/>
    <s v="BNT - Greek - Level 05"/>
    <s v="051630-Lang"/>
    <x v="0"/>
    <s v="Yes"/>
    <n v="8"/>
    <d v="2026-09-21T08:30:00"/>
    <d v="2027-01-22T17:30:00"/>
    <d v="2026-05-19T00:00:00"/>
    <s v="487.50 EUR"/>
    <x v="12"/>
  </r>
  <r>
    <s v="Language courses &gt; Luxembourg"/>
    <s v="BNT - Greek - Level 06"/>
    <s v="051670-Lang"/>
    <x v="0"/>
    <s v="Yes"/>
    <n v="11"/>
    <d v="2026-09-21T08:30:00"/>
    <d v="2027-01-22T17:30:00"/>
    <d v="2026-05-20T00:00:00"/>
    <s v="487.50 EUR"/>
    <x v="12"/>
  </r>
  <r>
    <s v="Language courses &gt; Luxembourg"/>
    <s v="BNT - Greek - Level 07"/>
    <s v="051679-Lang"/>
    <x v="0"/>
    <s v="Yes"/>
    <n v="3"/>
    <d v="2026-09-21T08:30:00"/>
    <d v="2027-01-22T17:30:00"/>
    <d v="2026-05-19T00:00:00"/>
    <s v="487.50 EUR"/>
    <x v="12"/>
  </r>
  <r>
    <s v="Language courses &gt; Luxembourg"/>
    <s v="BNT - Greek - Level 08"/>
    <s v="051681-Lang"/>
    <x v="0"/>
    <s v="Yes"/>
    <n v="7"/>
    <d v="2026-09-21T08:30:00"/>
    <d v="2027-01-22T17:30:00"/>
    <d v="2026-05-19T00:00:00"/>
    <s v="487.50 EUR"/>
    <x v="12"/>
  </r>
  <r>
    <s v="Language courses &gt; Luxembourg"/>
    <s v="BNT - Hungarian - Level 01 "/>
    <s v="051729-Lang"/>
    <x v="0"/>
    <s v="Yes"/>
    <n v="2"/>
    <d v="2026-09-21T08:30:00"/>
    <d v="2027-01-22T17:30:00"/>
    <d v="2026-05-18T00:00:00"/>
    <s v="487.50 EUR"/>
    <x v="12"/>
  </r>
  <r>
    <s v="Language courses &gt; Luxembourg"/>
    <s v="BNT - Hungarian - Level 02"/>
    <s v="051730-Lang"/>
    <x v="0"/>
    <s v="Yes"/>
    <n v="1"/>
    <d v="2026-09-21T08:30:00"/>
    <d v="2027-01-22T17:30:00"/>
    <d v="2026-05-14T00:00:00"/>
    <s v="487.50 EUR"/>
    <x v="12"/>
  </r>
  <r>
    <s v="Language courses &gt; Luxembourg"/>
    <s v="BNT - Hungarian - Level 03"/>
    <s v="051731-Lang"/>
    <x v="0"/>
    <s v="Yes"/>
    <n v="1"/>
    <d v="2026-09-21T08:30:00"/>
    <d v="2027-01-22T17:30:00"/>
    <d v="2026-05-19T00:00:00"/>
    <s v="487.50 EUR"/>
    <x v="12"/>
  </r>
  <r>
    <s v="Language courses &gt; Luxembourg"/>
    <s v="BNT - Hungarian - Level 04"/>
    <s v="051717-Lang"/>
    <x v="0"/>
    <s v="Yes"/>
    <n v="4"/>
    <d v="2026-09-21T08:30:00"/>
    <d v="2027-01-22T17:30:00"/>
    <d v="2026-05-12T00:00:00"/>
    <s v="487.50 EUR"/>
    <x v="12"/>
  </r>
  <r>
    <s v="Language courses &gt; Luxembourg"/>
    <s v="BNT - Hungarian - Level 05"/>
    <s v="051732-Lang"/>
    <x v="0"/>
    <s v="Yes"/>
    <n v="0"/>
    <d v="2026-09-21T08:30:00"/>
    <d v="2027-01-22T17:30:00"/>
    <s v=" "/>
    <s v="487.50 EUR"/>
    <x v="12"/>
  </r>
  <r>
    <s v="Language courses &gt; Luxembourg"/>
    <s v="BNT - Hungarian - Level 06"/>
    <s v="051733-Lang"/>
    <x v="0"/>
    <s v="Yes"/>
    <n v="0"/>
    <d v="2026-09-21T08:30:00"/>
    <d v="2027-01-22T17:30:00"/>
    <s v=" "/>
    <s v="487.50 EUR"/>
    <x v="12"/>
  </r>
  <r>
    <s v="Language courses &gt; Luxembourg"/>
    <s v="BNT - Hungarian - Level 07"/>
    <s v="051734-Lang"/>
    <x v="0"/>
    <s v="Yes"/>
    <n v="0"/>
    <d v="2026-09-21T08:30:00"/>
    <d v="2027-01-22T17:30:00"/>
    <s v=" "/>
    <s v="487.50 EUR"/>
    <x v="12"/>
  </r>
  <r>
    <s v="Language courses &gt; Luxembourg"/>
    <s v="BNT - Hungarian - Level 08"/>
    <s v="051735-Lang"/>
    <x v="0"/>
    <s v="Yes"/>
    <n v="0"/>
    <d v="2026-09-21T08:30:00"/>
    <d v="2027-01-22T17:30:00"/>
    <s v=" "/>
    <s v="487.50 EUR"/>
    <x v="12"/>
  </r>
  <r>
    <s v="Language courses &gt; Luxembourg"/>
    <s v="BNT - Irish - Level 01 "/>
    <s v="051703-Lang"/>
    <x v="0"/>
    <s v="Yes"/>
    <n v="2"/>
    <d v="2026-09-21T08:30:00"/>
    <d v="2027-01-22T17:30:00"/>
    <d v="2026-05-17T00:00:00"/>
    <s v="487.50 EUR"/>
    <x v="12"/>
  </r>
  <r>
    <s v="Language courses &gt; Luxembourg"/>
    <s v="BNT - Irish - Level 02"/>
    <s v="051686-Lang"/>
    <x v="0"/>
    <s v="Yes"/>
    <n v="5"/>
    <d v="2026-09-21T08:30:00"/>
    <d v="2027-01-22T17:30:00"/>
    <d v="2026-05-20T00:00:00"/>
    <s v="487.50 EUR"/>
    <x v="12"/>
  </r>
  <r>
    <s v="Language courses &gt; Luxembourg"/>
    <s v="BNT - Irish - Level 03"/>
    <s v="051704-Lang"/>
    <x v="0"/>
    <s v="Yes"/>
    <n v="0"/>
    <d v="2026-09-21T08:30:00"/>
    <d v="2027-01-22T17:30:00"/>
    <s v=" "/>
    <s v="487.50 EUR"/>
    <x v="12"/>
  </r>
  <r>
    <s v="Language courses &gt; Luxembourg"/>
    <s v="BNT - Irish - Level 04"/>
    <s v="051699-Lang"/>
    <x v="0"/>
    <s v="Yes"/>
    <n v="0"/>
    <d v="2026-09-21T08:30:00"/>
    <d v="2027-01-22T17:30:00"/>
    <s v=" "/>
    <s v="487.50 EUR"/>
    <x v="12"/>
  </r>
  <r>
    <s v="Language courses &gt; Luxembourg"/>
    <s v="BNT - Irish - Level 05"/>
    <s v="051697-Lang"/>
    <x v="0"/>
    <s v="Yes"/>
    <n v="0"/>
    <d v="2026-09-21T08:30:00"/>
    <d v="2027-01-22T17:30:00"/>
    <s v=" "/>
    <s v="487.50 EUR"/>
    <x v="12"/>
  </r>
  <r>
    <s v="Language courses &gt; Luxembourg"/>
    <s v="BNT - Irish - Level 06"/>
    <s v="051710-Lang"/>
    <x v="0"/>
    <s v="Yes"/>
    <n v="0"/>
    <d v="2026-09-21T08:30:00"/>
    <d v="2027-01-22T17:30:00"/>
    <s v=" "/>
    <s v="487.50 EUR"/>
    <x v="12"/>
  </r>
  <r>
    <s v="Language courses &gt; Luxembourg"/>
    <s v="BNT - Irish - Level 07"/>
    <s v="051711-Lang"/>
    <x v="0"/>
    <s v="Yes"/>
    <n v="0"/>
    <d v="2026-09-21T08:30:00"/>
    <d v="2027-01-22T17:30:00"/>
    <s v=" "/>
    <s v="487.50 EUR"/>
    <x v="12"/>
  </r>
  <r>
    <s v="Language courses &gt; Luxembourg"/>
    <s v="BNT - Irish - Level 08"/>
    <s v="051713-Lang"/>
    <x v="0"/>
    <s v="Yes"/>
    <n v="0"/>
    <d v="2026-09-21T08:30:00"/>
    <d v="2027-01-22T17:30:00"/>
    <s v=" "/>
    <s v="487.50 EUR"/>
    <x v="12"/>
  </r>
  <r>
    <s v="Language courses &gt; Luxembourg"/>
    <s v="BNT - Italian - Level 01 "/>
    <s v="051596-Lang"/>
    <x v="0"/>
    <s v="Yes"/>
    <n v="54"/>
    <d v="2026-09-21T08:30:00"/>
    <d v="2027-01-22T17:30:00"/>
    <d v="2026-05-21T00:00:00"/>
    <s v="487.50 EUR"/>
    <x v="12"/>
  </r>
  <r>
    <s v="Language courses &gt; Luxembourg"/>
    <s v="BNT - Italian - Level 02"/>
    <s v="051620-Lang"/>
    <x v="0"/>
    <s v="Yes"/>
    <n v="58"/>
    <d v="2026-09-21T08:30:00"/>
    <d v="2027-01-22T17:30:00"/>
    <d v="2026-05-20T00:00:00"/>
    <s v="487.50 EUR"/>
    <x v="12"/>
  </r>
  <r>
    <s v="Language courses &gt; Luxembourg"/>
    <s v="BNT - Italian - Level 03"/>
    <s v="051621-Lang"/>
    <x v="0"/>
    <s v="Yes"/>
    <n v="52"/>
    <d v="2026-09-21T08:30:00"/>
    <d v="2027-01-22T17:30:00"/>
    <d v="2026-05-21T00:00:00"/>
    <s v="487.50 EUR"/>
    <x v="12"/>
  </r>
  <r>
    <s v="Language courses &gt; Luxembourg"/>
    <s v="BNT - Italian - Level 04"/>
    <s v="051728-Lang"/>
    <x v="0"/>
    <s v="Yes"/>
    <n v="40"/>
    <d v="2026-09-21T08:30:00"/>
    <d v="2027-01-22T17:30:00"/>
    <d v="2026-05-21T00:00:00"/>
    <s v="487.50 EUR"/>
    <x v="12"/>
  </r>
  <r>
    <s v="Language courses &gt; Luxembourg"/>
    <s v="BNT - Italian - Level 05"/>
    <s v="051654-Lang"/>
    <x v="0"/>
    <s v="Yes"/>
    <n v="44"/>
    <d v="2026-09-21T08:30:00"/>
    <d v="2027-01-22T17:30:00"/>
    <d v="2026-05-21T00:00:00"/>
    <s v="487.50 EUR"/>
    <x v="12"/>
  </r>
  <r>
    <s v="Language courses &gt; Luxembourg"/>
    <s v="BNT - Italian - Level 06"/>
    <s v="051625-Lang"/>
    <x v="0"/>
    <s v="Yes"/>
    <n v="52"/>
    <d v="2026-09-21T08:30:00"/>
    <d v="2027-01-22T17:30:00"/>
    <d v="2026-05-21T00:00:00"/>
    <s v="487.50 EUR"/>
    <x v="12"/>
  </r>
  <r>
    <s v="Language courses &gt; Luxembourg"/>
    <s v="BNT - Italian - Level 07"/>
    <s v="051660-Lang"/>
    <x v="0"/>
    <s v="Yes"/>
    <n v="36"/>
    <d v="2026-09-21T08:30:00"/>
    <d v="2027-01-22T17:30:00"/>
    <d v="2026-05-21T00:00:00"/>
    <s v="487.50 EUR"/>
    <x v="12"/>
  </r>
  <r>
    <s v="Language courses &gt; Luxembourg"/>
    <s v="BNT - Italian - Level 08"/>
    <s v="051661-Lang"/>
    <x v="0"/>
    <s v="Yes"/>
    <n v="34"/>
    <d v="2026-09-21T08:30:00"/>
    <d v="2027-01-22T17:30:00"/>
    <d v="2026-05-20T00:00:00"/>
    <s v="487.50 EUR"/>
    <x v="12"/>
  </r>
  <r>
    <s v="Language courses &gt; Luxembourg"/>
    <s v="BNT - Italian – Conversation Table - Level A2"/>
    <s v="051752-Lang"/>
    <x v="0"/>
    <s v="Yes"/>
    <n v="4"/>
    <d v="2026-09-21T12:30:00"/>
    <d v="2027-01-22T13:30:00"/>
    <d v="2026-05-19T00:00:00"/>
    <s v="121.87 EUR"/>
    <x v="12"/>
  </r>
  <r>
    <s v="Language courses &gt; Luxembourg"/>
    <s v="BNT - Italian – Conversation Table - Level B2"/>
    <s v="051784-Lang"/>
    <x v="0"/>
    <s v="Yes"/>
    <n v="15"/>
    <d v="2026-09-21T12:10:00"/>
    <d v="2027-01-22T13:30:00"/>
    <d v="2026-05-21T00:00:00"/>
    <s v="182.81 EUR"/>
    <x v="12"/>
  </r>
  <r>
    <s v="Language courses &gt; Luxembourg"/>
    <s v="BNT - Latvian - Level 01 "/>
    <s v="051634-Lang"/>
    <x v="0"/>
    <s v="Yes"/>
    <n v="1"/>
    <d v="2026-09-21T08:30:00"/>
    <d v="2027-01-22T17:30:00"/>
    <d v="2026-05-19T00:00:00"/>
    <s v="487.50 EUR"/>
    <x v="12"/>
  </r>
  <r>
    <s v="Language courses &gt; Luxembourg"/>
    <s v="BNT - Latvian - Level 02"/>
    <s v="051680-Lang"/>
    <x v="0"/>
    <s v="Yes"/>
    <n v="0"/>
    <d v="2026-09-21T08:30:00"/>
    <d v="2027-01-22T17:30:00"/>
    <s v=" "/>
    <s v="487.50 EUR"/>
    <x v="12"/>
  </r>
  <r>
    <s v="Language courses &gt; Luxembourg"/>
    <s v="BNT - Latvian - Level 03"/>
    <s v="051700-Lang"/>
    <x v="0"/>
    <s v="Yes"/>
    <n v="0"/>
    <d v="2026-09-21T08:30:00"/>
    <d v="2027-01-22T17:30:00"/>
    <d v="2024-01-25T00:00:00"/>
    <s v="487.50 EUR"/>
    <x v="12"/>
  </r>
  <r>
    <s v="Language courses &gt; Luxembourg"/>
    <s v="BNT - Latvian - Level 04"/>
    <s v="051419-Lang"/>
    <x v="0"/>
    <s v="Yes"/>
    <n v="0"/>
    <d v="2026-09-21T08:30:00"/>
    <d v="2027-01-22T17:30:00"/>
    <d v="2024-06-28T00:00:00"/>
    <s v="487.50 EUR"/>
    <x v="12"/>
  </r>
  <r>
    <s v="Language courses &gt; Luxembourg"/>
    <s v="BNT - Latvian - Level 05"/>
    <s v="051683-Lang"/>
    <x v="0"/>
    <s v="Yes"/>
    <n v="0"/>
    <d v="2026-09-21T08:30:00"/>
    <d v="2027-01-22T17:30:00"/>
    <d v="2025-01-28T00:00:00"/>
    <s v="487.50 EUR"/>
    <x v="12"/>
  </r>
  <r>
    <s v="Language courses &gt; Luxembourg"/>
    <s v="BNT - Latvian - Level 06"/>
    <s v="051694-Lang"/>
    <x v="0"/>
    <s v="Yes"/>
    <n v="0"/>
    <d v="2026-09-21T08:30:00"/>
    <d v="2027-01-22T17:30:00"/>
    <d v="2025-06-25T00:00:00"/>
    <s v="487.50 EUR"/>
    <x v="12"/>
  </r>
  <r>
    <s v="Language courses &gt; Luxembourg"/>
    <s v="BNT - Latvian - Level 07"/>
    <s v="051696-Lang"/>
    <x v="0"/>
    <s v="Yes"/>
    <n v="0"/>
    <d v="2026-09-21T08:30:00"/>
    <d v="2027-01-22T17:30:00"/>
    <d v="2026-01-26T00:00:00"/>
    <s v="487.50 EUR"/>
    <x v="12"/>
  </r>
  <r>
    <s v="Language courses &gt; Luxembourg"/>
    <s v="BNT - Latvian - Level 08"/>
    <s v="051721-Lang"/>
    <x v="0"/>
    <s v="Yes"/>
    <n v="0"/>
    <d v="2026-09-21T08:30:00"/>
    <d v="2027-01-22T17:30:00"/>
    <d v="2026-02-13T00:00:00"/>
    <s v="487.50 EUR"/>
    <x v="12"/>
  </r>
  <r>
    <s v="Language courses &gt; Luxembourg"/>
    <s v="BNT - Lithuanian - Level 01 "/>
    <s v="051519-Lang"/>
    <x v="0"/>
    <s v="Yes"/>
    <n v="2"/>
    <d v="2026-09-21T08:30:00"/>
    <d v="2027-01-22T17:30:00"/>
    <d v="2026-05-12T00:00:00"/>
    <s v="487.50 EUR"/>
    <x v="12"/>
  </r>
  <r>
    <s v="Language courses &gt; Luxembourg"/>
    <s v="BNT - Lithuanian - Level 02"/>
    <s v="051530-Lang"/>
    <x v="0"/>
    <s v="Yes"/>
    <n v="0"/>
    <d v="2026-09-21T08:30:00"/>
    <d v="2027-01-22T17:30:00"/>
    <s v=" "/>
    <s v="487.50 EUR"/>
    <x v="12"/>
  </r>
  <r>
    <s v="Language courses &gt; Luxembourg"/>
    <s v="BNT - Lithuanian - Level 03"/>
    <s v="051615-Lang"/>
    <x v="0"/>
    <s v="Yes"/>
    <n v="0"/>
    <d v="2026-09-21T08:30:00"/>
    <d v="2027-01-22T17:30:00"/>
    <s v=" "/>
    <s v="487.50 EUR"/>
    <x v="12"/>
  </r>
  <r>
    <s v="Language courses &gt; Luxembourg"/>
    <s v="BNT - Lithuanian - Level 04"/>
    <s v="051642-Lang"/>
    <x v="0"/>
    <s v="Yes"/>
    <n v="0"/>
    <d v="2026-09-21T08:30:00"/>
    <d v="2027-01-22T17:30:00"/>
    <s v=" "/>
    <s v="487.50 EUR"/>
    <x v="12"/>
  </r>
  <r>
    <s v="Language courses &gt; Luxembourg"/>
    <s v="BNT - Lithuanian - Level 05"/>
    <s v="051645-Lang"/>
    <x v="0"/>
    <s v="Yes"/>
    <n v="0"/>
    <d v="2026-09-21T08:30:00"/>
    <d v="2027-01-22T17:30:00"/>
    <d v="2026-01-28T00:00:00"/>
    <s v="487.50 EUR"/>
    <x v="12"/>
  </r>
  <r>
    <s v="Language courses &gt; Luxembourg"/>
    <s v="BNT - Lithuanian - Level 06"/>
    <s v="051647-Lang"/>
    <x v="0"/>
    <s v="Yes"/>
    <n v="2"/>
    <d v="2026-09-21T08:30:00"/>
    <d v="2027-01-22T17:30:00"/>
    <d v="2026-05-20T00:00:00"/>
    <s v="487.50 EUR"/>
    <x v="12"/>
  </r>
  <r>
    <s v="Language courses &gt; Luxembourg"/>
    <s v="BNT - Lithuanian - Level 07"/>
    <s v="051651-Lang"/>
    <x v="0"/>
    <s v="Yes"/>
    <n v="0"/>
    <d v="2026-09-21T08:30:00"/>
    <d v="2027-01-22T17:30:00"/>
    <d v="2024-06-28T00:00:00"/>
    <s v="487.50 EUR"/>
    <x v="12"/>
  </r>
  <r>
    <s v="Language courses &gt; Luxembourg"/>
    <s v="BNT - Lithuanian - Level 08"/>
    <s v="051626-Lang"/>
    <x v="0"/>
    <s v="Yes"/>
    <n v="0"/>
    <d v="2026-09-21T08:30:00"/>
    <d v="2027-01-22T17:30:00"/>
    <d v="2025-01-26T00:00:00"/>
    <s v="487.50 EUR"/>
    <x v="12"/>
  </r>
  <r>
    <s v="Language courses &gt; Luxembourg"/>
    <s v="BNT - Luxembourgish - Level 01 "/>
    <s v="051614-Lang"/>
    <x v="0"/>
    <s v="Yes"/>
    <n v="37"/>
    <d v="2026-09-21T08:30:00"/>
    <d v="2027-01-22T17:30:00"/>
    <d v="2026-05-20T00:00:00"/>
    <s v="487.50 EUR"/>
    <x v="12"/>
  </r>
  <r>
    <s v="Language courses &gt; Luxembourg"/>
    <s v="BNT - Luxembourgish - Level 02"/>
    <s v="051617-Lang"/>
    <x v="0"/>
    <s v="Yes"/>
    <n v="24"/>
    <d v="2026-09-21T08:30:00"/>
    <d v="2027-01-22T17:30:00"/>
    <d v="2026-05-21T00:00:00"/>
    <s v="487.50 EUR"/>
    <x v="12"/>
  </r>
  <r>
    <s v="Language courses &gt; Luxembourg"/>
    <s v="BNT - Luxembourgish - Level 03"/>
    <s v="051599-Lang"/>
    <x v="0"/>
    <s v="Yes"/>
    <n v="30"/>
    <d v="2026-09-21T08:30:00"/>
    <d v="2027-01-22T17:30:00"/>
    <d v="2026-05-21T00:00:00"/>
    <s v="487.50 EUR"/>
    <x v="12"/>
  </r>
  <r>
    <s v="Language courses &gt; Luxembourg"/>
    <s v="BNT - Luxembourgish - Level 04"/>
    <s v="051643-Lang"/>
    <x v="0"/>
    <s v="Yes"/>
    <n v="16"/>
    <d v="2026-09-21T08:30:00"/>
    <d v="2027-01-22T17:30:00"/>
    <d v="2026-05-18T00:00:00"/>
    <s v="487.50 EUR"/>
    <x v="12"/>
  </r>
  <r>
    <s v="Language courses &gt; Luxembourg"/>
    <s v="BNT - Luxembourgish - Level 05"/>
    <s v="051648-Lang"/>
    <x v="0"/>
    <s v="Yes"/>
    <n v="9"/>
    <d v="2026-09-21T08:30:00"/>
    <d v="2027-01-22T17:30:00"/>
    <d v="2026-05-20T00:00:00"/>
    <s v="487.50 EUR"/>
    <x v="12"/>
  </r>
  <r>
    <s v="Language courses &gt; Luxembourg"/>
    <s v="BNT - Luxembourgish - Level 06"/>
    <s v="051674-Lang"/>
    <x v="0"/>
    <s v="Yes"/>
    <n v="10"/>
    <d v="2026-09-21T08:30:00"/>
    <d v="2027-01-22T17:30:00"/>
    <d v="2026-05-12T00:00:00"/>
    <s v="487.50 EUR"/>
    <x v="12"/>
  </r>
  <r>
    <s v="Language courses &gt; Luxembourg"/>
    <s v="BNT - Luxembourgish - Level 07"/>
    <s v="051676-Lang"/>
    <x v="0"/>
    <s v="Yes"/>
    <n v="11"/>
    <d v="2026-09-21T08:30:00"/>
    <d v="2027-01-22T17:30:00"/>
    <d v="2026-05-19T00:00:00"/>
    <s v="487.50 EUR"/>
    <x v="12"/>
  </r>
  <r>
    <s v="Language courses &gt; Luxembourg"/>
    <s v="BNT - Luxembourgish - Level 08"/>
    <s v="051677-Lang"/>
    <x v="0"/>
    <s v="Yes"/>
    <n v="0"/>
    <d v="2026-09-21T08:30:00"/>
    <d v="2027-01-22T17:30:00"/>
    <d v="2026-02-20T00:00:00"/>
    <s v="487.50 EUR"/>
    <x v="12"/>
  </r>
  <r>
    <s v="Language courses &gt; Luxembourg"/>
    <s v="BNT - Maltese - Level 01 "/>
    <s v="051457-Lang"/>
    <x v="0"/>
    <s v="Yes"/>
    <n v="2"/>
    <d v="2026-09-21T08:30:00"/>
    <d v="2027-01-22T17:30:00"/>
    <d v="2026-05-12T00:00:00"/>
    <s v="487.50 EUR"/>
    <x v="12"/>
  </r>
  <r>
    <s v="Language courses &gt; Luxembourg"/>
    <s v="BNT - Maltese - Level 02"/>
    <s v="051479-Lang"/>
    <x v="0"/>
    <s v="Yes"/>
    <n v="2"/>
    <d v="2026-09-21T08:30:00"/>
    <d v="2027-01-22T17:30:00"/>
    <d v="2026-05-21T00:00:00"/>
    <s v="487.50 EUR"/>
    <x v="12"/>
  </r>
  <r>
    <s v="Language courses &gt; Luxembourg"/>
    <s v="BNT - Maltese - Level 03"/>
    <s v="051459-Lang"/>
    <x v="0"/>
    <s v="Yes"/>
    <n v="0"/>
    <d v="2026-09-21T08:30:00"/>
    <d v="2027-01-22T17:30:00"/>
    <s v=" "/>
    <s v="487.50 EUR"/>
    <x v="12"/>
  </r>
  <r>
    <s v="Language courses &gt; Luxembourg"/>
    <s v="BNT - Maltese - Level 04"/>
    <s v="051482-Lang"/>
    <x v="0"/>
    <s v="Yes"/>
    <n v="0"/>
    <d v="2026-09-21T08:30:00"/>
    <d v="2027-01-22T17:30:00"/>
    <s v=" "/>
    <s v="487.50 EUR"/>
    <x v="12"/>
  </r>
  <r>
    <s v="Language courses &gt; Luxembourg"/>
    <s v="BNT - Maltese - Level 05"/>
    <s v="051554-Lang"/>
    <x v="0"/>
    <s v="Yes"/>
    <n v="0"/>
    <d v="2026-09-21T08:30:00"/>
    <d v="2027-01-22T17:30:00"/>
    <s v=" "/>
    <s v="487.50 EUR"/>
    <x v="12"/>
  </r>
  <r>
    <s v="Language courses &gt; Luxembourg"/>
    <s v="BNT - Maltese - Level 06"/>
    <s v="051580-Lang"/>
    <x v="0"/>
    <s v="Yes"/>
    <n v="0"/>
    <d v="2026-09-21T08:30:00"/>
    <d v="2027-01-22T17:30:00"/>
    <s v=" "/>
    <s v="487.50 EUR"/>
    <x v="12"/>
  </r>
  <r>
    <s v="Language courses &gt; Luxembourg"/>
    <s v="BNT - Maltese - Level 07"/>
    <s v="051581-Lang"/>
    <x v="0"/>
    <s v="Yes"/>
    <n v="0"/>
    <d v="2026-09-21T08:30:00"/>
    <d v="2027-01-22T17:30:00"/>
    <s v=" "/>
    <s v="487.50 EUR"/>
    <x v="12"/>
  </r>
  <r>
    <s v="Language courses &gt; Luxembourg"/>
    <s v="BNT - Maltese - Level 08"/>
    <s v="051583-Lang"/>
    <x v="0"/>
    <s v="Yes"/>
    <n v="0"/>
    <d v="2026-09-21T08:30:00"/>
    <d v="2027-01-22T17:30:00"/>
    <s v=" "/>
    <s v="487.50 EUR"/>
    <x v="12"/>
  </r>
  <r>
    <s v="Language courses &gt; Luxembourg"/>
    <s v="BNT - Polish - Level 01 "/>
    <s v="051584-Lang"/>
    <x v="0"/>
    <s v="Yes"/>
    <n v="7"/>
    <d v="2026-09-21T08:30:00"/>
    <d v="2027-01-22T17:30:00"/>
    <d v="2026-05-19T00:00:00"/>
    <s v="487.50 EUR"/>
    <x v="12"/>
  </r>
  <r>
    <s v="Language courses &gt; Luxembourg"/>
    <s v="BNT - Polish - Level 02"/>
    <s v="051555-Lang"/>
    <x v="0"/>
    <s v="Yes"/>
    <n v="6"/>
    <d v="2026-09-21T08:30:00"/>
    <d v="2027-01-22T17:30:00"/>
    <d v="2026-05-19T00:00:00"/>
    <s v="487.50 EUR"/>
    <x v="12"/>
  </r>
  <r>
    <s v="Language courses &gt; Luxembourg"/>
    <s v="BNT - Polish - Level 03"/>
    <s v="051586-Lang"/>
    <x v="0"/>
    <s v="Yes"/>
    <n v="7"/>
    <d v="2026-09-21T08:30:00"/>
    <d v="2027-01-22T17:30:00"/>
    <d v="2026-05-19T00:00:00"/>
    <s v="487.50 EUR"/>
    <x v="12"/>
  </r>
  <r>
    <s v="Language courses &gt; Luxembourg"/>
    <s v="BNT - Polish - Level 04"/>
    <s v="051587-Lang"/>
    <x v="0"/>
    <s v="Yes"/>
    <n v="10"/>
    <d v="2026-09-21T08:30:00"/>
    <d v="2027-01-22T17:30:00"/>
    <d v="2026-05-21T00:00:00"/>
    <s v="487.50 EUR"/>
    <x v="12"/>
  </r>
  <r>
    <s v="Language courses &gt; Luxembourg"/>
    <s v="BNT - Polish - Level 05"/>
    <s v="051588-Lang"/>
    <x v="0"/>
    <s v="Yes"/>
    <n v="11"/>
    <d v="2026-09-21T08:30:00"/>
    <d v="2027-01-22T17:30:00"/>
    <d v="2026-05-18T00:00:00"/>
    <s v="487.50 EUR"/>
    <x v="12"/>
  </r>
  <r>
    <s v="Language courses &gt; Luxembourg"/>
    <s v="BNT - Polish - Level 06"/>
    <s v="051601-Lang"/>
    <x v="0"/>
    <s v="Yes"/>
    <n v="1"/>
    <d v="2026-09-21T08:30:00"/>
    <d v="2027-01-22T17:30:00"/>
    <d v="2026-05-11T00:00:00"/>
    <s v="487.50 EUR"/>
    <x v="12"/>
  </r>
  <r>
    <s v="Language courses &gt; Luxembourg"/>
    <s v="BNT - Polish - Level 07"/>
    <s v="051589-Lang"/>
    <x v="0"/>
    <s v="Yes"/>
    <n v="0"/>
    <d v="2026-09-21T08:30:00"/>
    <d v="2027-01-22T17:30:00"/>
    <d v="2026-02-10T00:00:00"/>
    <s v="487.50 EUR"/>
    <x v="12"/>
  </r>
  <r>
    <s v="Language courses &gt; Luxembourg"/>
    <s v="BNT - Polish - Level 08"/>
    <s v="051591-Lang"/>
    <x v="0"/>
    <s v="Yes"/>
    <n v="7"/>
    <d v="2026-09-21T08:30:00"/>
    <d v="2027-01-22T17:30:00"/>
    <d v="2026-05-11T00:00:00"/>
    <s v="487.50 EUR"/>
    <x v="12"/>
  </r>
  <r>
    <s v="Language courses &gt; Luxembourg"/>
    <s v="BNT - Portuguese - Level 01 "/>
    <s v="051523-Lang"/>
    <x v="0"/>
    <s v="Yes"/>
    <n v="20"/>
    <d v="2026-09-21T08:30:00"/>
    <d v="2027-01-22T17:30:00"/>
    <d v="2026-05-18T00:00:00"/>
    <s v="487.50 EUR"/>
    <x v="12"/>
  </r>
  <r>
    <s v="Language courses &gt; Luxembourg"/>
    <s v="BNT - Portuguese - Level 02"/>
    <s v="051518-Lang"/>
    <x v="0"/>
    <s v="Yes"/>
    <n v="21"/>
    <d v="2026-09-21T08:30:00"/>
    <d v="2027-01-22T17:30:00"/>
    <d v="2026-05-21T00:00:00"/>
    <s v="487.50 EUR"/>
    <x v="12"/>
  </r>
  <r>
    <s v="Language courses &gt; Luxembourg"/>
    <s v="BNT - Portuguese - Level 03"/>
    <s v="051543-Lang"/>
    <x v="0"/>
    <s v="Yes"/>
    <n v="20"/>
    <d v="2026-09-21T08:30:00"/>
    <d v="2027-01-22T17:30:00"/>
    <d v="2026-05-21T00:00:00"/>
    <s v="487.50 EUR"/>
    <x v="12"/>
  </r>
  <r>
    <s v="Language courses &gt; Luxembourg"/>
    <s v="BNT - Portuguese - Level 04"/>
    <s v="051548-Lang"/>
    <x v="0"/>
    <s v="Yes"/>
    <n v="12"/>
    <d v="2026-09-21T08:30:00"/>
    <d v="2027-01-22T17:30:00"/>
    <d v="2026-05-21T00:00:00"/>
    <s v="487.50 EUR"/>
    <x v="12"/>
  </r>
  <r>
    <s v="Language courses &gt; Luxembourg"/>
    <s v="BNT - Portuguese - Level 05"/>
    <s v="051533-Lang"/>
    <x v="0"/>
    <s v="Yes"/>
    <n v="18"/>
    <d v="2026-09-21T08:30:00"/>
    <d v="2027-01-22T17:30:00"/>
    <d v="2026-05-21T00:00:00"/>
    <s v="487.50 EUR"/>
    <x v="12"/>
  </r>
  <r>
    <s v="Language courses &gt; Luxembourg"/>
    <s v="BNT - Portuguese - Level 06"/>
    <s v="051536-Lang"/>
    <x v="0"/>
    <s v="Yes"/>
    <n v="12"/>
    <d v="2026-09-21T08:30:00"/>
    <d v="2027-01-22T17:30:00"/>
    <d v="2026-05-21T00:00:00"/>
    <s v="487.50 EUR"/>
    <x v="12"/>
  </r>
  <r>
    <s v="Language courses &gt; Luxembourg"/>
    <s v="BNT - Portuguese - Level 07"/>
    <s v="051538-Lang"/>
    <x v="0"/>
    <s v="Yes"/>
    <n v="14"/>
    <d v="2026-09-21T08:30:00"/>
    <d v="2027-01-22T17:30:00"/>
    <d v="2026-05-19T00:00:00"/>
    <s v="487.50 EUR"/>
    <x v="12"/>
  </r>
  <r>
    <s v="Language courses &gt; Luxembourg"/>
    <s v="BNT - Portuguese - Level 08"/>
    <s v="051551-Lang"/>
    <x v="0"/>
    <s v="Yes"/>
    <n v="9"/>
    <d v="2026-09-21T08:30:00"/>
    <d v="2027-01-22T17:30:00"/>
    <d v="2026-05-18T00:00:00"/>
    <s v="487.50 EUR"/>
    <x v="12"/>
  </r>
  <r>
    <s v="Language courses &gt; Luxembourg"/>
    <s v="BNT - Romanian - Level 01 "/>
    <s v="051556-Lang"/>
    <x v="0"/>
    <s v="Yes"/>
    <n v="4"/>
    <d v="2026-09-21T08:30:00"/>
    <d v="2027-01-22T17:30:00"/>
    <d v="2026-05-21T00:00:00"/>
    <s v="487.50 EUR"/>
    <x v="12"/>
  </r>
  <r>
    <s v="Language courses &gt; Luxembourg"/>
    <s v="BNT - Romanian - Level 02"/>
    <s v="051557-Lang"/>
    <x v="0"/>
    <s v="Yes"/>
    <n v="7"/>
    <d v="2026-09-21T08:30:00"/>
    <d v="2027-01-22T17:30:00"/>
    <d v="2026-05-20T00:00:00"/>
    <s v="487.50 EUR"/>
    <x v="12"/>
  </r>
  <r>
    <s v="Language courses &gt; Luxembourg"/>
    <s v="BNT - Romanian - Level 03"/>
    <s v="051558-Lang"/>
    <x v="0"/>
    <s v="Yes"/>
    <n v="3"/>
    <d v="2026-09-21T08:30:00"/>
    <d v="2027-01-22T17:30:00"/>
    <d v="2026-05-11T00:00:00"/>
    <s v="487.50 EUR"/>
    <x v="12"/>
  </r>
  <r>
    <s v="Language courses &gt; Luxembourg"/>
    <s v="BNT - Romanian - Level 04"/>
    <s v="051600-Lang"/>
    <x v="0"/>
    <s v="Yes"/>
    <n v="1"/>
    <d v="2026-09-21T08:30:00"/>
    <d v="2027-01-22T17:30:00"/>
    <d v="2026-05-19T00:00:00"/>
    <s v="487.50 EUR"/>
    <x v="12"/>
  </r>
  <r>
    <s v="Language courses &gt; Luxembourg"/>
    <s v="BNT - Romanian - Level 05"/>
    <s v="051590-Lang"/>
    <x v="0"/>
    <s v="Yes"/>
    <n v="0"/>
    <d v="2026-09-21T08:30:00"/>
    <d v="2027-01-22T17:30:00"/>
    <d v="2026-01-21T00:00:00"/>
    <s v="487.50 EUR"/>
    <x v="12"/>
  </r>
  <r>
    <s v="Language courses &gt; Luxembourg"/>
    <s v="BNT - Romanian - Level 06"/>
    <s v="051603-Lang"/>
    <x v="0"/>
    <s v="Yes"/>
    <n v="0"/>
    <d v="2026-09-21T08:30:00"/>
    <d v="2027-01-22T17:30:00"/>
    <d v="2026-02-09T00:00:00"/>
    <s v="487.50 EUR"/>
    <x v="12"/>
  </r>
  <r>
    <s v="Language courses &gt; Luxembourg"/>
    <s v="BNT - Romanian - Level 07"/>
    <s v="051592-Lang"/>
    <x v="0"/>
    <s v="Yes"/>
    <n v="5"/>
    <d v="2026-09-21T08:30:00"/>
    <d v="2027-01-22T17:30:00"/>
    <d v="2026-05-20T00:00:00"/>
    <s v="487.50 EUR"/>
    <x v="12"/>
  </r>
  <r>
    <s v="Language courses &gt; Luxembourg"/>
    <s v="BNT - Romanian - Level 08"/>
    <s v="051604-Lang"/>
    <x v="0"/>
    <s v="Yes"/>
    <n v="0"/>
    <d v="2026-09-21T08:30:00"/>
    <d v="2027-01-22T17:30:00"/>
    <d v="2024-06-27T00:00:00"/>
    <s v="487.50 EUR"/>
    <x v="12"/>
  </r>
  <r>
    <s v="Language courses &gt; Luxembourg"/>
    <s v="BNT - Russian - Level 01 "/>
    <s v="051649-Lang"/>
    <x v="0"/>
    <s v="Yes"/>
    <n v="10"/>
    <d v="2026-09-21T08:30:00"/>
    <d v="2027-01-22T17:30:00"/>
    <d v="2026-05-21T00:00:00"/>
    <s v="487.50 EUR"/>
    <x v="12"/>
  </r>
  <r>
    <s v="Language courses &gt; Luxembourg"/>
    <s v="BNT - Russian - Level 02"/>
    <s v="051652-Lang"/>
    <x v="0"/>
    <s v="Yes"/>
    <n v="4"/>
    <d v="2026-09-21T08:30:00"/>
    <d v="2027-01-22T17:30:00"/>
    <d v="2026-05-19T00:00:00"/>
    <s v="487.50 EUR"/>
    <x v="12"/>
  </r>
  <r>
    <s v="Language courses &gt; Luxembourg"/>
    <s v="BNT - Russian - Level 03"/>
    <s v="051655-Lang"/>
    <x v="0"/>
    <s v="Yes"/>
    <n v="5"/>
    <d v="2026-09-21T08:30:00"/>
    <d v="2027-01-22T17:30:00"/>
    <d v="2026-05-21T00:00:00"/>
    <s v="487.50 EUR"/>
    <x v="12"/>
  </r>
  <r>
    <s v="Language courses &gt; Luxembourg"/>
    <s v="BNT - Russian - Level 04"/>
    <s v="051692-Lang"/>
    <x v="0"/>
    <s v="Yes"/>
    <n v="8"/>
    <d v="2026-09-21T08:30:00"/>
    <d v="2027-01-22T17:30:00"/>
    <d v="2026-05-19T00:00:00"/>
    <s v="487.50 EUR"/>
    <x v="12"/>
  </r>
  <r>
    <s v="Language courses &gt; Luxembourg"/>
    <s v="BNT - Russian - Level 05"/>
    <s v="051657-Lang"/>
    <x v="0"/>
    <s v="Yes"/>
    <n v="5"/>
    <d v="2026-09-21T08:30:00"/>
    <d v="2027-01-22T17:30:00"/>
    <d v="2026-05-20T00:00:00"/>
    <s v="487.50 EUR"/>
    <x v="12"/>
  </r>
  <r>
    <s v="Language courses &gt; Luxembourg"/>
    <s v="BNT - Russian - Level 06"/>
    <s v="051659-Lang"/>
    <x v="0"/>
    <s v="Yes"/>
    <n v="2"/>
    <d v="2026-09-21T08:30:00"/>
    <d v="2027-01-22T17:30:00"/>
    <d v="2026-05-11T00:00:00"/>
    <s v="487.50 EUR"/>
    <x v="12"/>
  </r>
  <r>
    <s v="Language courses &gt; Luxembourg"/>
    <s v="BNT - Russian - Level 07"/>
    <s v="051628-Lang"/>
    <x v="0"/>
    <s v="Yes"/>
    <n v="4"/>
    <d v="2026-09-21T08:30:00"/>
    <d v="2027-01-22T17:30:00"/>
    <d v="2026-05-13T00:00:00"/>
    <s v="487.50 EUR"/>
    <x v="12"/>
  </r>
  <r>
    <s v="Language courses &gt; Luxembourg"/>
    <s v="BNT - Russian - Level 08"/>
    <s v="051662-Lang"/>
    <x v="0"/>
    <s v="Yes"/>
    <n v="3"/>
    <d v="2026-09-21T08:30:00"/>
    <d v="2027-01-22T17:30:00"/>
    <d v="2026-05-18T00:00:00"/>
    <s v="487.50 EUR"/>
    <x v="12"/>
  </r>
  <r>
    <s v="Language courses &gt; Luxembourg"/>
    <s v="BNT - Slovak - Level 01 "/>
    <s v="051610-Lang"/>
    <x v="0"/>
    <s v="Yes"/>
    <n v="1"/>
    <d v="2026-09-21T08:30:00"/>
    <d v="2027-01-22T17:30:00"/>
    <d v="2026-05-13T00:00:00"/>
    <s v="487.50 EUR"/>
    <x v="12"/>
  </r>
  <r>
    <s v="Language courses &gt; Luxembourg"/>
    <s v="BNT - Slovak - Level 02"/>
    <s v="051612-Lang"/>
    <x v="0"/>
    <s v="Yes"/>
    <n v="4"/>
    <d v="2026-09-21T08:30:00"/>
    <d v="2027-01-22T17:30:00"/>
    <d v="2026-05-20T00:00:00"/>
    <s v="487.50 EUR"/>
    <x v="12"/>
  </r>
  <r>
    <s v="Language courses &gt; Luxembourg"/>
    <s v="BNT - Slovak - Level 03"/>
    <s v="051616-Lang"/>
    <x v="0"/>
    <s v="Yes"/>
    <n v="2"/>
    <d v="2026-09-21T08:30:00"/>
    <d v="2027-01-22T17:30:00"/>
    <d v="2026-05-20T00:00:00"/>
    <s v="487.50 EUR"/>
    <x v="12"/>
  </r>
  <r>
    <s v="Language courses &gt; Luxembourg"/>
    <s v="BNT - Slovak - Level 04"/>
    <s v="051619-Lang"/>
    <x v="0"/>
    <s v="Yes"/>
    <n v="3"/>
    <d v="2026-09-21T08:30:00"/>
    <d v="2027-01-22T17:30:00"/>
    <d v="2026-05-21T00:00:00"/>
    <s v="487.50 EUR"/>
    <x v="12"/>
  </r>
  <r>
    <s v="Language courses &gt; Luxembourg"/>
    <s v="BNT - Slovak - Level 05"/>
    <s v="051640-Lang"/>
    <x v="0"/>
    <s v="Yes"/>
    <n v="0"/>
    <d v="2026-09-21T08:30:00"/>
    <d v="2027-01-22T17:30:00"/>
    <d v="2024-01-24T00:00:00"/>
    <s v="487.50 EUR"/>
    <x v="12"/>
  </r>
  <r>
    <s v="Language courses &gt; Luxembourg"/>
    <s v="BNT - Slovak - Level 06"/>
    <s v="051623-Lang"/>
    <x v="0"/>
    <s v="Yes"/>
    <n v="0"/>
    <d v="2026-09-21T08:30:00"/>
    <d v="2027-01-22T17:30:00"/>
    <s v=" "/>
    <s v="487.50 EUR"/>
    <x v="12"/>
  </r>
  <r>
    <s v="Language courses &gt; Luxembourg"/>
    <s v="BNT - Slovak - Level 07"/>
    <s v="051644-Lang"/>
    <x v="0"/>
    <s v="Yes"/>
    <n v="0"/>
    <d v="2026-09-21T08:30:00"/>
    <d v="2027-01-22T17:30:00"/>
    <s v=" "/>
    <s v="487.50 EUR"/>
    <x v="12"/>
  </r>
  <r>
    <s v="Language courses &gt; Luxembourg"/>
    <s v="BNT - Slovak - Level 08"/>
    <s v="051646-Lang"/>
    <x v="0"/>
    <s v="Yes"/>
    <n v="1"/>
    <d v="2026-09-21T08:30:00"/>
    <d v="2027-01-22T17:30:00"/>
    <d v="2026-05-11T00:00:00"/>
    <s v="487.50 EUR"/>
    <x v="12"/>
  </r>
  <r>
    <s v="Language courses &gt; Luxembourg"/>
    <s v="BNT - Slovenian - Level 01 "/>
    <s v="051611-Lang"/>
    <x v="0"/>
    <s v="Yes"/>
    <n v="3"/>
    <d v="2026-09-21T08:30:00"/>
    <d v="2027-01-22T17:30:00"/>
    <d v="2026-05-21T00:00:00"/>
    <s v="487.50 EUR"/>
    <x v="12"/>
  </r>
  <r>
    <s v="Language courses &gt; Luxembourg"/>
    <s v="BNT - Slovenian - Level 02"/>
    <s v="051650-Lang"/>
    <x v="0"/>
    <s v="Yes"/>
    <n v="1"/>
    <d v="2026-09-21T08:30:00"/>
    <d v="2027-01-22T17:30:00"/>
    <d v="2026-05-19T00:00:00"/>
    <s v="487.50 EUR"/>
    <x v="12"/>
  </r>
  <r>
    <s v="Language courses &gt; Luxembourg"/>
    <s v="BNT - Slovenian - Level 03"/>
    <s v="051653-Lang"/>
    <x v="0"/>
    <s v="Yes"/>
    <n v="0"/>
    <d v="2026-09-21T08:30:00"/>
    <d v="2027-01-22T17:30:00"/>
    <d v="2026-02-09T00:00:00"/>
    <s v="487.50 EUR"/>
    <x v="12"/>
  </r>
  <r>
    <s v="Language courses &gt; Luxembourg"/>
    <s v="BNT - Slovenian - Level 04"/>
    <s v="051690-Lang"/>
    <x v="0"/>
    <s v="Yes"/>
    <n v="2"/>
    <d v="2026-09-21T08:30:00"/>
    <d v="2027-01-22T17:30:00"/>
    <d v="2026-05-19T00:00:00"/>
    <s v="487.50 EUR"/>
    <x v="12"/>
  </r>
  <r>
    <s v="Language courses &gt; Luxembourg"/>
    <s v="BNT - Slovenian - Level 05"/>
    <s v="051656-Lang"/>
    <x v="0"/>
    <s v="Yes"/>
    <n v="1"/>
    <d v="2026-09-21T08:30:00"/>
    <d v="2027-01-22T17:30:00"/>
    <d v="2026-05-13T00:00:00"/>
    <s v="487.50 EUR"/>
    <x v="12"/>
  </r>
  <r>
    <s v="Language courses &gt; Luxembourg"/>
    <s v="BNT - Slovenian - Level 06"/>
    <s v="051627-Lang"/>
    <x v="0"/>
    <s v="Yes"/>
    <n v="0"/>
    <d v="2026-09-21T08:30:00"/>
    <d v="2027-01-22T17:30:00"/>
    <s v=" "/>
    <s v="487.50 EUR"/>
    <x v="12"/>
  </r>
  <r>
    <s v="Language courses &gt; Luxembourg"/>
    <s v="BNT - Slovenian - Level 07"/>
    <s v="051663-Lang"/>
    <x v="0"/>
    <s v="Yes"/>
    <n v="0"/>
    <d v="2026-09-21T08:30:00"/>
    <d v="2027-01-22T17:30:00"/>
    <s v=" "/>
    <s v="487.50 EUR"/>
    <x v="12"/>
  </r>
  <r>
    <s v="Language courses &gt; Luxembourg"/>
    <s v="BNT - Slovenian - Level 08"/>
    <s v="051664-Lang"/>
    <x v="0"/>
    <s v="Yes"/>
    <n v="0"/>
    <d v="2026-09-21T08:30:00"/>
    <d v="2027-01-22T17:30:00"/>
    <s v=" "/>
    <s v="487.50 EUR"/>
    <x v="12"/>
  </r>
  <r>
    <s v="Language courses &gt; Luxembourg"/>
    <s v="BNT - Spanish - Level 01 "/>
    <s v="051467-Lang"/>
    <x v="0"/>
    <s v="Yes"/>
    <n v="81"/>
    <d v="2026-09-21T08:30:00"/>
    <d v="2027-01-22T17:30:00"/>
    <d v="2026-05-21T00:00:00"/>
    <s v="487.50 EUR"/>
    <x v="12"/>
  </r>
  <r>
    <s v="Language courses &gt; Luxembourg"/>
    <s v="BNT - Spanish - Level 02"/>
    <s v="051471-Lang"/>
    <x v="0"/>
    <s v="Yes"/>
    <n v="70"/>
    <d v="2026-09-21T08:30:00"/>
    <d v="2027-01-22T17:30:00"/>
    <d v="2026-05-20T00:00:00"/>
    <s v="487.50 EUR"/>
    <x v="12"/>
  </r>
  <r>
    <s v="Language courses &gt; Luxembourg"/>
    <s v="BNT - Spanish - Level 03"/>
    <s v="051474-Lang"/>
    <x v="0"/>
    <s v="Yes"/>
    <n v="76"/>
    <d v="2026-09-21T08:30:00"/>
    <d v="2027-01-22T17:30:00"/>
    <d v="2026-05-21T00:00:00"/>
    <s v="487.50 EUR"/>
    <x v="12"/>
  </r>
  <r>
    <s v="Language courses &gt; Luxembourg"/>
    <s v="BNT - Spanish - Level 04"/>
    <s v="051452-Lang"/>
    <x v="0"/>
    <s v="Yes"/>
    <n v="77"/>
    <d v="2026-09-21T08:30:00"/>
    <d v="2027-01-22T17:30:00"/>
    <d v="2026-05-21T00:00:00"/>
    <s v="487.50 EUR"/>
    <x v="12"/>
  </r>
  <r>
    <s v="Language courses &gt; Luxembourg"/>
    <s v="BNT - Spanish - Level 05"/>
    <s v="051453-Lang"/>
    <x v="0"/>
    <s v="Yes"/>
    <n v="69"/>
    <d v="2026-09-21T08:30:00"/>
    <d v="2027-01-22T17:30:00"/>
    <d v="2026-05-20T00:00:00"/>
    <s v="487.50 EUR"/>
    <x v="12"/>
  </r>
  <r>
    <s v="Language courses &gt; Luxembourg"/>
    <s v="BNT - Spanish - Level 06"/>
    <s v="051476-Lang"/>
    <x v="0"/>
    <s v="Yes"/>
    <n v="59"/>
    <d v="2026-09-21T08:30:00"/>
    <d v="2027-01-22T17:30:00"/>
    <d v="2026-05-21T00:00:00"/>
    <s v="487.50 EUR"/>
    <x v="12"/>
  </r>
  <r>
    <s v="Language courses &gt; Luxembourg"/>
    <s v="BNT - Spanish - Level 07"/>
    <s v="051477-Lang"/>
    <x v="0"/>
    <s v="Yes"/>
    <n v="52"/>
    <d v="2026-09-21T08:30:00"/>
    <d v="2027-01-22T17:30:00"/>
    <d v="2026-05-20T00:00:00"/>
    <s v="487.50 EUR"/>
    <x v="12"/>
  </r>
  <r>
    <s v="Language courses &gt; Luxembourg"/>
    <s v="BNT - Spanish - Level 08"/>
    <s v="051456-Lang"/>
    <x v="0"/>
    <s v="Yes"/>
    <n v="53"/>
    <d v="2026-09-21T08:30:00"/>
    <d v="2027-01-22T17:30:00"/>
    <d v="2026-05-21T00:00:00"/>
    <s v="487.50 EUR"/>
    <x v="12"/>
  </r>
  <r>
    <s v="Language courses &gt; Luxembourg"/>
    <s v="BNT - Spanish – Conversation Table - Level A2"/>
    <s v="051751-Lang"/>
    <x v="0"/>
    <s v="Yes"/>
    <n v="2"/>
    <d v="2026-09-21T12:30:00"/>
    <d v="2027-01-22T13:30:00"/>
    <d v="2026-05-20T00:00:00"/>
    <s v="121.87 EUR"/>
    <x v="12"/>
  </r>
  <r>
    <s v="Language courses &gt; Luxembourg"/>
    <s v="BNT - Spanish – Conversation Table - Level B2"/>
    <s v="051757-Lang"/>
    <x v="0"/>
    <s v="Yes"/>
    <n v="25"/>
    <d v="2026-09-21T12:10:00"/>
    <d v="2027-01-22T13:30:00"/>
    <d v="2026-05-21T00:00:00"/>
    <s v="182.81 EUR"/>
    <x v="12"/>
  </r>
  <r>
    <s v="Language courses &gt; Luxembourg"/>
    <s v="BNT - Swedish - Level 01 "/>
    <s v="051486-Lang"/>
    <x v="0"/>
    <s v="Yes"/>
    <n v="6"/>
    <d v="2026-09-21T08:30:00"/>
    <d v="2027-01-22T17:30:00"/>
    <d v="2026-05-19T00:00:00"/>
    <s v="487.50 EUR"/>
    <x v="12"/>
  </r>
  <r>
    <s v="Language courses &gt; Luxembourg"/>
    <s v="BNT - Swedish - Level 02"/>
    <s v="051582-Lang"/>
    <x v="0"/>
    <s v="Yes"/>
    <n v="4"/>
    <d v="2026-09-21T08:30:00"/>
    <d v="2027-01-22T17:30:00"/>
    <d v="2026-05-11T00:00:00"/>
    <s v="487.50 EUR"/>
    <x v="12"/>
  </r>
  <r>
    <s v="Language courses &gt; Luxembourg"/>
    <s v="BNT - Swedish - Level 03"/>
    <s v="051585-Lang"/>
    <x v="0"/>
    <s v="Yes"/>
    <n v="11"/>
    <d v="2026-09-21T08:30:00"/>
    <d v="2027-01-22T17:30:00"/>
    <d v="2026-05-20T00:00:00"/>
    <s v="487.50 EUR"/>
    <x v="12"/>
  </r>
  <r>
    <s v="Language courses &gt; Luxembourg"/>
    <s v="BNT - Swedish - Level 04"/>
    <s v="051593-Lang"/>
    <x v="0"/>
    <s v="Yes"/>
    <n v="3"/>
    <d v="2026-09-21T08:30:00"/>
    <d v="2027-01-22T17:30:00"/>
    <d v="2026-05-16T00:00:00"/>
    <s v="487.50 EUR"/>
    <x v="12"/>
  </r>
  <r>
    <s v="Language courses &gt; Luxembourg"/>
    <s v="BNT - Swedish - Level 05"/>
    <s v="051607-Lang"/>
    <x v="0"/>
    <s v="Yes"/>
    <n v="9"/>
    <d v="2026-09-21T08:30:00"/>
    <d v="2027-01-22T17:30:00"/>
    <d v="2026-05-20T00:00:00"/>
    <s v="487.50 EUR"/>
    <x v="12"/>
  </r>
  <r>
    <s v="Language courses &gt; Luxembourg"/>
    <s v="BNT - Swedish - Level 06"/>
    <s v="051594-Lang"/>
    <x v="0"/>
    <s v="Yes"/>
    <n v="2"/>
    <d v="2026-09-21T08:30:00"/>
    <d v="2027-01-22T17:30:00"/>
    <d v="2026-05-18T00:00:00"/>
    <s v="487.50 EUR"/>
    <x v="12"/>
  </r>
  <r>
    <s v="Language courses &gt; Luxembourg"/>
    <s v="BNT - Swedish - Level 07"/>
    <s v="051595-Lang"/>
    <x v="0"/>
    <s v="Yes"/>
    <n v="0"/>
    <d v="2026-09-21T08:30:00"/>
    <d v="2027-01-22T17:30:00"/>
    <d v="2026-01-24T00:00:00"/>
    <s v="487.50 EUR"/>
    <x v="12"/>
  </r>
  <r>
    <s v="Language courses &gt; Luxembourg"/>
    <s v="BNT - Swedish - Level 08"/>
    <s v="051609-Lang"/>
    <x v="0"/>
    <s v="Yes"/>
    <n v="0"/>
    <d v="2026-09-21T08:30:00"/>
    <d v="2027-01-22T17:30:00"/>
    <d v="2026-03-26T00:00:00"/>
    <s v="487.50 EUR"/>
    <x v="12"/>
  </r>
  <r>
    <s v="Language courses &gt; Luxembourg"/>
    <s v="BNT - Turkish - Level 01 "/>
    <s v="051605-Lang"/>
    <x v="0"/>
    <s v="Yes"/>
    <n v="8"/>
    <d v="2026-09-21T08:30:00"/>
    <d v="2027-01-22T17:30:00"/>
    <d v="2026-05-20T00:00:00"/>
    <s v="487.50 EUR"/>
    <x v="12"/>
  </r>
  <r>
    <s v="Language courses &gt; Luxembourg"/>
    <s v="BNT - Turkish - Level 02"/>
    <s v="051606-Lang"/>
    <x v="0"/>
    <s v="Yes"/>
    <n v="4"/>
    <d v="2026-09-21T08:30:00"/>
    <d v="2027-01-22T17:30:00"/>
    <d v="2026-05-19T00:00:00"/>
    <s v="487.50 EUR"/>
    <x v="12"/>
  </r>
  <r>
    <s v="Language courses &gt; Luxembourg"/>
    <s v="BNT - Turkish - Level 03"/>
    <s v="051613-Lang"/>
    <x v="0"/>
    <s v="Yes"/>
    <n v="0"/>
    <d v="2026-09-21T08:30:00"/>
    <d v="2027-01-22T17:30:00"/>
    <d v="2026-03-22T00:00:00"/>
    <s v="487.50 EUR"/>
    <x v="12"/>
  </r>
  <r>
    <s v="Language courses &gt; Luxembourg"/>
    <s v="BNT - Turkish - Level 04"/>
    <s v="051597-Lang"/>
    <x v="0"/>
    <s v="Yes"/>
    <n v="9"/>
    <d v="2026-09-21T08:30:00"/>
    <d v="2027-01-22T17:30:00"/>
    <d v="2026-05-19T00:00:00"/>
    <s v="487.50 EUR"/>
    <x v="12"/>
  </r>
  <r>
    <s v="Language courses &gt; Luxembourg"/>
    <s v="BNT - Turkish - Level 05"/>
    <s v="051618-Lang"/>
    <x v="0"/>
    <s v="Yes"/>
    <n v="2"/>
    <d v="2026-09-21T08:30:00"/>
    <d v="2027-01-22T17:30:00"/>
    <d v="2026-05-19T00:00:00"/>
    <s v="487.50 EUR"/>
    <x v="12"/>
  </r>
  <r>
    <s v="Language courses &gt; Luxembourg"/>
    <s v="BNT - Turkish - Level 06"/>
    <s v="051598-Lang"/>
    <x v="0"/>
    <s v="Yes"/>
    <n v="1"/>
    <d v="2026-09-21T08:30:00"/>
    <d v="2027-01-22T17:30:00"/>
    <d v="2026-05-12T00:00:00"/>
    <s v="487.50 EUR"/>
    <x v="12"/>
  </r>
  <r>
    <s v="Language courses &gt; Luxembourg"/>
    <s v="BNT - Turkish - Level 07"/>
    <s v="051641-Lang"/>
    <x v="0"/>
    <s v="Yes"/>
    <n v="1"/>
    <d v="2026-09-21T08:30:00"/>
    <d v="2027-01-22T17:30:00"/>
    <d v="2026-05-11T00:00:00"/>
    <s v="487.50 EUR"/>
    <x v="12"/>
  </r>
  <r>
    <s v="Language courses &gt; Luxembourg"/>
    <s v="BNT - Turkish - Level 08"/>
    <s v="051624-Lang"/>
    <x v="0"/>
    <s v="Yes"/>
    <n v="0"/>
    <d v="2026-09-21T08:30:00"/>
    <d v="2027-01-22T17:30:00"/>
    <s v=" "/>
    <s v="487.50 EUR"/>
    <x v="12"/>
  </r>
  <r>
    <s v="Language courses &gt; Luxembourg"/>
    <s v="BNT - Ukrainian - Level 01 "/>
    <s v="062800-Lang"/>
    <x v="0"/>
    <s v="Yes"/>
    <n v="14"/>
    <d v="2026-09-21T08:30:00"/>
    <d v="2027-01-22T17:30:00"/>
    <d v="2026-05-19T00:00:00"/>
    <s v="487.50 EUR"/>
    <x v="12"/>
  </r>
  <r>
    <s v="Language courses &gt; Luxembourg"/>
    <s v="BNT - Ukrainian - Level 02"/>
    <s v="062801-Lang"/>
    <x v="0"/>
    <s v="Yes"/>
    <n v="2"/>
    <d v="2026-09-21T08:30:00"/>
    <d v="2027-01-22T17:30:00"/>
    <d v="2026-05-18T00:00:00"/>
    <s v="487.50 EUR"/>
    <x v="12"/>
  </r>
  <r>
    <s v="Language courses &gt; Luxembourg"/>
    <s v="BNT - Ukrainian - Level 03"/>
    <s v="062802-Lang"/>
    <x v="0"/>
    <s v="Yes"/>
    <n v="3"/>
    <d v="2026-09-21T08:30:00"/>
    <d v="2027-01-22T17:30:00"/>
    <d v="2026-05-12T00:00:00"/>
    <s v="487.50 EUR"/>
    <x v="12"/>
  </r>
  <r>
    <s v="Language courses &gt; Luxembourg"/>
    <s v="BNT - Ukrainian - Level 04"/>
    <s v="062803-Lang"/>
    <x v="0"/>
    <s v="Yes"/>
    <n v="7"/>
    <d v="2026-09-21T08:30:00"/>
    <d v="2027-01-22T17:30:00"/>
    <d v="2026-05-18T00:00:00"/>
    <s v="487.50 EUR"/>
    <x v="12"/>
  </r>
  <r>
    <s v="Language courses &gt; Luxembourg"/>
    <s v="BNT - Ukrainian - Level 05"/>
    <s v="062804-Lang"/>
    <x v="0"/>
    <s v="Yes"/>
    <n v="0"/>
    <d v="2026-09-21T08:30:00"/>
    <d v="2027-01-22T17:30:00"/>
    <s v=" "/>
    <s v="487.50 EUR"/>
    <x v="12"/>
  </r>
  <r>
    <s v="Language courses &gt; Luxembourg"/>
    <s v="BNT - Ukrainian - Level 06"/>
    <s v="062806-Lang"/>
    <x v="0"/>
    <s v="Yes"/>
    <n v="1"/>
    <d v="2026-09-21T08:30:00"/>
    <d v="2027-01-22T17:30:00"/>
    <d v="2026-05-20T00:00:00"/>
    <s v="487.50 EUR"/>
    <x v="12"/>
  </r>
  <r>
    <s v="Language courses &gt; Luxembourg"/>
    <s v="BNT - Ukrainian - Level 07"/>
    <s v="062807-Lang"/>
    <x v="0"/>
    <s v="Yes"/>
    <n v="1"/>
    <d v="2026-09-21T08:30:00"/>
    <d v="2027-01-22T17:30:00"/>
    <d v="2026-05-11T00:00:00"/>
    <s v="487.50 EUR"/>
    <x v="12"/>
  </r>
  <r>
    <s v="Language courses &gt; Luxembourg"/>
    <s v="BNT - Ukrainian - Level 08"/>
    <s v="062808-Lang"/>
    <x v="0"/>
    <s v="Yes"/>
    <n v="1"/>
    <d v="2026-09-21T08:30:00"/>
    <d v="2027-01-22T17:30:00"/>
    <d v="2026-05-19T00:00:00"/>
    <s v="487.50 EUR"/>
    <x v="12"/>
  </r>
  <r>
    <s v="Language courses &gt; Luxembourg"/>
    <s v="ARABIC Placement Test"/>
    <s v="072087-Lang-0005-EN-GB"/>
    <x v="2"/>
    <m/>
    <m/>
    <d v="2025-10-13T08:00:00"/>
    <d v="2026-12-31T23:59:00"/>
    <d v="2026-05-21T00:00:00"/>
    <s v="0.00 EUR"/>
    <x v="12"/>
  </r>
  <r>
    <s v="Language courses &gt; Luxembourg"/>
    <s v="BULGARIAN Placement Test"/>
    <s v="072087-Lang-0004-EN-GB"/>
    <x v="2"/>
    <m/>
    <m/>
    <d v="2025-10-13T08:00:00"/>
    <d v="2026-12-31T23:59:00"/>
    <d v="2026-04-30T00:00:00"/>
    <s v="0.00 EUR"/>
    <x v="12"/>
  </r>
  <r>
    <s v="Language courses &gt; Luxembourg"/>
    <s v="CHINESE Placement Test"/>
    <s v="072087-Lang-0008-EN-GB"/>
    <x v="2"/>
    <m/>
    <m/>
    <d v="2025-10-13T08:00:00"/>
    <d v="2026-12-31T23:59:00"/>
    <d v="2026-05-20T00:00:00"/>
    <s v="0.00 EUR"/>
    <x v="12"/>
  </r>
  <r>
    <s v="Language courses &gt; Luxembourg"/>
    <s v="CROATIAN Placement Test"/>
    <s v="072087-Lang-0020-EN-GB"/>
    <x v="2"/>
    <m/>
    <m/>
    <d v="2025-10-13T08:00:00"/>
    <d v="2026-12-31T23:59:00"/>
    <d v="2026-05-19T00:00:00"/>
    <s v="0.00 EUR"/>
    <x v="12"/>
  </r>
  <r>
    <s v="Language courses &gt; Luxembourg"/>
    <s v="CZECH Placement Test"/>
    <s v="072087-Lang-0015-EN-GB"/>
    <x v="2"/>
    <m/>
    <m/>
    <d v="2025-10-13T08:00:00"/>
    <d v="2026-12-31T23:59:00"/>
    <d v="2026-05-17T00:00:00"/>
    <s v="0.00 EUR"/>
    <x v="12"/>
  </r>
  <r>
    <s v="Language courses &gt; Luxembourg"/>
    <s v="DANISH Placement Test"/>
    <s v="072087-Lang-0013-EN-GB"/>
    <x v="2"/>
    <m/>
    <m/>
    <d v="2025-10-13T08:00:00"/>
    <d v="2026-12-31T23:59:00"/>
    <d v="2026-05-21T00:00:00"/>
    <s v="0.00 EUR"/>
    <x v="12"/>
  </r>
  <r>
    <s v="Language courses &gt; Luxembourg"/>
    <s v="DUTCH Placement Test"/>
    <s v="072087-Lang-0024-EN-GB"/>
    <x v="2"/>
    <m/>
    <m/>
    <d v="2025-10-13T08:00:00"/>
    <d v="2026-12-31T23:59:00"/>
    <d v="2026-05-21T00:00:00"/>
    <s v="0.00 EUR"/>
    <x v="12"/>
  </r>
  <r>
    <s v="Language courses &gt; Luxembourg"/>
    <s v="ENGLISH Placement test"/>
    <s v="072087-Lang-0003-EN-GB"/>
    <x v="2"/>
    <m/>
    <m/>
    <d v="2025-10-13T08:00:00"/>
    <d v="2026-12-31T23:59:00"/>
    <d v="2026-05-21T00:00:00"/>
    <s v="0.00 EUR"/>
    <x v="12"/>
  </r>
  <r>
    <s v="Language courses &gt; Luxembourg"/>
    <s v="ESTONIAN Placement Test"/>
    <s v="072087-Lang-0016-EN-GB"/>
    <x v="2"/>
    <m/>
    <m/>
    <d v="2025-10-13T08:00:00"/>
    <d v="2026-12-31T23:59:00"/>
    <m/>
    <s v="0.00 EUR"/>
    <x v="12"/>
  </r>
  <r>
    <s v="Language courses &gt; Luxembourg"/>
    <s v="FINNISH Placement Test"/>
    <s v="072087-Lang-0017-EN-GB"/>
    <x v="2"/>
    <m/>
    <m/>
    <d v="2025-10-13T08:00:00"/>
    <d v="2026-12-31T23:59:00"/>
    <d v="2026-05-11T00:00:00"/>
    <s v="0.00 EUR"/>
    <x v="12"/>
  </r>
  <r>
    <s v="Language courses &gt; Luxembourg"/>
    <s v="FRENCH Placement Test"/>
    <s v="072087-Lang-0012-EN-GB"/>
    <x v="2"/>
    <m/>
    <m/>
    <d v="2025-10-13T08:00:00"/>
    <d v="2026-12-31T23:59:00"/>
    <d v="2026-05-21T00:00:00"/>
    <s v="0.00 EUR"/>
    <x v="12"/>
  </r>
  <r>
    <s v="Language courses &gt; Luxembourg"/>
    <s v="GERMAN Placement test"/>
    <s v="072087-Lang-0002-EN-GB"/>
    <x v="2"/>
    <m/>
    <m/>
    <d v="2025-10-13T08:00:00"/>
    <d v="2026-12-31T23:59:00"/>
    <d v="2026-05-21T00:00:00"/>
    <s v="0.00 EUR"/>
    <x v="12"/>
  </r>
  <r>
    <s v="Language courses &gt; Luxembourg"/>
    <s v="GREEK Placement Test"/>
    <s v="072087-Lang-0014-EN-GB"/>
    <x v="2"/>
    <m/>
    <m/>
    <d v="2025-10-13T08:00:00"/>
    <d v="2026-12-31T23:59:00"/>
    <d v="2026-05-20T00:00:00"/>
    <s v="0.00 EUR"/>
    <x v="12"/>
  </r>
  <r>
    <s v="Language courses &gt; Luxembourg"/>
    <s v="HUNGARIAN Placement Test"/>
    <s v="072087-Lang-0021-EN-GB"/>
    <x v="2"/>
    <m/>
    <m/>
    <d v="2025-10-13T08:00:00"/>
    <d v="2026-12-31T23:59:00"/>
    <d v="2026-04-20T00:00:00"/>
    <s v="0.00 EUR"/>
    <x v="12"/>
  </r>
  <r>
    <s v="Language courses &gt; Luxembourg"/>
    <s v="IRISH Placement Test"/>
    <s v="072087-Lang-0018-EN-GB"/>
    <x v="2"/>
    <m/>
    <m/>
    <d v="2025-10-13T08:00:00"/>
    <d v="2026-12-31T23:59:00"/>
    <d v="2026-05-20T00:00:00"/>
    <s v="0.00 EUR"/>
    <x v="12"/>
  </r>
  <r>
    <s v="Language courses &gt; Luxembourg"/>
    <s v="ITALIAN Placement Test"/>
    <s v="072087-Lang-0011-EN-GB"/>
    <x v="2"/>
    <m/>
    <m/>
    <d v="2025-10-13T08:00:00"/>
    <d v="2026-12-31T23:59:00"/>
    <d v="2026-05-21T00:00:00"/>
    <s v="0.00 EUR"/>
    <x v="12"/>
  </r>
  <r>
    <s v="Language courses &gt; Luxembourg"/>
    <s v="LATVIAN Placement Test"/>
    <s v="072087-Lang-0023-EN-GB"/>
    <x v="2"/>
    <m/>
    <m/>
    <d v="2025-10-13T08:00:00"/>
    <d v="2026-12-31T23:59:00"/>
    <d v="2026-03-29T00:00:00"/>
    <s v="0.00 EUR"/>
    <x v="12"/>
  </r>
  <r>
    <s v="Language courses &gt; Luxembourg"/>
    <s v="LITHUANIAN Placement Test"/>
    <s v="072087-Lang-0022-EN-GB"/>
    <x v="2"/>
    <m/>
    <m/>
    <d v="2025-10-13T08:00:00"/>
    <d v="2026-12-31T23:59:00"/>
    <d v="2025-11-14T00:00:00"/>
    <s v="0.00 EUR"/>
    <x v="12"/>
  </r>
  <r>
    <s v="Language courses &gt; Luxembourg"/>
    <s v="LUXEMBOURGISH Placement Test"/>
    <s v="072087-Lang-0009-EN-GB"/>
    <x v="2"/>
    <m/>
    <m/>
    <d v="2025-10-13T08:00:00"/>
    <d v="2026-12-31T23:59:00"/>
    <d v="2026-05-20T00:00:00"/>
    <s v="0.00 EUR"/>
    <x v="12"/>
  </r>
  <r>
    <s v="Language courses &gt; Luxembourg"/>
    <s v="MALTESE Placement Test"/>
    <s v="072087-Lang-0025-EN-GB"/>
    <x v="2"/>
    <m/>
    <m/>
    <d v="2025-10-13T08:00:00"/>
    <d v="2026-12-31T23:59:00"/>
    <d v="2026-05-13T00:00:00"/>
    <s v="0.00 EUR"/>
    <x v="12"/>
  </r>
  <r>
    <s v="Language courses &gt; Luxembourg"/>
    <s v="POLISH Placement Test"/>
    <s v="072087-Lang-0026-EN-GB"/>
    <x v="2"/>
    <m/>
    <m/>
    <d v="2025-10-13T08:00:00"/>
    <d v="2026-12-31T23:59:00"/>
    <d v="2026-05-11T00:00:00"/>
    <s v="0.00 EUR"/>
    <x v="12"/>
  </r>
  <r>
    <s v="Language courses &gt; Luxembourg"/>
    <s v="PORTUGUESE Placement Test"/>
    <s v="072087-Lang-0027-EN-GB"/>
    <x v="2"/>
    <m/>
    <m/>
    <d v="2025-10-13T08:00:00"/>
    <d v="2026-12-31T23:59:00"/>
    <d v="2026-05-21T00:00:00"/>
    <s v="0.00 EUR"/>
    <x v="12"/>
  </r>
  <r>
    <s v="Language courses &gt; Luxembourg"/>
    <s v="ROMANIAN Placement Test"/>
    <s v="072087-Lang-0028-EN-GB"/>
    <x v="2"/>
    <m/>
    <m/>
    <d v="2025-10-13T08:00:00"/>
    <d v="2026-12-31T23:59:00"/>
    <d v="2026-05-05T00:00:00"/>
    <s v="0.00 EUR"/>
    <x v="12"/>
  </r>
  <r>
    <s v="Language courses &gt; Luxembourg"/>
    <s v="RUSSIAN Placement Test"/>
    <s v="072087-Lang-0006-EN-GB"/>
    <x v="2"/>
    <m/>
    <m/>
    <d v="2025-10-13T08:00:00"/>
    <d v="2026-12-31T23:59:00"/>
    <d v="2026-05-18T00:00:00"/>
    <s v="0.00 EUR"/>
    <x v="12"/>
  </r>
  <r>
    <s v="Language courses &gt; Luxembourg"/>
    <s v="SLOVAK Placement Test"/>
    <s v="072087-Lang-0030-EN-GB"/>
    <x v="2"/>
    <m/>
    <m/>
    <d v="2025-10-13T08:00:00"/>
    <d v="2026-12-31T23:59:00"/>
    <d v="2026-05-15T00:00:00"/>
    <s v="0.00 EUR"/>
    <x v="12"/>
  </r>
  <r>
    <s v="Language courses &gt; Luxembourg"/>
    <s v="SLOVENIAN Placement Test"/>
    <s v="072087-Lang-0029-EN-GB"/>
    <x v="2"/>
    <m/>
    <m/>
    <d v="2025-10-13T08:00:00"/>
    <d v="2026-12-31T23:59:00"/>
    <d v="2026-05-20T00:00:00"/>
    <s v="0.00 EUR"/>
    <x v="12"/>
  </r>
  <r>
    <s v="Language courses &gt; Luxembourg"/>
    <s v="SPANISH placement test"/>
    <s v="072087-Lang-0001-EN-GB"/>
    <x v="2"/>
    <m/>
    <m/>
    <d v="2025-10-13T08:00:00"/>
    <d v="2026-12-31T23:59:00"/>
    <d v="2026-05-21T00:00:00"/>
    <s v="0.00 EUR"/>
    <x v="12"/>
  </r>
  <r>
    <s v="Language courses &gt; Luxembourg"/>
    <s v="SWEDISH Placement Test"/>
    <s v="072087-Lang-0031-EN-GB"/>
    <x v="2"/>
    <m/>
    <m/>
    <d v="2025-10-13T08:00:00"/>
    <d v="2026-12-31T23:59:00"/>
    <d v="2026-05-18T00:00:00"/>
    <s v="0.00 EUR"/>
    <x v="12"/>
  </r>
  <r>
    <s v="Language courses &gt; Luxembourg"/>
    <s v="TURKISH Placement Test"/>
    <s v="072087-Lang-0007-EN-GB"/>
    <x v="2"/>
    <m/>
    <m/>
    <d v="2025-10-13T08:00:00"/>
    <d v="2026-12-31T23:59:00"/>
    <d v="2026-05-19T00:00:00"/>
    <s v="0.00 EUR"/>
    <x v="12"/>
  </r>
  <r>
    <s v="Language courses &gt; Luxembourg"/>
    <s v="UKRAINIAN Placement Test"/>
    <s v="072087-Lang-0010-EN-GB"/>
    <x v="2"/>
    <m/>
    <m/>
    <d v="2025-10-13T08:00:00"/>
    <d v="2026-12-31T23:59:00"/>
    <d v="2026-05-13T00:00:00"/>
    <s v="0.00 EUR"/>
    <x v="12"/>
  </r>
  <r>
    <s v="Leadership &amp; management"/>
    <s v="More courses on European School of administration (EUSA) catalogue"/>
    <s v="050082-EP-0004-EN-GB"/>
    <x v="2"/>
    <m/>
    <m/>
    <s v="duration of use"/>
    <m/>
    <d v="2025-03-31T00:00:00"/>
    <s v="0.00 EUR"/>
    <x v="13"/>
  </r>
  <r>
    <s v="Leadership &amp; management"/>
    <s v="Essentials of management and ethical leadership in the EP"/>
    <s v="EP_004100"/>
    <x v="1"/>
    <m/>
    <m/>
    <m/>
    <m/>
    <d v="2026-05-14T00:00:00"/>
    <m/>
    <x v="13"/>
  </r>
  <r>
    <s v="Leadership &amp; management &gt; Managing information"/>
    <s v="Demystifying AI: from fundamentals to the future"/>
    <s v="062487-EP"/>
    <x v="0"/>
    <s v="Yes"/>
    <n v="39"/>
    <d v="2026-10-13T09:30:00"/>
    <d v="2026-10-13T17:00:00"/>
    <d v="2026-05-11T00:00:00"/>
    <s v="0.00 EUR"/>
    <x v="13"/>
  </r>
  <r>
    <s v="Leadership &amp; management &gt; Managing people"/>
    <s v="Assessing What Matters: Conducting Insightful Interviews on EP Core Competencies"/>
    <s v="071074-EP"/>
    <x v="0"/>
    <s v="NO"/>
    <m/>
    <d v="2026-02-13T08:00:00"/>
    <d v="2029-07-13T08:00:00"/>
    <s v=" "/>
    <s v="0.00 EUR"/>
    <x v="13"/>
  </r>
  <r>
    <s v="Leadership &amp; management &gt; Managing people"/>
    <s v="Fostering performance as a manager"/>
    <s v="071075-EP"/>
    <x v="0"/>
    <s v="Yes"/>
    <n v="21"/>
    <d v="2026-06-08T09:00:00"/>
    <d v="2026-06-08T12:30:00"/>
    <d v="2026-05-18T00:00:00"/>
    <s v="0.00 EUR"/>
    <x v="13"/>
  </r>
  <r>
    <s v="Leadership &amp; management &gt; Managing people"/>
    <s v="Inclusive leadership at the European Parliament"/>
    <s v="070515-EP"/>
    <x v="0"/>
    <s v="Yes"/>
    <n v="7"/>
    <d v="2026-06-10T09:00:00"/>
    <d v="2026-06-10T17:00:00"/>
    <d v="2026-05-19T00:00:00"/>
    <s v="0.00 EUR"/>
    <x v="13"/>
  </r>
  <r>
    <s v="Leadership &amp; management &gt; Managing people"/>
    <s v="Increasing team collaboration: how effective communication can help"/>
    <s v="037500-EP"/>
    <x v="0"/>
    <s v="Yes"/>
    <n v="56"/>
    <d v="2026-05-05T09:30:00"/>
    <d v="2026-05-05T17:30:00"/>
    <d v="2026-05-06T00:00:00"/>
    <s v="0.00 EUR"/>
    <x v="13"/>
  </r>
  <r>
    <s v="Leadership &amp; management &gt; Managing people"/>
    <s v="Lead your Team - FACE-TO-FACE"/>
    <s v="066042-EUSA"/>
    <x v="0"/>
    <s v="Yes"/>
    <n v="131"/>
    <d v="2026-12-03T09:00:00"/>
    <d v="2026-12-04T17:00:00"/>
    <d v="2026-05-20T00:00:00"/>
    <s v=" EUR"/>
    <x v="13"/>
  </r>
  <r>
    <s v="Leadership &amp; management &gt; Managing people"/>
    <s v="Lead your Team - ONLINE"/>
    <s v="066043-EUSA"/>
    <x v="0"/>
    <s v="Yes"/>
    <n v="135"/>
    <d v="2026-10-19T09:00:00"/>
    <d v="2026-10-22T12:30:00"/>
    <d v="2026-05-19T00:00:00"/>
    <s v=" EUR"/>
    <x v="13"/>
  </r>
  <r>
    <s v="Leadership &amp; management &gt; Managing people"/>
    <s v="Managing Multigenerational Teams: Embracing Diversity for Effective Collaboration"/>
    <s v="071067-EP"/>
    <x v="0"/>
    <s v="Yes"/>
    <n v="16"/>
    <d v="2026-06-30T09:00:00"/>
    <d v="2026-06-30T17:00:00"/>
    <d v="2026-05-21T00:00:00"/>
    <s v="0.00 EUR"/>
    <x v="13"/>
  </r>
  <r>
    <s v="Leadership &amp; management &gt; Managing relations"/>
    <s v="Cultivating psychological safety in your team"/>
    <s v="059740-EP"/>
    <x v="0"/>
    <s v="Yes"/>
    <n v="22"/>
    <d v="2026-06-04T09:00:00"/>
    <d v="2026-06-04T17:00:00"/>
    <d v="2026-05-15T00:00:00"/>
    <s v="0.00 EUR"/>
    <x v="13"/>
  </r>
  <r>
    <s v="Leadership &amp; management &gt; Managing relations"/>
    <s v="Fostering a positive workplace at the EP - Managing staff ethically and preventing harassment situations"/>
    <s v="053823-EP"/>
    <x v="0"/>
    <s v="Yes"/>
    <n v="26"/>
    <d v="2026-06-30T09:15:00"/>
    <d v="2026-06-30T17:30:00"/>
    <d v="2026-05-06T00:00:00"/>
    <s v="0.00 EUR"/>
    <x v="13"/>
  </r>
  <r>
    <s v="Leadership &amp; management &gt; Managing relations"/>
    <s v="Negotiate with impact: influence, resolve, win"/>
    <s v="071398-EP"/>
    <x v="0"/>
    <s v="Yes"/>
    <n v="12"/>
    <d v="2026-09-29T09:30:00"/>
    <d v="2026-09-30T17:30:00"/>
    <d v="2026-05-21T00:00:00"/>
    <s v="0.00 EUR"/>
    <x v="13"/>
  </r>
  <r>
    <s v="Leadership &amp; management &gt; Managing self"/>
    <s v="Cultivating sustainable motivation"/>
    <s v="070180-EP"/>
    <x v="0"/>
    <s v="Yes"/>
    <n v="14"/>
    <d v="2025-12-01T09:30:00"/>
    <d v="2025-12-02T17:00:00"/>
    <d v="2026-05-05T00:00:00"/>
    <s v="0.00 EUR"/>
    <x v="13"/>
  </r>
  <r>
    <s v="Leadership &amp; management &gt; Managing self"/>
    <s v="Incarner un leadership responsable et aligné aujourd'hui : communication, décision et intelligence collective"/>
    <s v="074764-EP"/>
    <x v="0"/>
    <s v="NO"/>
    <m/>
    <d v="2026-03-23T14:00:00"/>
    <d v="2026-03-25T14:00:00"/>
    <d v="2026-03-24T00:00:00"/>
    <s v="0.00 EUR"/>
    <x v="13"/>
  </r>
  <r>
    <s v="Leadership &amp; management &gt; Managing self"/>
    <s v="Individual external coaching"/>
    <s v="058606-EP"/>
    <x v="0"/>
    <s v="Yes"/>
    <n v="29"/>
    <d v="2026-01-01T08:00:00"/>
    <d v="2026-12-31T18:00:00"/>
    <d v="2026-05-20T00:00:00"/>
    <s v="0.00 EUR"/>
    <x v="13"/>
  </r>
  <r>
    <s v="Leadership &amp; management &gt; Managing self"/>
    <s v="Individual internal coaching"/>
    <s v="057000-EP"/>
    <x v="0"/>
    <s v="Yes"/>
    <n v="65"/>
    <d v="2026-01-05T08:00:00"/>
    <d v="2026-12-31T18:00:00"/>
    <d v="2026-05-21T00:00:00"/>
    <s v="0.00 EUR"/>
    <x v="13"/>
  </r>
  <r>
    <s v="Leadership &amp; management &gt; Managing self"/>
    <s v="Leading without the title: developing your leadership influence"/>
    <s v="072349-EP"/>
    <x v="0"/>
    <s v="Yes"/>
    <n v="23"/>
    <d v="2026-11-18T14:00:00"/>
    <d v="2026-11-20T12:30:00"/>
    <d v="2026-04-17T00:00:00"/>
    <s v="0.00 EUR"/>
    <x v="13"/>
  </r>
  <r>
    <s v="Leadership &amp; management &gt; Managing tasks"/>
    <s v="Info-session: HR rules and policies for new Heads of Units"/>
    <s v="071466-EP"/>
    <x v="0"/>
    <s v="Yes"/>
    <n v="8"/>
    <d v="2026-03-26T09:30:00"/>
    <d v="2026-03-26T12:30:00"/>
    <d v="2026-05-05T00:00:00"/>
    <s v="0.00 EUR"/>
    <x v="13"/>
  </r>
  <r>
    <s v="learn.EP catalogue"/>
    <s v="APA Induction: Mandatory online course"/>
    <s v="063081-EP-0006-EN-GB"/>
    <x v="2"/>
    <m/>
    <m/>
    <s v="duration of use"/>
    <m/>
    <d v="2026-05-20T00:00:00"/>
    <s v="0.00 EUR"/>
    <x v="14"/>
  </r>
  <r>
    <s v="MEP &amp; APA training"/>
    <s v="APA Induction: Mandatory online course"/>
    <s v="063081-EP-0006-EN-GB"/>
    <x v="2"/>
    <m/>
    <m/>
    <s v="duration of use"/>
    <m/>
    <d v="2026-05-20T00:00:00"/>
    <s v="0.00 EUR"/>
    <x v="15"/>
  </r>
  <r>
    <s v="MEP &amp; APA training"/>
    <s v="Catalogue of courses for MEPs"/>
    <m/>
    <x v="3"/>
    <m/>
    <m/>
    <m/>
    <m/>
    <m/>
    <m/>
    <x v="15"/>
  </r>
  <r>
    <s v="MEP &amp; APA training"/>
    <s v="Unpacking international trade negotiations – an overview for APAs – the process, the players and the politics"/>
    <s v="070826-EP"/>
    <x v="0"/>
    <s v="Yes"/>
    <n v="21"/>
    <d v="2026-06-05T10:00:00"/>
    <d v="2026-06-05T12:00:00"/>
    <d v="2026-05-21T00:00:00"/>
    <s v="0.00 EUR"/>
    <x v="15"/>
  </r>
  <r>
    <s v="Newcomers &amp; mandatory courses"/>
    <s v="3 hemicycles on Kirchberg"/>
    <s v="070008-EP-0001-EN-GB"/>
    <x v="2"/>
    <m/>
    <m/>
    <s v="duration of use"/>
    <m/>
    <d v="2026-05-19T00:00:00"/>
    <s v="0.00 EUR"/>
    <x v="16"/>
  </r>
  <r>
    <s v="Newcomers &amp; mandatory courses"/>
    <s v="APA Induction: Mandatory online course"/>
    <s v="063081-EP-0006-EN-GB"/>
    <x v="2"/>
    <m/>
    <m/>
    <s v="duration of use"/>
    <m/>
    <d v="2026-05-20T00:00:00"/>
    <s v="0.00 EUR"/>
    <x v="16"/>
  </r>
  <r>
    <s v="Newcomers &amp; mandatory courses"/>
    <s v="Buildings, People &amp; Power: Tour of the European Parliament in Brussels "/>
    <s v="070223-EP"/>
    <x v="0"/>
    <s v="Yes"/>
    <n v="45"/>
    <d v="2026-04-24T11:30:00"/>
    <d v="2026-04-24T13:00:00"/>
    <d v="2026-05-19T00:00:00"/>
    <s v="0.00 EUR"/>
    <x v="16"/>
  </r>
  <r>
    <s v="Newcomers &amp; mandatory courses"/>
    <s v="Corridors, Chambers and Stories: Tour of the European Parliament in Brussels "/>
    <s v="070511-EP"/>
    <x v="0"/>
    <s v="Yes"/>
    <n v="7"/>
    <d v="2026-05-28T14:00:00"/>
    <d v="2026-05-28T15:30:00"/>
    <d v="2026-05-21T00:00:00"/>
    <s v="0.00 EUR"/>
    <x v="16"/>
  </r>
  <r>
    <s v="Newcomers &amp; mandatory courses"/>
    <s v="European Parliament's Induction Programme"/>
    <s v="071127-EP"/>
    <x v="0"/>
    <s v="Yes"/>
    <n v="36"/>
    <d v="2026-06-08T08:30:00"/>
    <d v="2026-06-10T17:30:00"/>
    <d v="2026-05-21T00:00:00"/>
    <s v="0.00 EUR"/>
    <x v="16"/>
  </r>
  <r>
    <s v="Newcomers &amp; mandatory courses"/>
    <s v="Explore the buildings of the European Parliament in Strasbourg"/>
    <s v="028361-EP"/>
    <x v="0"/>
    <s v="Yes"/>
    <n v="13"/>
    <d v="2026-06-16T16:00:00"/>
    <d v="2026-06-16T17:30:00"/>
    <d v="2026-05-19T00:00:00"/>
    <s v="0.00 EUR"/>
    <x v="16"/>
  </r>
  <r>
    <s v="Newcomers &amp; mandatory courses"/>
    <s v="Newcomers Learning Pack"/>
    <s v="EP_002539"/>
    <x v="1"/>
    <m/>
    <m/>
    <m/>
    <m/>
    <d v="2026-05-21T00:00:00"/>
    <m/>
    <x v="16"/>
  </r>
  <r>
    <s v="Newcomers &amp; mandatory courses"/>
    <s v="Representation - 16 stories of women in the European Parliament"/>
    <s v="030180-EP"/>
    <x v="0"/>
    <s v="Yes"/>
    <n v="25"/>
    <d v="2026-11-30T14:15:00"/>
    <d v="2026-11-30T17:45:00"/>
    <d v="2026-05-20T00:00:00"/>
    <s v="0.00 EUR"/>
    <x v="16"/>
  </r>
  <r>
    <s v="Newcomers &amp; mandatory courses"/>
    <s v="Ten things you need to know about the European Parliament"/>
    <s v="054231-EP"/>
    <x v="0"/>
    <s v="Yes"/>
    <n v="79"/>
    <d v="2026-06-23T14:00:00"/>
    <d v="2026-06-23T17:30:00"/>
    <d v="2026-05-18T00:00:00"/>
    <s v="0.00 EUR"/>
    <x v="16"/>
  </r>
  <r>
    <s v="Newcomers &amp; mandatory courses"/>
    <s v="The Louise Weiss building of the European Parliament in Strasbourg"/>
    <s v="049492-EP"/>
    <x v="0"/>
    <s v="Yes"/>
    <n v="18"/>
    <d v="2026-06-17T14:00:00"/>
    <d v="2026-06-17T15:30:00"/>
    <d v="2026-05-21T00:00:00"/>
    <s v="0.00 EUR"/>
    <x v="16"/>
  </r>
  <r>
    <s v="Onboarding learning paths &gt; ADM"/>
    <s v="Onboarding path for Human resources assistant"/>
    <s v="EP_003721"/>
    <x v="1"/>
    <m/>
    <m/>
    <m/>
    <m/>
    <d v="2026-05-15T00:00:00"/>
    <m/>
    <x v="17"/>
  </r>
  <r>
    <s v="Onboarding learning paths &gt; ADM"/>
    <s v="Onboarding path for Secretary"/>
    <s v="EP_003720"/>
    <x v="1"/>
    <m/>
    <m/>
    <m/>
    <m/>
    <d v="2026-05-06T00:00:00"/>
    <m/>
    <x v="17"/>
  </r>
  <r>
    <s v="Onboarding learning paths &gt; ADM"/>
    <s v="Onboarding path for Senior Clerical Officer"/>
    <s v="EP_003719"/>
    <x v="1"/>
    <m/>
    <m/>
    <m/>
    <m/>
    <d v="2025-10-31T00:00:00"/>
    <m/>
    <x v="17"/>
  </r>
  <r>
    <s v="Onboarding learning paths &gt; FIN"/>
    <s v="Onboarding for Financial Officer"/>
    <s v="EP_003659"/>
    <x v="1"/>
    <m/>
    <m/>
    <m/>
    <m/>
    <d v="2026-03-18T00:00:00"/>
    <m/>
    <x v="17"/>
  </r>
  <r>
    <s v="Onboarding learning paths &gt; FIN"/>
    <s v="Onboarding path for Financial Adminstrator"/>
    <s v="EP_003741"/>
    <x v="1"/>
    <m/>
    <m/>
    <m/>
    <m/>
    <d v="2026-04-21T00:00:00"/>
    <m/>
    <x v="17"/>
  </r>
  <r>
    <s v="Onboarding learning paths &gt; INF"/>
    <s v="Onboarding paths for ICT Applications Officer"/>
    <s v="EP_003679"/>
    <x v="1"/>
    <m/>
    <m/>
    <m/>
    <m/>
    <d v="2026-04-10T00:00:00"/>
    <m/>
    <x v="17"/>
  </r>
  <r>
    <s v="Onboarding learning paths &gt; INF"/>
    <s v="Onboarding paths for ICT Engineering Specialist"/>
    <s v="EP_003699"/>
    <x v="1"/>
    <m/>
    <m/>
    <m/>
    <m/>
    <d v="2026-05-07T00:00:00"/>
    <m/>
    <x v="17"/>
  </r>
  <r>
    <s v="Onboarding learning paths &gt; LING"/>
    <s v="Onboarding for Intercultural and Language Professional (Dir B)"/>
    <s v="EP_003642"/>
    <x v="1"/>
    <m/>
    <m/>
    <m/>
    <m/>
    <d v="2025-08-28T00:00:00"/>
    <m/>
    <x v="17"/>
  </r>
  <r>
    <s v="Onboarding learning paths &gt; LING"/>
    <s v="Onboarding for Legal Language Professionals"/>
    <s v="EP_003579"/>
    <x v="1"/>
    <m/>
    <m/>
    <m/>
    <m/>
    <d v="2025-02-05T00:00:00"/>
    <m/>
    <x v="17"/>
  </r>
  <r>
    <s v="Onboarding learning paths &gt; PARL"/>
    <s v="Onboarding for Legislative File Manager"/>
    <s v="EP_005940"/>
    <x v="1"/>
    <m/>
    <m/>
    <m/>
    <m/>
    <d v="2026-05-07T00:00:00"/>
    <m/>
    <x v="17"/>
  </r>
  <r>
    <s v="Onboarding learning paths &gt; PARL"/>
    <s v="Onboarding path for Parliamentary File Manager"/>
    <s v="EP_003722"/>
    <x v="1"/>
    <m/>
    <m/>
    <m/>
    <m/>
    <d v="2026-03-24T00:00:00"/>
    <m/>
    <x v="17"/>
  </r>
  <r>
    <s v="Onboarding learning paths &gt; PARL"/>
    <s v="Onboarding path for Parliamentary File Secretary"/>
    <s v="EP_003723"/>
    <x v="1"/>
    <m/>
    <m/>
    <m/>
    <m/>
    <m/>
    <m/>
    <x v="17"/>
  </r>
  <r>
    <s v="Wellbeing"/>
    <s v="European Mental Health Week 2026"/>
    <s v="070836-EP"/>
    <x v="0"/>
    <s v="Yes"/>
    <n v="2"/>
    <d v="2026-05-08T09:15:00"/>
    <d v="2026-05-08T13:00:00"/>
    <d v="2026-05-20T00:00:00"/>
    <s v="0.00 EUR"/>
    <x v="18"/>
  </r>
  <r>
    <s v="Wellbeing"/>
    <s v="How to stay fit while working at your desk: ergonomic training for healthy work practices"/>
    <s v="033860-EP"/>
    <x v="0"/>
    <s v="Yes"/>
    <n v="35"/>
    <d v="2026-06-25T09:30:00"/>
    <d v="2026-06-25T12:30:00"/>
    <d v="2026-05-18T00:00:00"/>
    <s v="0.00 EUR"/>
    <x v="18"/>
  </r>
  <r>
    <s v="Wellbeing"/>
    <s v="Listen, speak and support as a mentor "/>
    <s v="065992-EP"/>
    <x v="0"/>
    <s v="Yes"/>
    <n v="17"/>
    <d v="2026-11-19T09:00:00"/>
    <d v="2026-11-19T17:00:00"/>
    <d v="2026-05-20T00:00:00"/>
    <s v="0.00 EUR"/>
    <x v="18"/>
  </r>
  <r>
    <s v="Wellbeing"/>
    <s v="Mental Health First Aid course"/>
    <s v="070785-EP"/>
    <x v="0"/>
    <s v="NO"/>
    <m/>
    <d v="2025-04-23T08:00:00"/>
    <d v="2029-07-31T08:00:00"/>
    <s v=" "/>
    <s v="0.00 EUR"/>
    <x v="18"/>
  </r>
  <r>
    <s v="Wellbeing"/>
    <s v="Navigate your emotional intelligence"/>
    <s v="062202-EP"/>
    <x v="0"/>
    <s v="Yes"/>
    <n v="37"/>
    <d v="2026-12-03T09:30:00"/>
    <d v="2026-12-03T17:00:00"/>
    <d v="2026-05-20T00:00:00"/>
    <s v="0.00 EUR"/>
    <x v="18"/>
  </r>
  <r>
    <s v="Wellbeing"/>
    <s v="Preventing harassment "/>
    <s v="070380-EP"/>
    <x v="0"/>
    <s v="NO"/>
    <m/>
    <d v="2025-03-11T08:00:00"/>
    <d v="2029-07-31T08:00:00"/>
    <s v=" "/>
    <s v="0.00 EUR"/>
    <x v="18"/>
  </r>
  <r>
    <s v="Wellbeing"/>
    <s v="Resilience Masterclass"/>
    <s v="069284-EP"/>
    <x v="0"/>
    <s v="Yes"/>
    <n v="30"/>
    <d v="2025-04-10T12:30:00"/>
    <d v="2025-04-10T14:00:00"/>
    <d v="2026-04-13T00:00:00"/>
    <s v="0.00 EUR"/>
    <x v="18"/>
  </r>
  <r>
    <s v="Wellbeing"/>
    <s v="Resilience at Work: Boost your resilience and thrive under pressure"/>
    <s v="064285-EP"/>
    <x v="0"/>
    <s v="Yes"/>
    <n v="25"/>
    <d v="2026-11-10T09:00:00"/>
    <d v="2026-11-26T17:00:00"/>
    <d v="2026-05-21T00:00:00"/>
    <s v="0.00 EUR"/>
    <x v="18"/>
  </r>
  <r>
    <s v="Wellbeing"/>
    <s v="Velomai 2026"/>
    <s v="070317-Be Well"/>
    <x v="0"/>
    <s v="NO"/>
    <m/>
    <d v="2026-06-13T09:00:00"/>
    <d v="2026-06-14T18:00:00"/>
    <d v="2026-05-21T00:00:00"/>
    <s v="0.00 EUR"/>
    <x v="18"/>
  </r>
  <r>
    <s v="Wellbeing"/>
    <s v="Your mind at work"/>
    <s v="071521-EP"/>
    <x v="0"/>
    <s v="Yes"/>
    <n v="14"/>
    <d v="2026-01-13T09:00:00"/>
    <d v="2026-03-10T10:30:00"/>
    <d v="2026-05-20T00:00:00"/>
    <s v="0.00 EUR"/>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78998B-AC6B-4205-80E1-496039B1621B}" name="PivotTable1" cacheId="5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7" firstHeaderRow="1" firstDataRow="1" firstDataCol="1"/>
  <pivotFields count="11">
    <pivotField showAll="0"/>
    <pivotField dataField="1"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Objec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FCA744-AD34-46E4-A106-FA0B7266CF6F}" name="PivotTable2" cacheId="5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D5" firstHeaderRow="1" firstDataRow="1" firstDataCol="2"/>
  <pivotFields count="11">
    <pivotField axis="axisRow" dataField="1" compact="0" outline="0" showAll="0">
      <items count="80">
        <item x="0"/>
        <item x="1"/>
        <item x="2"/>
        <item x="3"/>
        <item m="1" x="74"/>
        <item m="1" x="75"/>
        <item m="1" x="76"/>
        <item m="1" x="77"/>
        <item x="8"/>
        <item x="9"/>
        <item x="10"/>
        <item x="11"/>
        <item x="12"/>
        <item x="13"/>
        <item x="14"/>
        <item x="15"/>
        <item x="16"/>
        <item x="17"/>
        <item x="18"/>
        <item x="19"/>
        <item x="20"/>
        <item x="21"/>
        <item x="22"/>
        <item x="23"/>
        <item x="25"/>
        <item x="26"/>
        <item x="27"/>
        <item x="28"/>
        <item x="29"/>
        <item x="30"/>
        <item x="31"/>
        <item x="32"/>
        <item x="33"/>
        <item x="34"/>
        <item x="35"/>
        <item x="36"/>
        <item x="38"/>
        <item x="40"/>
        <item x="42"/>
        <item x="43"/>
        <item x="44"/>
        <item x="45"/>
        <item x="46"/>
        <item x="48"/>
        <item x="49"/>
        <item x="50"/>
        <item x="51"/>
        <item x="52"/>
        <item x="53"/>
        <item x="54"/>
        <item x="56"/>
        <item x="57"/>
        <item x="58"/>
        <item x="59"/>
        <item x="60"/>
        <item x="61"/>
        <item x="62"/>
        <item x="63"/>
        <item x="64"/>
        <item x="65"/>
        <item x="66"/>
        <item x="67"/>
        <item x="68"/>
        <item x="69"/>
        <item x="70"/>
        <item x="71"/>
        <item m="1" x="78"/>
        <item x="73"/>
        <item x="5"/>
        <item x="6"/>
        <item x="47"/>
        <item x="4"/>
        <item x="7"/>
        <item x="72"/>
        <item x="55"/>
        <item x="24"/>
        <item x="37"/>
        <item x="39"/>
        <item x="4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sd="0" x="0"/>
        <item sd="0" x="1"/>
        <item sd="0" m="1" x="2"/>
        <item t="default"/>
      </items>
    </pivotField>
    <pivotField compact="0" outline="0" showAll="0"/>
  </pivotFields>
  <rowFields count="2">
    <field x="9"/>
    <field x="0"/>
  </rowFields>
  <rowItems count="3">
    <i>
      <x/>
    </i>
    <i>
      <x v="1"/>
    </i>
    <i t="grand">
      <x/>
    </i>
  </rowItems>
  <colItems count="1">
    <i/>
  </colItems>
  <dataFields count="1">
    <dataField name="Count of Full catalogue path"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46263-8974-4F3F-9955-8F7C03DFF7AA}" name="PivotTable3" cacheId="5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L22" firstHeaderRow="1" firstDataRow="1" firstDataCol="1"/>
  <pivotFields count="11">
    <pivotField showAll="0"/>
    <pivotField dataField="1" showAll="0"/>
    <pivotField showAll="0"/>
    <pivotField showAll="0">
      <items count="5">
        <item x="2"/>
        <item x="0"/>
        <item x="1"/>
        <item x="3"/>
        <item t="default"/>
      </items>
    </pivotField>
    <pivotField showAll="0"/>
    <pivotField showAll="0"/>
    <pivotField showAll="0"/>
    <pivotField showAll="0"/>
    <pivotField showAll="0"/>
    <pivotField showAll="0"/>
    <pivotField axis="axisRow" showAll="0">
      <items count="20">
        <item x="0"/>
        <item x="1"/>
        <item x="2"/>
        <item x="3"/>
        <item x="4"/>
        <item x="5"/>
        <item x="6"/>
        <item x="7"/>
        <item x="8"/>
        <item x="9"/>
        <item x="10"/>
        <item x="11"/>
        <item x="12"/>
        <item x="13"/>
        <item x="14"/>
        <item x="15"/>
        <item x="16"/>
        <item x="17"/>
        <item x="18"/>
        <item t="default"/>
      </items>
    </pivotField>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Objec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8E56E9-6EA4-41F3-A9D3-79D07B148D7F}" name="PivotTable1" cacheId="5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C77" firstHeaderRow="1" firstDataRow="1" firstDataCol="1"/>
  <pivotFields count="11">
    <pivotField axis="axisRow" compact="0" outline="0" showAll="0" sortType="ascending">
      <items count="80">
        <item x="0"/>
        <item x="1"/>
        <item x="2"/>
        <item x="3"/>
        <item m="1" x="74"/>
        <item m="1" x="75"/>
        <item m="1" x="76"/>
        <item m="1" x="77"/>
        <item x="4"/>
        <item x="5"/>
        <item x="6"/>
        <item x="7"/>
        <item x="8"/>
        <item x="9"/>
        <item x="10"/>
        <item x="11"/>
        <item x="12"/>
        <item x="13"/>
        <item x="14"/>
        <item x="15"/>
        <item x="16"/>
        <item x="39"/>
        <item x="24"/>
        <item x="17"/>
        <item x="18"/>
        <item x="19"/>
        <item x="20"/>
        <item x="21"/>
        <item x="22"/>
        <item x="23"/>
        <item x="25"/>
        <item x="26"/>
        <item x="27"/>
        <item x="28"/>
        <item x="29"/>
        <item x="30"/>
        <item x="31"/>
        <item x="32"/>
        <item x="33"/>
        <item x="34"/>
        <item x="35"/>
        <item x="36"/>
        <item x="38"/>
        <item x="41"/>
        <item x="40"/>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m="1" x="78"/>
        <item x="73"/>
        <item x="37"/>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75">
    <i>
      <x/>
    </i>
    <i>
      <x v="1"/>
    </i>
    <i>
      <x v="2"/>
    </i>
    <i>
      <x v="3"/>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7"/>
    </i>
    <i>
      <x v="78"/>
    </i>
    <i t="grand">
      <x/>
    </i>
  </rowItems>
  <colItems count="1">
    <i/>
  </colItems>
  <dataFields count="1">
    <dataField name="Count of Objec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3CE252-1ED8-4EB5-A408-2F8CA0716A77}" name="Table2" displayName="Table2" ref="A1:M534" totalsRowShown="0">
  <autoFilter ref="A1:M534" xr:uid="{163CE252-1ED8-4EB5-A408-2F8CA0716A77}"/>
  <tableColumns count="13">
    <tableColumn id="3" xr3:uid="{1F6DB8D9-149E-4FDD-A7BD-9C4BE1773E91}" name="Object identification code"/>
    <tableColumn id="1" xr3:uid="{2920A944-3D35-4BA5-9CC9-780F273CDA9E}" name="Helper colum" dataDxfId="35">
      <calculatedColumnFormula>Table2[[#This Row],[Object identification code]]&amp;" "&amp;Table2[[#This Row],[Full catalogue path]]&amp;" "&amp;Table2[[#This Row],[Object name]]</calculatedColumnFormula>
    </tableColumn>
    <tableColumn id="12" xr3:uid="{BF62294D-F93C-4991-9B39-16F12898709B}" name="Column1" dataDxfId="34">
      <calculatedColumnFormula>Table2[[#This Row],[Object identification code]]&amp;" "&amp;Table2[[#This Row],[Full catalogue path]]</calculatedColumnFormula>
    </tableColumn>
    <tableColumn id="11" xr3:uid="{FD2E7100-7D08-4F3B-BA83-573200E3441F}" name="Full catalogue path"/>
    <tableColumn id="2" xr3:uid="{668CBBB0-1BD0-4C5C-8BD1-A598234A9DE2}" name="Object name"/>
    <tableColumn id="4" xr3:uid="{DC6E30FA-B6C4-4DE7-AA65-11799D6E32BA}" name="Object type"/>
    <tableColumn id="5" xr3:uid="{423980D2-6E7A-4AB1-AD4E-1937F65FA010}" name="EOI allowed"/>
    <tableColumn id="6" xr3:uid="{5BB117DF-A148-4198-9B00-05A0D66F1FF5}" name="Number of current EOIs"/>
    <tableColumn id="7" xr3:uid="{0E183805-4302-4062-B0A6-AD8C1AFB9A04}" name="(Max.) Course start date" dataDxfId="33"/>
    <tableColumn id="8" xr3:uid="{43C55C3C-15DD-4401-A9B9-ED2999B21EBF}" name="(Max.) Course end date" dataDxfId="32"/>
    <tableColumn id="9" xr3:uid="{DBCE0FD6-59B6-4DA5-BC70-CD45F6EAA79B}" name="Latest enrolment/EOI" dataDxfId="31"/>
    <tableColumn id="13" xr3:uid="{EFC961FE-213D-42D4-9EF2-C65478D26DEF}" name="Column2" dataDxfId="30">
      <calculatedColumnFormula>VLOOKUP(Table2[[#This Row],[Helper colum]],Table1[],1,FALSE)</calculatedColumnFormula>
    </tableColumn>
    <tableColumn id="14" xr3:uid="{F16D2E3B-C42D-4EAF-B532-B6B777B9C165}" name="Column3" dataDxfId="29">
      <calculatedColumnFormula>VLOOKUP(Table2[[#This Row],[Column1]],#REF!,1,FALSE)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K603" totalsRowShown="0">
  <autoFilter ref="A2:K603" xr:uid="{00000000-0009-0000-0100-000001000000}">
    <filterColumn colId="9">
      <filters>
        <filter val="Yes"/>
      </filters>
    </filterColumn>
  </autoFilter>
  <sortState xmlns:xlrd2="http://schemas.microsoft.com/office/spreadsheetml/2017/richdata2" ref="A3:K603">
    <sortCondition ref="A2:A603"/>
  </sortState>
  <tableColumns count="11">
    <tableColumn id="12" xr3:uid="{DB8C6AB6-889D-494B-8536-9D9B2FF01B30}" name="Full catalogue path"/>
    <tableColumn id="2" xr3:uid="{00000000-0010-0000-0000-000002000000}" name="Object name"/>
    <tableColumn id="3" xr3:uid="{00000000-0010-0000-0000-000003000000}" name="Object identification code"/>
    <tableColumn id="4" xr3:uid="{00000000-0010-0000-0000-000004000000}" name="Object type"/>
    <tableColumn id="5" xr3:uid="{00000000-0010-0000-0000-000005000000}" name="EOI allowed"/>
    <tableColumn id="6" xr3:uid="{00000000-0010-0000-0000-000006000000}" name="Number of current EOIs"/>
    <tableColumn id="7" xr3:uid="{00000000-0010-0000-0000-000007000000}" name="(Max.) Course start date" dataDxfId="26"/>
    <tableColumn id="8" xr3:uid="{00000000-0010-0000-0000-000008000000}" name="(Max.) Course end date" dataDxfId="25"/>
    <tableColumn id="9" xr3:uid="{00000000-0010-0000-0000-000009000000}" name="Latest enrolment/EOI" dataDxfId="24"/>
    <tableColumn id="10" xr3:uid="{00000000-0010-0000-0000-00000A000000}" name="Course should be included"/>
    <tableColumn id="11" xr3:uid="{E3651225-66F9-458E-AA99-9A3B0ECF1897}"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C5B7EA-8707-44E8-BFA9-6F989A408F26}" name="Table4" displayName="Table4" ref="A1:A13" totalsRowShown="0" headerRowDxfId="23" dataDxfId="22">
  <autoFilter ref="A1:A13" xr:uid="{26C5B7EA-8707-44E8-BFA9-6F989A408F26}"/>
  <tableColumns count="1">
    <tableColumn id="1" xr3:uid="{D7AFC502-AC13-4E68-8FCD-EBC2C6DDFFE7}" name="EU Learn Text" dataDxfId="21"/>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6F6F52-D5DB-4268-907F-622F77A38792}" name="Table3" displayName="Table3" ref="A12:K1095" totalsRowShown="0">
  <autoFilter ref="A12:K1095" xr:uid="{686F6F52-D5DB-4268-907F-622F77A38792}"/>
  <sortState xmlns:xlrd2="http://schemas.microsoft.com/office/spreadsheetml/2017/richdata2" ref="A13:K1095">
    <sortCondition ref="A12:A1095"/>
  </sortState>
  <tableColumns count="11">
    <tableColumn id="1" xr3:uid="{4D44FFFE-4832-4F45-BD63-7FB1E5B02E28}" name="Full catalogue path"/>
    <tableColumn id="2" xr3:uid="{85C64600-F03C-43F9-96C2-8B090CCDD276}" name="Object name"/>
    <tableColumn id="3" xr3:uid="{F57EE00A-A681-4054-882F-3759A9774373}" name="Object identification code"/>
    <tableColumn id="4" xr3:uid="{4828329F-70A8-4F03-9001-1A25046EE4CE}" name="Object type"/>
    <tableColumn id="5" xr3:uid="{ECBE47BD-9EF2-4443-9ED3-651C678C1E20}" name="EOI allowed"/>
    <tableColumn id="6" xr3:uid="{14457CBD-3746-408E-9351-BA84F10A6064}" name="Number of current EOIs"/>
    <tableColumn id="7" xr3:uid="{50CB1479-C6F9-4C44-ABE0-5E6FA1E83F4B}" name="(Max.) Course start date" dataDxfId="20"/>
    <tableColumn id="8" xr3:uid="{B3FABBA8-93E3-48F2-A2BF-1B107E10C8DA}" name="(Max.) Course end date" dataDxfId="19"/>
    <tableColumn id="9" xr3:uid="{34721A66-9B2C-4ACB-B4F3-21746E845CF7}" name="Latest enrolment/EOI" dataDxfId="18"/>
    <tableColumn id="10" xr3:uid="{BD06EB68-13BF-46A8-8921-7853AB3815D6}" name="Price if training centre is not your institution"/>
    <tableColumn id="13" xr3:uid="{66203D35-F1B6-46D0-B425-594CB890EB5D}" name="Main catalogue folder"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D05877-4D05-4012-AB91-2369834111C5}" name="Table5" displayName="Table5" ref="A12:J565" totalsRowShown="0" dataDxfId="16">
  <autoFilter ref="A12:J565" xr:uid="{72D05877-4D05-4012-AB91-2369834111C5}"/>
  <tableColumns count="10">
    <tableColumn id="1" xr3:uid="{39D3F9FB-D7DE-49BC-83AA-DCF14E3B1585}" name="Full catalogue path" dataDxfId="15"/>
    <tableColumn id="2" xr3:uid="{58F94E62-C8F5-447E-99D8-801D01A88632}" name="Object name" dataDxfId="14"/>
    <tableColumn id="3" xr3:uid="{72CFD79F-8B92-4530-B5C0-B4E187410EF9}" name="Object identification code" dataDxfId="13"/>
    <tableColumn id="4" xr3:uid="{75AFA283-25B6-4550-9392-C146897EEC73}" name="Object type" dataDxfId="12"/>
    <tableColumn id="5" xr3:uid="{11E3E2F8-BF26-4F5C-84EB-C1982A1098BF}" name="EOI allowed" dataDxfId="11"/>
    <tableColumn id="6" xr3:uid="{BD5E5FBD-65D0-4AC2-988C-4FAB8B0B957A}" name="Number of current EOIs" dataDxfId="10"/>
    <tableColumn id="7" xr3:uid="{A7EA755B-A937-4EBF-9C4B-485D418EB5CC}" name="(Max.) Course start date" dataDxfId="9"/>
    <tableColumn id="8" xr3:uid="{D272EDA9-E9E1-4BCA-9785-E165EEFD0FFE}" name="(Max.) Course end date" dataDxfId="8"/>
    <tableColumn id="9" xr3:uid="{FB1D1593-BEDC-4347-BBC4-DD335436012D}" name="Latest enrolment/EOI" dataDxfId="7"/>
    <tableColumn id="10" xr3:uid="{1E8A9AA9-096F-49A5-8E0A-6ED8E92C89E7}" name="Price if training centre is not your institution"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B22861-D4EC-4E01-9DD2-E232ED3514F1}" name="Table6" displayName="Table6" ref="A12:N655" totalsRowShown="0">
  <autoFilter ref="A12:N655" xr:uid="{3CB22861-D4EC-4E01-9DD2-E232ED3514F1}"/>
  <sortState xmlns:xlrd2="http://schemas.microsoft.com/office/spreadsheetml/2017/richdata2" ref="A13:N655">
    <sortCondition ref="C12:C655"/>
  </sortState>
  <tableColumns count="14">
    <tableColumn id="1" xr3:uid="{4ABA35D2-7BA5-4DCA-BE1E-ED14DBA46CF6}" name="Full catalogue path"/>
    <tableColumn id="2" xr3:uid="{ADC90141-7A68-46CA-A965-ECA19ACD20D8}" name="Object name"/>
    <tableColumn id="3" xr3:uid="{66FC5831-FD5A-4DBD-A601-1BEB246DA3ED}" name="Object identification code"/>
    <tableColumn id="4" xr3:uid="{D9B19159-8EEB-4873-ADDD-AC5B5EC54BFA}" name="Object type"/>
    <tableColumn id="5" xr3:uid="{45151FFF-C3AD-4923-91D2-DBB41F81C47A}" name="EOI allowed"/>
    <tableColumn id="6" xr3:uid="{5A636A0E-DDF6-40BC-8A94-1A0911A4055B}" name="Number of current EOIs"/>
    <tableColumn id="7" xr3:uid="{4996F4BE-DE97-4BB1-BC08-E9D7F506B594}" name="(Max.) Course start date" dataDxfId="4"/>
    <tableColumn id="8" xr3:uid="{30AF7689-7F9C-40D0-BF3C-73A84EED4BFD}" name="(Max.) Course end date" dataDxfId="3"/>
    <tableColumn id="9" xr3:uid="{550666F3-8191-45BF-984C-3AE75281BC06}" name="Latest enrolment/EOI" dataDxfId="2"/>
    <tableColumn id="10" xr3:uid="{62060E21-FB87-4136-9234-46EDCF774EB5}" name="Price if training centre is not your institution"/>
    <tableColumn id="13" xr3:uid="{73132BB4-CA74-4B52-8778-C9F5ECB7DC0E}" name="Shortened template ID" dataDxfId="1"/>
    <tableColumn id="12" xr3:uid="{B08A731E-E254-4249-8BF3-EA0B713967F8}" name="Likely responsible course manager" dataDxfId="0"/>
    <tableColumn id="11" xr3:uid="{C94A08D3-FB8A-49D3-B4F1-2135FBCCBEB3}" name="Comment"/>
    <tableColumn id="14" xr3:uid="{E90F024A-2D55-431B-B4FE-B45BB788046A}" name="Decis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4" dT="2026-03-09T14:24:00.51" personId="{76B72B18-3AEB-4D11-8EEC-5E72D2F46F74}" id="{8CBFA795-C547-4FDE-9147-ACF8DD97A413}">
    <text>Change the title - remove "Entry-level" and "training". Ana to talk with Sue.</text>
  </threadedComment>
  <threadedComment ref="K5" dT="2026-02-03T15:45:39.67" personId="{76B72B18-3AEB-4D11-8EEC-5E72D2F46F74}" id="{627CD0B8-B685-4D13-9F93-08462CB5BDB3}" done="1">
    <text>@DILLON Karen please remove one template from the catalogue. Location can be set up on course level.</text>
    <mentions>
      <mention mentionpersonId="{EC36668F-21A6-4AE2-BE66-C108283A1032}" mentionId="{D96EF818-2BDB-4B99-A606-618DA14CA4D8}" startIndex="0" length="13"/>
    </mentions>
  </threadedComment>
  <threadedComment ref="K5" dT="2026-02-09T10:28:01.65" personId="{76B72B18-3AEB-4D11-8EEC-5E72D2F46F74}" id="{7A597710-ABB0-457B-82F1-23E5408BC605}" parentId="{627CD0B8-B685-4D13-9F93-08462CB5BDB3}">
    <text>@DILLON Karen please let me know if you need help</text>
    <mentions>
      <mention mentionpersonId="{EC36668F-21A6-4AE2-BE66-C108283A1032}" mentionId="{C17C1230-D019-4B83-A682-7830E94E8D5F}" startIndex="0" length="13"/>
    </mentions>
  </threadedComment>
  <threadedComment ref="K6" dT="2026-02-18T16:52:44.10" personId="{76B72B18-3AEB-4D11-8EEC-5E72D2F46F74}" id="{66FDB365-8DCD-4FAC-92D1-B55FBFAAB7B3}" done="1">
    <text>@KRAJCOVA Mariana @DILLON Karen I remove the two EPSO courses from the catalogue as they are not organised anymore.</text>
    <mentions>
      <mention mentionpersonId="{656FF2A2-5FFF-4985-84DF-293CDACC7747}" mentionId="{F79D7F34-CCFE-407E-B904-14944500FA0A}" startIndex="0" length="17"/>
      <mention mentionpersonId="{EC36668F-21A6-4AE2-BE66-C108283A1032}" mentionId="{02F7C148-AB97-424F-A279-2313FD080C4B}" startIndex="18" length="13"/>
    </mentions>
  </threadedComment>
  <threadedComment ref="K8" dT="2026-02-10T15:15:31.31" personId="{76B72B18-3AEB-4D11-8EEC-5E72D2F46F74}" id="{DBC7B4A2-AB4C-4D19-AAF4-F266696F4C64}" done="1">
    <text>@KRASTEVA Viktoriya please update subtitle and use learn.ep as CM on template</text>
    <mentions>
      <mention mentionpersonId="{6BD63239-C543-4921-BA7B-9066E9635A02}" mentionId="{0C5934CB-6536-4D64-9C84-A288ACB397F0}" startIndex="0" length="19"/>
    </mentions>
  </threadedComment>
  <threadedComment ref="K8" dT="2026-02-13T11:15:59.52" personId="{76B72B18-3AEB-4D11-8EEC-5E72D2F46F74}" id="{DEC504BC-08DE-4059-B1A7-3EE7D954046A}" parentId="{DBC7B4A2-AB4C-4D19-AAF4-F266696F4C64}">
    <text>I updated it</text>
  </threadedComment>
  <threadedComment ref="K10" dT="2026-02-03T15:49:39.32" personId="{76B72B18-3AEB-4D11-8EEC-5E72D2F46F74}" id="{21B318FA-C588-49D6-A6A4-A50DB10D9B8F}" done="1">
    <text>@DILLON Karen @KRAJCOVA Mariana   Please confirm if this is still in use now that there is new facilitator path course. If still in use please update picture.</text>
    <mentions>
      <mention mentionpersonId="{EC36668F-21A6-4AE2-BE66-C108283A1032}" mentionId="{859B2EDA-E0CF-488A-B11C-C2F9C17D9637}" startIndex="0" length="13"/>
      <mention mentionpersonId="{656FF2A2-5FFF-4985-84DF-293CDACC7747}" mentionId="{6CEB2FBE-5B20-4960-A692-96DA91B38F59}" startIndex="14" length="17"/>
    </mentions>
  </threadedComment>
  <threadedComment ref="K10" dT="2026-02-06T11:15:55.89" personId="{76B72B18-3AEB-4D11-8EEC-5E72D2F46F74}" id="{5F0B9798-1010-408E-A60D-1EB1F5CF8D3A}" parentId="{21B318FA-C588-49D6-A6A4-A50DB10D9B8F}">
    <text>@DILLON Karen please let me know</text>
    <mentions>
      <mention mentionpersonId="{EC36668F-21A6-4AE2-BE66-C108283A1032}" mentionId="{8A8E1CBC-FEA7-4CCB-A38D-85BDF829BACD}" startIndex="0" length="13"/>
    </mentions>
  </threadedComment>
  <threadedComment ref="K10" dT="2026-02-06T14:39:45.48" personId="{76B72B18-3AEB-4D11-8EEC-5E72D2F46F74}" id="{A0205068-D6CD-4E38-ACF6-3CC153229F60}" parentId="{21B318FA-C588-49D6-A6A4-A50DB10D9B8F}">
    <text>Karen responded that: I can remove it from the catalogue.</text>
  </threadedComment>
  <threadedComment ref="K13" dT="2026-02-10T15:00:03.88" personId="{76B72B18-3AEB-4D11-8EEC-5E72D2F46F74}" id="{8DD65BD4-87A7-46FB-8A5A-2E4CC6A5C871}" done="1">
    <text>@KRASTEVA Viktoriya 
Please change subtitle and put learn.EP as CM on template.</text>
    <mentions>
      <mention mentionpersonId="{6BD63239-C543-4921-BA7B-9066E9635A02}" mentionId="{F0A9F5C7-9E8B-4D5F-9AD8-64AB6C9B7C9A}" startIndex="0" length="19"/>
    </mentions>
  </threadedComment>
  <threadedComment ref="K13" dT="2026-02-12T09:08:35.15" personId="{76B72B18-3AEB-4D11-8EEC-5E72D2F46F74}" id="{56A6CB79-F04D-47BF-B7BF-EDC9630229F7}" parentId="{8DD65BD4-87A7-46FB-8A5A-2E4CC6A5C871}">
    <text>@KRASTEVA Viktoriya please let me know if you need help</text>
    <mentions>
      <mention mentionpersonId="{6BD63239-C543-4921-BA7B-9066E9635A02}" mentionId="{B21A1611-CB48-4FF7-8A96-7332CC42D497}" startIndex="0" length="19"/>
    </mentions>
  </threadedComment>
  <threadedComment ref="K13" dT="2026-02-18T07:59:07.95" personId="{76B72B18-3AEB-4D11-8EEC-5E72D2F46F74}" id="{A668534C-B004-44E8-94DB-83B734FD442D}" parentId="{8DD65BD4-87A7-46FB-8A5A-2E4CC6A5C871}">
    <text>@KRASTEVA Viktoriya please let me know if I should do it for the modules 1 to 4</text>
    <mentions>
      <mention mentionpersonId="{6BD63239-C543-4921-BA7B-9066E9635A02}" mentionId="{8E76B339-2764-46E5-A628-6580E40504D4}" startIndex="0" length="19"/>
    </mentions>
  </threadedComment>
  <threadedComment ref="K13" dT="2026-02-26T09:05:46.96" personId="{76B72B18-3AEB-4D11-8EEC-5E72D2F46F74}" id="{66A7E291-A409-4588-ADA8-63C14C2AEF5D}" parentId="{8DD65BD4-87A7-46FB-8A5A-2E4CC6A5C871}">
    <text>@KRASTEVA Viktoriya I will change it tomorrow.</text>
    <mentions>
      <mention mentionpersonId="{6BD63239-C543-4921-BA7B-9066E9635A02}" mentionId="{BFFCFD6F-AADC-41FA-9076-9D2D14ACE228}" startIndex="0" length="19"/>
    </mentions>
  </threadedComment>
  <threadedComment ref="K14" dT="2026-02-10T15:00:03.88" personId="{76B72B18-3AEB-4D11-8EEC-5E72D2F46F74}" id="{093F5BE4-678A-45FD-A9B3-5E91231CB40E}" done="1">
    <text>@KRASTEVA Viktoriya 
Please change subtitle and put learn.EP as CM on template.</text>
    <mentions>
      <mention mentionpersonId="{6BD63239-C543-4921-BA7B-9066E9635A02}" mentionId="{AC0A666A-E6A1-4F31-B8EE-9929F4E08D75}" startIndex="0" length="19"/>
    </mentions>
  </threadedComment>
  <threadedComment ref="K14" dT="2026-02-12T09:08:55.10" personId="{76B72B18-3AEB-4D11-8EEC-5E72D2F46F74}" id="{177B9FA6-415A-4B87-80E6-D28887502044}" parentId="{093F5BE4-678A-45FD-A9B3-5E91231CB40E}">
    <text>@KRASTEVA Viktoriya please let me know if you need help</text>
    <mentions>
      <mention mentionpersonId="{6BD63239-C543-4921-BA7B-9066E9635A02}" mentionId="{B2AD0BA4-CCF7-4852-A78E-0B47B94EAE5F}" startIndex="0" length="19"/>
    </mentions>
  </threadedComment>
  <threadedComment ref="K15" dT="2026-02-10T15:00:03.88" personId="{76B72B18-3AEB-4D11-8EEC-5E72D2F46F74}" id="{CEF13D27-4760-4577-A116-2333FBC5A106}" done="1">
    <text>@KRASTEVA Viktoriya 
Please change subtitle and put learn.EP as CM on template.</text>
    <mentions>
      <mention mentionpersonId="{6BD63239-C543-4921-BA7B-9066E9635A02}" mentionId="{8BB6EC4E-157E-412E-A6C8-3D0383433162}" startIndex="0" length="19"/>
    </mentions>
  </threadedComment>
  <threadedComment ref="K15" dT="2026-02-12T09:09:08.85" personId="{76B72B18-3AEB-4D11-8EEC-5E72D2F46F74}" id="{4E4BC4F0-F641-4670-A346-7276A7BF7361}" parentId="{CEF13D27-4760-4577-A116-2333FBC5A106}">
    <text>@KRASTEVA Viktoriya please let me know if you need help</text>
    <mentions>
      <mention mentionpersonId="{6BD63239-C543-4921-BA7B-9066E9635A02}" mentionId="{E6B9D561-BBC7-40D8-9168-A498E55446C2}" startIndex="0" length="19"/>
    </mentions>
  </threadedComment>
  <threadedComment ref="K16" dT="2026-02-10T15:00:03.88" personId="{76B72B18-3AEB-4D11-8EEC-5E72D2F46F74}" id="{01ABCAC9-86E9-4A4F-91DF-6AA1FF5E7284}" done="1">
    <text>@KRASTEVA Viktoriya 
Please change subtitle and put learn.EP as CM on template.</text>
    <mentions>
      <mention mentionpersonId="{6BD63239-C543-4921-BA7B-9066E9635A02}" mentionId="{34EFA2FD-6830-4330-BAE2-9ACE22D252E8}" startIndex="0" length="19"/>
    </mentions>
  </threadedComment>
  <threadedComment ref="K16" dT="2026-02-12T09:09:19.95" personId="{76B72B18-3AEB-4D11-8EEC-5E72D2F46F74}" id="{CF96A411-49A4-4EB1-8A6C-4C964E8FBE64}" parentId="{01ABCAC9-86E9-4A4F-91DF-6AA1FF5E7284}">
    <text>@KRASTEVA Viktoriya please let me know if you need help</text>
    <mentions>
      <mention mentionpersonId="{6BD63239-C543-4921-BA7B-9066E9635A02}" mentionId="{02D13DB8-1E3C-4719-A444-43D3912F9755}" startIndex="0" length="19"/>
    </mentions>
  </threadedComment>
  <threadedComment ref="K17" dT="2026-02-10T14:50:48.09" personId="{76B72B18-3AEB-4D11-8EEC-5E72D2F46F74}" id="{A48D8612-FED3-46A0-83BC-0FE1A15250F9}" done="1">
    <text>@DILLON Karen @KRAJCOVA Mariana I removed this from the cataloge. Was only organised in May 2024.</text>
    <mentions>
      <mention mentionpersonId="{EC36668F-21A6-4AE2-BE66-C108283A1032}" mentionId="{764C4CDC-BD5E-41A4-BB8B-030A78B73809}" startIndex="0" length="13"/>
      <mention mentionpersonId="{656FF2A2-5FFF-4985-84DF-293CDACC7747}" mentionId="{E542C4A2-631F-4360-880E-F975B5A95238}" startIndex="14" length="17"/>
    </mentions>
  </threadedComment>
  <threadedComment ref="K17" dT="2026-02-10T14:58:07.55" personId="{76B72B18-3AEB-4D11-8EEC-5E72D2F46F74}" id="{8BBC37F0-081F-4C6C-A936-D6B33A044D4D}" parentId="{A48D8612-FED3-46A0-83BC-0FE1A15250F9}">
    <text>Karen agreed</text>
  </threadedComment>
  <threadedComment ref="K18" dT="2026-02-03T15:42:44.92" personId="{76B72B18-3AEB-4D11-8EEC-5E72D2F46F74}" id="{F352E79A-F8C2-4F5A-8DB8-102DBE8F740D}" done="1">
    <text>@GABELEIN-PAEHLER Katrin can this item (Peer learning: prepare for your next job in the EP) be removed from the catalogue?</text>
    <mentions>
      <mention mentionpersonId="{203DE46C-D5EF-4127-BCC8-CBA718B32697}" mentionId="{7389EF30-B70F-4AF5-846B-FADE3332C523}" startIndex="0" length="24"/>
    </mentions>
  </threadedComment>
  <threadedComment ref="K21" dT="2026-02-03T15:51:29.04" personId="{76B72B18-3AEB-4D11-8EEC-5E72D2F46F74}" id="{CADCE646-9962-4C46-B10F-2DA521DDE7D1}" done="1">
    <text>@ZANOLI Carlos is this one still relevant? if yes: ok, if we assign the course to the catalogue instead of the template.</text>
    <mentions>
      <mention mentionpersonId="{4BC430D5-0FB4-4B35-9504-324076D4C440}" mentionId="{DB405971-CE91-42C6-9831-D662F78946D2}" startIndex="0" length="14"/>
    </mentions>
  </threadedComment>
  <threadedComment ref="K21" dT="2026-02-04T08:23:34.18" personId="{01E9E077-B30D-46AF-BEFF-FA4BCFE010A3}" id="{C4D972B4-2DA4-4029-97B9-62CF6B3464B6}" parentId="{CADCE646-9962-4C46-B10F-2DA521DDE7D1}">
    <text>yes still relevant!</text>
  </threadedComment>
  <threadedComment ref="K21" dT="2026-02-06T11:21:23.92" personId="{76B72B18-3AEB-4D11-8EEC-5E72D2F46F74}" id="{7ADB09C7-759F-4D1E-BDF9-D859C76F97DB}" parentId="{CADCE646-9962-4C46-B10F-2DA521DDE7D1}">
    <text>I removed the template and attached the course to the catalogue.</text>
  </threadedComment>
  <threadedComment ref="K22" dT="2026-02-10T15:12:07.95" personId="{76B72B18-3AEB-4D11-8EEC-5E72D2F46F74}" id="{1BE14E5F-A286-4D5F-90E5-2FAAC152AC77}" done="1">
    <text>@ZANOLI Carlos please use same name in Description and Course description. Please update subtitle</text>
    <mentions>
      <mention mentionpersonId="{4BC430D5-0FB4-4B35-9504-324076D4C440}" mentionId="{5D9BAF15-C2FB-43D2-BD0B-92F0FA0BE7C6}" startIndex="0" length="14"/>
    </mentions>
  </threadedComment>
  <threadedComment ref="K22" dT="2026-02-12T09:11:04.97" personId="{76B72B18-3AEB-4D11-8EEC-5E72D2F46F74}" id="{8403171D-8C98-4B45-B9F4-9C9E3A41B35F}" parentId="{1BE14E5F-A286-4D5F-90E5-2FAAC152AC77}">
    <text>@ZANOLI Carlos please let me know if you need help</text>
    <mentions>
      <mention mentionpersonId="{4BC430D5-0FB4-4B35-9504-324076D4C440}" mentionId="{43940DCE-EC5A-41E2-8C03-FC7DA83FC312}" startIndex="0" length="14"/>
    </mentions>
  </threadedComment>
  <threadedComment ref="K27" dT="2026-02-10T15:14:28.87" personId="{76B72B18-3AEB-4D11-8EEC-5E72D2F46F74}" id="{171EDEB1-FF5A-411A-B6A8-BF0B6FBA861F}" done="1">
    <text>@ZANOLI Carlos please use same name in Description and Course description. Please update subtitle. please use fmb as CM on template.</text>
    <mentions>
      <mention mentionpersonId="{4BC430D5-0FB4-4B35-9504-324076D4C440}" mentionId="{65C4D345-B61A-4B7B-8AA9-0CCFEAE87D5B}" startIndex="0" length="14"/>
    </mentions>
  </threadedComment>
  <threadedComment ref="K27" dT="2026-02-12T09:11:31.83" personId="{76B72B18-3AEB-4D11-8EEC-5E72D2F46F74}" id="{2B2E782B-8D2F-48E3-8F24-A2C79C14B13D}" parentId="{171EDEB1-FF5A-411A-B6A8-BF0B6FBA861F}">
    <text>@ZANOLI Carlos please let me know if you need help</text>
    <mentions>
      <mention mentionpersonId="{4BC430D5-0FB4-4B35-9504-324076D4C440}" mentionId="{228763FF-0307-4DC1-B61D-16BDCC7D5B4D}" startIndex="0" length="14"/>
    </mentions>
  </threadedComment>
  <threadedComment ref="J28" dT="2026-01-30T09:23:55.05" personId="{01E9E077-B30D-46AF-BEFF-FA4BCFE010A3}" id="{CB7B5377-0586-4A03-B351-DF9F7D2E7BB3}" done="1">
    <text>@HENNINGSEN Philipp Alexander I wouldn't include this course as we do not organize it, ITEC is in charge of it and runs it internally</text>
    <mentions>
      <mention mentionpersonId="{BC37D492-A87C-4214-9153-C0CC74E0474C}" mentionId="{2221EBAE-DE71-424A-938E-BFB1237D4C3F}" startIndex="0" length="29"/>
    </mentions>
  </threadedComment>
  <threadedComment ref="J28" dT="2026-01-30T09:37:57.94" personId="{76B72B18-3AEB-4D11-8EEC-5E72D2F46F74}" id="{B1EF150B-4275-4986-A470-E2BB0343E851}" parentId="{CB7B5377-0586-4A03-B351-DF9F7D2E7BB3}">
    <text>Ok. I changed it to "no".</text>
  </threadedComment>
  <threadedComment ref="K28" dT="2026-02-10T14:53:20.19" personId="{76B72B18-3AEB-4D11-8EEC-5E72D2F46F74}" id="{2183A18E-98F5-4798-B4B8-C58120877025}" done="1">
    <text>@ZANOLI Carlos @BRAVO Francisco this course has never been organised so far. Could we even remove it from the catalogue completely?</text>
    <mentions>
      <mention mentionpersonId="{4BC430D5-0FB4-4B35-9504-324076D4C440}" mentionId="{6413C3D0-73A4-49EF-A37B-BDB3A39DC656}" startIndex="0" length="14"/>
      <mention mentionpersonId="{25702EA3-0F11-4593-837D-2BAD1E1C7F42}" mentionId="{674AE4CC-EDEB-47E9-90FC-8D49A3A974D2}" startIndex="15" length="16"/>
    </mentions>
  </threadedComment>
  <threadedComment ref="K28" dT="2026-02-10T15:04:53.46" personId="{76B72B18-3AEB-4D11-8EEC-5E72D2F46F74}" id="{68682C23-1072-4B2C-85EC-A9B7F7FADADE}" parentId="{2183A18E-98F5-4798-B4B8-C58120877025}">
    <text>If we want to keep, please update subtitle "Brussels/Luxembourg"</text>
  </threadedComment>
  <threadedComment ref="K28" dT="2026-02-10T15:32:49.84" personId="{F0ABF953-098F-4F75-A030-0598F86DBE91}" id="{8FBBDF6D-45F6-4389-B766-2A7B13EEEC21}" parentId="{2183A18E-98F5-4798-B4B8-C58120877025}">
    <text>If Carlos is not against I would remove it</text>
  </threadedComment>
  <threadedComment ref="K28" dT="2026-02-11T15:03:08.37" personId="{01E9E077-B30D-46AF-BEFF-FA4BCFE010A3}" id="{CE9D42D8-18C2-48EA-8AFF-3B4C51764D1B}" parentId="{2183A18E-98F5-4798-B4B8-C58120877025}">
    <text xml:space="preserve">ITEC has originally requested me to add this internal training to the catalgoue, but they never organized it. I'll ask them if it is still relevant. </text>
  </threadedComment>
  <threadedComment ref="K28" dT="2026-02-12T09:10:36.37" personId="{76B72B18-3AEB-4D11-8EEC-5E72D2F46F74}" id="{F3C92C91-7214-4FEA-A792-40AB5BF162BE}" parentId="{2183A18E-98F5-4798-B4B8-C58120877025}">
    <text>@ZANOLI Carlos thank you for checking. Can we remove it for now until you have a date?</text>
    <mentions>
      <mention mentionpersonId="{4BC430D5-0FB4-4B35-9504-324076D4C440}" mentionId="{A7E8A5E1-0C8F-426A-81D6-0CF32A1258D9}" startIndex="0" length="14"/>
    </mentions>
  </threadedComment>
  <threadedComment ref="K28" dT="2026-02-12T15:37:20.71" personId="{01E9E077-B30D-46AF-BEFF-FA4BCFE010A3}" id="{7DFBD940-D0D4-4832-B030-D3B30622F945}" parentId="{2183A18E-98F5-4798-B4B8-C58120877025}">
    <text>Just spoken to ITEC, they want it there. Can we keep it? I also changed the title and subtitle</text>
  </threadedComment>
  <threadedComment ref="K33" dT="2026-02-03T15:58:29.01" personId="{76B72B18-3AEB-4D11-8EEC-5E72D2F46F74}" id="{D4CC40A1-0364-437D-A2CA-DA97E6192C95}" done="1">
    <text>@CONTE Viviana @LATTEUR Christine can you confirm if internal and/or external coaching should be included in the brochure?</text>
    <mentions>
      <mention mentionpersonId="{C6647FBB-2D90-401A-85EB-E2950149DD3C}" mentionId="{0156FB61-6422-4BFF-8A1F-CA2C0D9CBDE3}" startIndex="0" length="14"/>
      <mention mentionpersonId="{621B4392-332C-4780-9D34-88DB5C462BD1}" mentionId="{7881A407-8826-48B4-9D4C-6D7601555B18}" startIndex="15" length="18"/>
    </mentions>
  </threadedComment>
  <threadedComment ref="K36" dT="2026-02-16T11:25:04.62" personId="{76B72B18-3AEB-4D11-8EEC-5E72D2F46F74}" id="{C5B3D7B8-2EA5-4B30-9861-32233D8C1019}" done="1">
    <text>Duplicate. Was assigned here when subfolder wasn't created yet.</text>
  </threadedComment>
  <threadedComment ref="K95" dT="2026-02-04T10:01:40.81" personId="{76B72B18-3AEB-4D11-8EEC-5E72D2F46F74}" id="{0275329B-551D-4BE4-A8D0-C69EE09EF563}" done="1">
    <text>@ZAVADILOVA Pavlina Please update the subtitle of the template to "Brussels/Luxembourg". For the courses the subtitle then should be only "Brussels" or "Luxembourg".</text>
    <mentions>
      <mention mentionpersonId="{2812DDC0-A256-4216-BFB1-347C75C7E0E7}" mentionId="{6D0713E4-7DB1-4D00-9724-0A3F82512038}" startIndex="0" length="19"/>
    </mentions>
  </threadedComment>
  <threadedComment ref="K95" dT="2026-02-06T14:21:14.05" personId="{76B72B18-3AEB-4D11-8EEC-5E72D2F46F74}" id="{0CD3ED23-3C3B-4B88-B27C-7A7B194F7BF9}" parentId="{0275329B-551D-4BE4-A8D0-C69EE09EF563}">
    <text xml:space="preserve">@ZAVADILOVA Pavlina </text>
    <mentions>
      <mention mentionpersonId="{2812DDC0-A256-4216-BFB1-347C75C7E0E7}" mentionId="{6EC7BDAB-D28D-4160-9253-C354B1CA5911}" startIndex="0" length="19"/>
    </mentions>
  </threadedComment>
  <threadedComment ref="K95" dT="2026-02-10T15:29:57.89" personId="{76B72B18-3AEB-4D11-8EEC-5E72D2F46F74}" id="{1006B6BF-AF7E-4370-9354-9CF462A07470}" parentId="{0275329B-551D-4BE4-A8D0-C69EE09EF563}">
    <text>@ZAVADILOVA Pavlina please let me know if you need help.</text>
    <mentions>
      <mention mentionpersonId="{2812DDC0-A256-4216-BFB1-347C75C7E0E7}" mentionId="{DF829F05-E475-4564-929D-80B98C0E29DD}" startIndex="0" length="19"/>
    </mentions>
  </threadedComment>
  <threadedComment ref="J99" dT="2026-03-09T14:41:22.18" personId="{F214464C-A349-4E3E-8B83-BEE6E82299B2}" id="{DF902209-C051-4067-AE70-CA0218FB2A49}">
    <text>Change title by including "drafting". For example "Clear language - master your drafting skills"</text>
  </threadedComment>
  <threadedComment ref="K99" dT="2026-02-04T10:11:18.70" personId="{76B72B18-3AEB-4D11-8EEC-5E72D2F46F74}" id="{10BE6C5D-AA0C-4D41-9F89-78C68E00304E}" done="1">
    <text>@LÓPEZ RIVAS Ángela please check the names of the template. Currently Online :"Clear language essentials: Introduction to clear language principles and guidelines" and offline "Clear language essentials". 
Also update subtitle of offline template to "Brussels/Luxembourg".</text>
    <mentions>
      <mention mentionpersonId="{9D246EC3-136F-41C4-892C-68B201C46950}" mentionId="{3B88CBF6-1B25-4090-8A47-89DE87904A57}" startIndex="0" length="19"/>
    </mentions>
  </threadedComment>
  <threadedComment ref="K99" dT="2026-02-06T11:30:01.92" personId="{1A8CDDFC-5681-409E-9568-D4DCF839F857}" id="{9E5768D3-826E-4CB7-AE53-2EDADCD00D14}" parentId="{10BE6C5D-AA0C-4D41-9F89-78C68E00304E}">
    <text>Sorry just seeing this now! I saw you already did it no?</text>
  </threadedComment>
  <threadedComment ref="K99" dT="2026-02-06T14:22:37.29" personId="{76B72B18-3AEB-4D11-8EEC-5E72D2F46F74}" id="{CD9BFA9E-611C-4AE7-89B3-8E82163B3044}" parentId="{10BE6C5D-AA0C-4D41-9F89-78C68E00304E}">
    <text>No, the names of the templates are still different, but the subtitles are corrected.</text>
  </threadedComment>
  <threadedComment ref="K99" dT="2026-02-06T16:22:55.13" personId="{1A8CDDFC-5681-409E-9568-D4DCF839F857}" id="{0A992927-0571-4B7F-889B-8DC4B6DCCDFE}" parentId="{10BE6C5D-AA0C-4D41-9F89-78C68E00304E}">
    <text>done! thanks sm</text>
  </threadedComment>
  <threadedComment ref="K102" dT="2026-02-04T10:20:16.79" personId="{76B72B18-3AEB-4D11-8EEC-5E72D2F46F74}" id="{59C831E6-AF7A-4D42-87FB-9BCCCCC57738}" done="1">
    <text>@KRASTEVA Viktoriya can this umbrella be removed from the catalogue? Or will there be courses organised in the future?</text>
    <mentions>
      <mention mentionpersonId="{6BD63239-C543-4921-BA7B-9066E9635A02}" mentionId="{89403B6D-2AE1-4E1A-B68E-8EBEE43E1323}" startIndex="0" length="19"/>
    </mentions>
  </threadedComment>
  <threadedComment ref="K102" dT="2026-02-04T15:26:02.45" personId="{699B83B1-8FF5-4D64-A156-C288379F6404}" id="{1A03DADA-1C24-4904-8689-9FB279141CA9}" parentId="{59C831E6-AF7A-4D42-87FB-9BCCCCC57738}">
    <text xml:space="preserve">Can we please keep just the template, to be able to see if there is any interest. No need of the umbrella at the moment. </text>
  </threadedComment>
  <threadedComment ref="K102" dT="2026-02-05T11:21:54.85" personId="{76B72B18-3AEB-4D11-8EEC-5E72D2F46F74}" id="{AC667FE0-0823-4F8F-9334-AA0DC8D84BA5}" parentId="{59C831E6-AF7A-4D42-87FB-9BCCCCC57738}">
    <text>The umbrella is only linking to the templates. If we leave the umbrella in, offline and online version are open for expression of interest.</text>
  </threadedComment>
  <threadedComment ref="K102" dT="2026-02-05T11:46:04.36" personId="{699B83B1-8FF5-4D64-A156-C288379F6404}" id="{ED38248A-065F-4A51-BC53-BB58257E72A8}" parentId="{59C831E6-AF7A-4D42-87FB-9BCCCCC57738}">
    <text>I see that the umbrella is still there. Can we just have the template with the course description and no choice for format, no umbrella?</text>
  </threadedComment>
  <threadedComment ref="K102" dT="2026-02-05T11:48:07.72" personId="{76B72B18-3AEB-4D11-8EEC-5E72D2F46F74}" id="{7C6B7F39-ED23-455F-8B4B-60C3DF6008AB}" parentId="{59C831E6-AF7A-4D42-87FB-9BCCCCC57738}">
    <text>I'm sorry. A template is always already format (online, onsite, eLearning) specific. That's why we have umbrellas.</text>
  </threadedComment>
  <threadedComment ref="K102" dT="2026-02-05T11:55:46.51" personId="{699B83B1-8FF5-4D64-A156-C288379F6404}" id="{B069B487-D9DD-42B5-A2DF-41388AA71366}" parentId="{59C831E6-AF7A-4D42-87FB-9BCCCCC57738}">
    <text>I see. But when you see the course it says dates available, while there are none in fact. There is one from 2025 hanging there.</text>
  </threadedComment>
  <threadedComment ref="K102" dT="2026-02-05T13:03:53.02" personId="{76B72B18-3AEB-4D11-8EEC-5E72D2F46F74}" id="{66C111B1-8C3E-4427-ABEF-D41897C72197}" parentId="{59C831E6-AF7A-4D42-87FB-9BCCCCC57738}">
    <text>Yes. That's why I proposed to remove it from the catalogue. If you would like to have the expression of interest, maybe we only attach the "online" version of the course but hide the umbrella?</text>
  </threadedComment>
  <threadedComment ref="K102" dT="2026-02-05T13:05:26.56" personId="{699B83B1-8FF5-4D64-A156-C288379F6404}" id="{B5FCE251-47CC-4D43-B333-3C4EB6124D22}" parentId="{59C831E6-AF7A-4D42-87FB-9BCCCCC57738}">
    <text>That would be a solution. Thank you very much.</text>
  </threadedComment>
  <threadedComment ref="K102" dT="2026-02-05T14:44:32.35" personId="{76B72B18-3AEB-4D11-8EEC-5E72D2F46F74}" id="{834994B6-073E-496D-B7D4-F52F8306DB2D}" parentId="{59C831E6-AF7A-4D42-87FB-9BCCCCC57738}">
    <text>done. Changed the ID in this table too.</text>
  </threadedComment>
  <threadedComment ref="K104" dT="2026-02-04T10:24:55.92" personId="{76B72B18-3AEB-4D11-8EEC-5E72D2F46F74}" id="{9DE3BFB6-566B-4767-BD00-73B7B1A533DE}" done="1">
    <text>@BAVIERI Benedetta Will this be offered again? Can it be removed from the catalogue?
I corrected: subtitle = Bazoches, No location on course template level.</text>
    <mentions>
      <mention mentionpersonId="{6F57D22D-9CC7-4AF7-99A0-B2638C031B2A}" mentionId="{8A82569A-81DB-4D8B-99A0-FD64643692E6}" startIndex="0" length="18"/>
    </mentions>
  </threadedComment>
  <threadedComment ref="K104" dT="2026-02-04T10:25:26.04" personId="{76B72B18-3AEB-4D11-8EEC-5E72D2F46F74}" id="{71FA8EEB-2060-47D3-9A77-5B2167C36E0F}" parentId="{9DE3BFB6-566B-4767-BD00-73B7B1A533DE}">
    <text>Learn.ep as CM</text>
  </threadedComment>
  <threadedComment ref="K104" dT="2026-02-04T10:32:08.38" personId="{4AEEF6C5-95F8-452A-91C8-B285216BAE15}" id="{3320181F-1A4A-459F-811D-5D9517AD4E37}" parentId="{9DE3BFB6-566B-4767-BD00-73B7B1A533DE}">
    <text>It can be removed, there are no plans to offer it again in the foreseeable future.</text>
  </threadedComment>
  <threadedComment ref="K106" dT="2026-02-03T13:52:22.83" personId="{76B72B18-3AEB-4D11-8EEC-5E72D2F46F74}" id="{671A43D8-CDAB-4D21-8061-F6FDC4187E87}" done="1">
    <text>@KRASTEVA Viktoriya  removed from the catalogue. Because only course (not template) assigned to the catalogue.</text>
    <mentions>
      <mention mentionpersonId="{6BD63239-C543-4921-BA7B-9066E9635A02}" mentionId="{2D8BBD5C-A338-4C7B-9203-02141449BB2B}" startIndex="0" length="19"/>
    </mentions>
  </threadedComment>
  <threadedComment ref="K106" dT="2026-02-04T15:22:37.96" personId="{699B83B1-8FF5-4D64-A156-C288379F6404}" id="{9AC4459C-7800-4562-914C-18C4DC07F262}" parentId="{671A43D8-CDAB-4D21-8061-F6FDC4187E87}">
    <text>I need the template. Published in EP competence- operational (ref. 072491)</text>
  </threadedComment>
  <threadedComment ref="K106" dT="2026-02-06T14:13:10.86" personId="{76B72B18-3AEB-4D11-8EEC-5E72D2F46F74}" id="{9CA20FCA-24D4-46A7-A3F5-893CA37712D1}" parentId="{671A43D8-CDAB-4D21-8061-F6FDC4187E87}">
    <text>I don't understand the comment, sorry!@KRASTEVA Viktoriya the template still exists: 072491-EP. Do you want to have it assigned to the catalogue folder "communication competencies"?</text>
    <mentions>
      <mention mentionpersonId="{6BD63239-C543-4921-BA7B-9066E9635A02}" mentionId="{B4F85960-01AB-424B-A113-6C362AF28FAC}" startIndex="38" length="19"/>
    </mentions>
  </threadedComment>
  <threadedComment ref="K106" dT="2026-02-11T15:06:47.60" personId="{76B72B18-3AEB-4D11-8EEC-5E72D2F46F74}" id="{BCC878E0-FD53-4CB4-85F0-7051A6F1919A}" parentId="{671A43D8-CDAB-4D21-8061-F6FDC4187E87}">
    <text>I mark this as complete now. If you want to discuss this, please let me know :)</text>
  </threadedComment>
  <threadedComment ref="K111" dT="2026-02-04T10:49:22.48" personId="{76B72B18-3AEB-4D11-8EEC-5E72D2F46F74}" id="{A2D48471-513E-40E3-997D-253E1E7FA3B2}" done="1">
    <text>@KRAJCOVA Mariana Should this stay in the catalogue? It's not a training course and could be done via EP events etc.
If it should be removed contact person is MARIA CAROLA CRISCUOLO</text>
    <mentions>
      <mention mentionpersonId="{656FF2A2-5FFF-4985-84DF-293CDACC7747}" mentionId="{25178C88-163B-4DFA-B639-2A41FDBFD230}" startIndex="0" length="17"/>
    </mentions>
  </threadedComment>
  <threadedComment ref="K111" dT="2026-02-04T15:51:27.30" personId="{35EF6A0F-9AEF-47C0-8FAF-AF21BEF607E6}" id="{5D936164-7EEB-451A-9EDE-F136C3832DA9}" parentId="{A2D48471-513E-40E3-997D-253E1E7FA3B2}">
    <text>Hi Philipp, it is a similar product as EP tours only given by COMM colleague. It is not an event. So it shall stay in catalogue, but it shall not go to brochure.</text>
  </threadedComment>
  <threadedComment ref="K112" dT="2026-02-03T16:05:26.84" personId="{76B72B18-3AEB-4D11-8EEC-5E72D2F46F74}" id="{88378B64-F37D-4DDF-AD0A-82251EF3F7AA}" done="1">
    <text>@KRASTEVA Viktoriya @KRAJCOVA Mariana  please correct the title and subtitle of the course published. Subtitle should be the city. Title everything = same as template name.</text>
    <mentions>
      <mention mentionpersonId="{6BD63239-C543-4921-BA7B-9066E9635A02}" mentionId="{8CA65B88-E65A-4B6A-BDEE-7AD0C9CD540D}" startIndex="0" length="19"/>
      <mention mentionpersonId="{656FF2A2-5FFF-4985-84DF-293CDACC7747}" mentionId="{ECD0C239-63BC-4A27-A8C4-EA721937DE34}" startIndex="20" length="17"/>
    </mentions>
  </threadedComment>
  <threadedComment ref="K112" dT="2026-02-04T15:24:26.72" personId="{699B83B1-8FF5-4D64-A156-C288379F6404}" id="{68091F42-8769-4F3B-8AA1-BB793FDC667E}" parentId="{88378B64-F37D-4DDF-AD0A-82251EF3F7AA}">
    <text xml:space="preserve">This course can be hidden for now. </text>
  </threadedComment>
  <threadedComment ref="K112" dT="2026-02-04T16:53:38.59" personId="{35EF6A0F-9AEF-47C0-8FAF-AF21BEF607E6}" id="{476D1E29-0651-4548-86D5-145617E4C850}" parentId="{88378B64-F37D-4DDF-AD0A-82251EF3F7AA}">
    <text>Course not successful, please do not include in the brochure. We are removing it from the catalogue.</text>
  </threadedComment>
  <threadedComment ref="K112" dT="2026-02-06T14:18:16.93" personId="{76B72B18-3AEB-4D11-8EEC-5E72D2F46F74}" id="{E382AF70-69E9-4AA5-A53A-028B8965CA08}" parentId="{88378B64-F37D-4DDF-AD0A-82251EF3F7AA}">
    <text>Template is removed from catalogue.</text>
  </threadedComment>
  <threadedComment ref="K113" dT="2026-02-04T10:51:30.19" personId="{76B72B18-3AEB-4D11-8EEC-5E72D2F46F74}" id="{DD8F6468-84FB-42D8-BACE-B589B9F620AB}" done="1">
    <text>@MALTONI Simona I removed this from the catalogue. Only one ever published. If you ever want to organise it again, it can be assigned to the catalogue again.</text>
    <mentions>
      <mention mentionpersonId="{ECA4C166-5E4D-4059-ABF8-E307E0B866A7}" mentionId="{5F4C254D-7C6C-4A8E-8095-E18193D3B9D4}" startIndex="0" length="15"/>
    </mentions>
  </threadedComment>
  <threadedComment ref="K114" dT="2026-02-03T13:56:01.59" personId="{76B72B18-3AEB-4D11-8EEC-5E72D2F46F74}" id="{A98DFA2D-C91C-44EC-B891-FF4AE530199E}" done="1">
    <text>Removed - course in the past</text>
  </threadedComment>
  <threadedComment ref="K117" dT="2026-02-04T11:02:17.22" personId="{76B72B18-3AEB-4D11-8EEC-5E72D2F46F74}" id="{BC86A5E0-528C-4A69-B214-F654DC4D069D}" done="1">
    <text>@MACLER Elodie Can this learning path be removed from the catalogue? None of the courses is available.</text>
    <mentions>
      <mention mentionpersonId="{ED721061-213C-49A0-B46A-61EBD5931D35}" mentionId="{8F8F95E2-BF4E-4CBD-94A0-4A09004728E5}" startIndex="0" length="14"/>
    </mentions>
  </threadedComment>
  <threadedComment ref="K117" dT="2026-02-05T10:25:44.51" personId="{C67FBFEC-BA2E-4A6A-845D-615935E1B976}" id="{CDBF642F-B7B8-4EAE-9483-BC8894818F1B}" parentId="{BC86A5E0-528C-4A69-B214-F654DC4D069D}">
    <text xml:space="preserve">Hi, yes, it can be removed </text>
  </threadedComment>
  <threadedComment ref="B120" dT="2026-03-09T14:43:50.56" personId="{76B72B18-3AEB-4D11-8EEC-5E72D2F46F74}" id="{FFD9EEDE-88F7-46E2-8BD5-586255F60E46}" done="1">
    <text>"How to facilitate online" change title</text>
  </threadedComment>
  <threadedComment ref="K121" dT="2026-02-04T11:14:25.79" personId="{76B72B18-3AEB-4D11-8EEC-5E72D2F46F74}" id="{F73C53FB-D35C-4119-B476-DB83347EE216}" done="1">
    <text>@DILLON Karen I corrected: learn.ep as cm on template level</text>
    <mentions>
      <mention mentionpersonId="{EC36668F-21A6-4AE2-BE66-C108283A1032}" mentionId="{ED245D87-53F6-4D4E-AF0F-D2CA8578072B}" startIndex="0" length="13"/>
    </mentions>
  </threadedComment>
  <threadedComment ref="K121" dT="2026-02-10T15:44:20.83" personId="{76B72B18-3AEB-4D11-8EEC-5E72D2F46F74}" id="{55C8476F-CFE5-4816-BA84-D1F4AFE87321}" parentId="{F73C53FB-D35C-4119-B476-DB83347EE216}">
    <text>courses will come</text>
  </threadedComment>
  <threadedComment ref="K122" dT="2026-02-04T11:10:44.28" personId="{76B72B18-3AEB-4D11-8EEC-5E72D2F46F74}" id="{46BBE0BB-106F-4034-B971-797271442C49}" done="1">
    <text>@KRASTEVA Viktoriya will there still be courses offered? Currently nothing available. Please correct subtitle of the offline template.</text>
    <mentions>
      <mention mentionpersonId="{6BD63239-C543-4921-BA7B-9066E9635A02}" mentionId="{B2B645E3-E355-4DA9-BB51-92BA14E92042}" startIndex="0" length="19"/>
    </mentions>
  </threadedComment>
  <threadedComment ref="K122" dT="2026-02-06T11:23:31.63" personId="{76B72B18-3AEB-4D11-8EEC-5E72D2F46F74}" id="{6E733C46-4D4D-42B2-84B2-7873E5EA6AA4}" parentId="{46BBE0BB-106F-4034-B971-797271442C49}">
    <text xml:space="preserve">@KRASTEVA Viktoriya </text>
    <mentions>
      <mention mentionpersonId="{6BD63239-C543-4921-BA7B-9066E9635A02}" mentionId="{9B39FD32-EE89-439A-9DE2-3D24E4536EDE}" startIndex="0" length="19"/>
    </mentions>
  </threadedComment>
  <threadedComment ref="B123" dT="2026-03-09T14:45:10.73" personId="{76B72B18-3AEB-4D11-8EEC-5E72D2F46F74}" id="{B427312D-5F5B-46E5-A0B1-749CC4D2AF16}">
    <text>Change title to "Public speaking"</text>
  </threadedComment>
  <threadedComment ref="K123" dT="2026-02-04T11:16:36.74" personId="{76B72B18-3AEB-4D11-8EEC-5E72D2F46F74}" id="{EBCE5F1F-847A-42EE-AA48-152B54BB2ACD}" done="1">
    <text>@MACLER Elodie I corrected: subtitle of template: Brussels/Luxembourg</text>
    <mentions>
      <mention mentionpersonId="{ED721061-213C-49A0-B46A-61EBD5931D35}" mentionId="{52B64590-2290-4BB5-AE7A-04FE73391CC9}" startIndex="0" length="14"/>
    </mentions>
  </threadedComment>
  <threadedComment ref="B124" dT="2026-03-09T14:45:34.18" personId="{76B72B18-3AEB-4D11-8EEC-5E72D2F46F74}" id="{490BED03-434C-4693-A8F0-6663835C832F}">
    <text>Change title "Difficult conversations"</text>
  </threadedComment>
  <threadedComment ref="K124" dT="2026-02-04T11:20:16.98" personId="{76B72B18-3AEB-4D11-8EEC-5E72D2F46F74}" id="{88F271C8-D8E2-4ED9-9098-98ECBBBC2C0D}" done="1">
    <text>@COEUDEVEZ Alix I corrected: subtitle for template = Brussles/Luxembourg
And learn.EP as CM on template level</text>
    <mentions>
      <mention mentionpersonId="{486A3066-0915-4DF9-BDB9-B110679DAA77}" mentionId="{7E36D8BE-32E0-4F01-BD3B-2CE80146B46B}" startIndex="0" length="15"/>
    </mentions>
  </threadedComment>
  <threadedComment ref="B125" dT="2026-03-09T14:46:26.18" personId="{76B72B18-3AEB-4D11-8EEC-5E72D2F46F74}" id="{314E1A60-5E60-4366-A267-EEC9A4A167CE}">
    <text>create umbrella</text>
  </threadedComment>
  <threadedComment ref="K125" dT="2026-02-10T15:33:29.20" personId="{76B72B18-3AEB-4D11-8EEC-5E72D2F46F74}" id="{6506C1C6-DF4A-49C2-AC46-9119F14233F1}" done="1">
    <text>@TORNERYD Annica I put learn.ep as CM on template.</text>
    <mentions>
      <mention mentionpersonId="{517A00C2-EC01-446D-A38B-7EC5E0469691}" mentionId="{B84BB95C-9503-4D37-865F-9B0E1DFADD22}" startIndex="0" length="16"/>
    </mentions>
  </threadedComment>
  <threadedComment ref="K126" dT="2026-02-04T11:23:38.14" personId="{76B72B18-3AEB-4D11-8EEC-5E72D2F46F74}" id="{0CAFBC29-93F3-4E77-BEAA-F3A58B126A8E}" done="1">
    <text>@TORNERYD Annica I corrected: CM on template should be learn.EP</text>
    <mentions>
      <mention mentionpersonId="{517A00C2-EC01-446D-A38B-7EC5E0469691}" mentionId="{E90E76ED-3822-4A81-8741-56A646434E7B}" startIndex="0" length="16"/>
    </mentions>
  </threadedComment>
  <threadedComment ref="K127" dT="2026-02-04T11:25:41.50" personId="{76B72B18-3AEB-4D11-8EEC-5E72D2F46F74}" id="{3A8EC1FA-92C5-4F81-AC12-BFF49A791480}" done="1">
    <text>@KRASTEVA Viktoriya @KRAJCOVA Mariana Please confirm if courses will be available in the future. Currently no course available!</text>
    <mentions>
      <mention mentionpersonId="{6BD63239-C543-4921-BA7B-9066E9635A02}" mentionId="{7AB11484-C653-4254-844A-226162363F0A}" startIndex="0" length="19"/>
      <mention mentionpersonId="{656FF2A2-5FFF-4985-84DF-293CDACC7747}" mentionId="{1B0E8EDE-1AE8-4C41-B8B7-E1C0D2790C32}" startIndex="20" length="17"/>
    </mentions>
  </threadedComment>
  <threadedComment ref="K127" dT="2026-02-04T11:27:06.99" personId="{76B72B18-3AEB-4D11-8EEC-5E72D2F46F74}" id="{05EF551A-B3BF-49E7-89F1-5023C121DFED}" parentId="{3A8EC1FA-92C5-4F81-AC12-BFF49A791480}">
    <text>I also corrected: CM on template = learn.ep</text>
  </threadedComment>
  <threadedComment ref="K127" dT="2026-02-04T11:28:19.82" personId="{76B72B18-3AEB-4D11-8EEC-5E72D2F46F74}" id="{50E25EF4-1B17-46D0-B488-D31D17ED444B}" parentId="{3A8EC1FA-92C5-4F81-AC12-BFF49A791480}">
    <text>and subtitle of course template = Brussels/Luxembourg and "Online" for online template</text>
  </threadedComment>
  <threadedComment ref="K127" dT="2026-02-04T15:52:13.36" personId="{35EF6A0F-9AEF-47C0-8FAF-AF21BEF607E6}" id="{DA67F2BB-9801-4A1C-B473-3ADEB18BF245}" parentId="{3A8EC1FA-92C5-4F81-AC12-BFF49A791480}">
    <text>Yes, the course is in making.</text>
  </threadedComment>
  <threadedComment ref="B128" dT="2026-03-09T14:46:47.58" personId="{76B72B18-3AEB-4D11-8EEC-5E72D2F46F74}" id="{FAF26BFC-337A-437D-8EB9-ECFC488BAC91}">
    <text>Voice techniques - change title</text>
  </threadedComment>
  <threadedComment ref="K128" dT="2026-02-04T11:30:56.49" personId="{76B72B18-3AEB-4D11-8EEC-5E72D2F46F74}" id="{90673F80-D7CB-4070-9F58-341CF316AD9C}" done="1">
    <text>@MACLER Elodie I corrected: subtitle = Brussels/Luxembourg</text>
    <mentions>
      <mention mentionpersonId="{ED721061-213C-49A0-B46A-61EBD5931D35}" mentionId="{3BFFA0C8-9318-4302-8F9F-55D1ED83882C}" startIndex="0" length="14"/>
    </mentions>
  </threadedComment>
  <threadedComment ref="K129" dT="2026-02-04T11:33:39.41" personId="{76B72B18-3AEB-4D11-8EEC-5E72D2F46F74}" id="{A5DA71DA-6439-4EAE-84C8-6F9B306451D3}" done="1">
    <text>@KRAJCOVA Mariana this is a learning challenge (mix of LiL videos) from the EC. Do we want to keep this published in our catalogue, while we have our own catalogue courses on this topic?</text>
    <mentions>
      <mention mentionpersonId="{656FF2A2-5FFF-4985-84DF-293CDACC7747}" mentionId="{FA8B131F-6A34-4D4B-BD1E-3589EC0E2B4C}" startIndex="0" length="17"/>
    </mentions>
  </threadedComment>
  <threadedComment ref="K129" dT="2026-02-04T15:53:17.20" personId="{35EF6A0F-9AEF-47C0-8FAF-AF21BEF607E6}" id="{FD98482A-B7C9-40F8-BBE8-BDF6DCD90F34}" parentId="{A5DA71DA-6439-4EAE-84C8-6F9B306451D3}">
    <text>Remove from the catalogue. Tx.</text>
  </threadedComment>
  <threadedComment ref="J132" dT="2026-01-22T16:38:29.89" personId="{76B72B18-3AEB-4D11-8EEC-5E72D2F46F74}" id="{A773A02C-6652-4D4C-8818-A1C900B86B77}" done="1">
    <text>@BRAVO Francisco @ZANOLI Carlos we are not sure of the status of the accessibility courses. Will they come back or all moved to eLearning?</text>
    <mentions>
      <mention mentionpersonId="{25702EA3-0F11-4593-837D-2BAD1E1C7F42}" mentionId="{5327DBEB-715A-4F7A-8C9C-20EB5ACD6524}" startIndex="0" length="16"/>
      <mention mentionpersonId="{4BC430D5-0FB4-4B35-9504-324076D4C440}" mentionId="{6C927B5F-C5AE-4B36-8E35-2415D0E00D70}" startIndex="17" length="14"/>
    </mentions>
  </threadedComment>
  <threadedComment ref="J132" dT="2026-01-23T08:29:18.62" personId="{F0ABF953-098F-4F75-A030-0598F86DBE91}" id="{D66BCF19-92E7-49E0-9F51-72D7275BBDAB}" parentId="{A773A02C-6652-4D4C-8818-A1C900B86B77}">
    <text>TBC by @ZANOLI Carlos , I think the new eLearning being developed by SIMAVI+Funka are complementary, but better to check with Carlos</text>
    <mentions>
      <mention mentionpersonId="{4BC430D5-0FB4-4B35-9504-324076D4C440}" mentionId="{721D5C36-2BA8-4A04-B3C1-E8F493C7A2C3}" startIndex="7" length="14"/>
    </mentions>
  </threadedComment>
  <threadedComment ref="J132" dT="2026-01-29T09:12:15.93" personId="{01E9E077-B30D-46AF-BEFF-FA4BCFE010A3}" id="{11A1940E-5369-481A-95DE-B61619BF830A}" parentId="{A773A02C-6652-4D4C-8818-A1C900B86B77}">
    <text>All the DA courses will be replaced by the elearning. As soon as it is ready, I will move all the prebookings from online courses to elearning. I wouldn't include them in the brochure</text>
  </threadedComment>
  <threadedComment ref="K133" dT="2026-02-04T08:57:31.10" personId="{710C1762-C807-417E-9EBE-69445969C5A7}" id="{74B0C125-611F-4B15-A7A3-56AA1C9474E9}" done="1">
    <text>@ZANOLI Carlos can you please change the subtitle to delivery mode for both template and courses assigned to template?</text>
    <mentions>
      <mention mentionpersonId="{4BC430D5-0FB4-4B35-9504-324076D4C440}" mentionId="{AE765C4A-0462-4C6C-9D12-02C223201FCA}" startIndex="0" length="14"/>
    </mentions>
  </threadedComment>
  <threadedComment ref="K135" dT="2026-02-04T09:02:10.58" personId="{710C1762-C807-417E-9EBE-69445969C5A7}" id="{8EFABD88-0951-4931-9F3F-94481FAC734D}" done="1">
    <text>@ZANOLI Carlos courses assigned to this template need their subtitles changed to delivery mode. template is good.</text>
    <mentions>
      <mention mentionpersonId="{4BC430D5-0FB4-4B35-9504-324076D4C440}" mentionId="{9490CDCF-C934-4DD9-AFDE-4A2E383D97B4}" startIndex="0" length="14"/>
    </mentions>
  </threadedComment>
  <threadedComment ref="K135" dT="2026-02-12T15:40:18.54" personId="{01E9E077-B30D-46AF-BEFF-FA4BCFE010A3}" id="{038DC38B-6B38-453A-9C0D-53CBD0B54A2B}" parentId="{8EFABD88-0951-4931-9F3F-94481FAC734D}">
    <text>you mean past courses?</text>
  </threadedComment>
  <threadedComment ref="K136" dT="2026-02-04T09:02:58.63" personId="{710C1762-C807-417E-9EBE-69445969C5A7}" id="{41B71CCA-CB8F-4F01-ABDD-B4839068C66F}" done="1">
    <text>@ZANOLI Carlos subtitles need to be fixed</text>
    <mentions>
      <mention mentionpersonId="{4BC430D5-0FB4-4B35-9504-324076D4C440}" mentionId="{6A43ABA2-4A3D-4B13-9D23-59DC1CF62FF2}" startIndex="0" length="14"/>
    </mentions>
  </threadedComment>
  <threadedComment ref="K137" dT="2026-02-04T09:03:55.31" personId="{710C1762-C807-417E-9EBE-69445969C5A7}" id="{A46D9B17-67B7-420E-8579-A9E24CC14B15}" done="1">
    <text>@ZANOLI Carlos subtitles need to be fixed</text>
    <mentions>
      <mention mentionpersonId="{4BC430D5-0FB4-4B35-9504-324076D4C440}" mentionId="{46EBAD6B-3340-43F5-901D-AF080CF4597E}" startIndex="0" length="14"/>
    </mentions>
  </threadedComment>
  <threadedComment ref="K145" dT="2026-02-04T09:06:46.78" personId="{710C1762-C807-417E-9EBE-69445969C5A7}" id="{C53DD587-6235-4A1D-945E-84FEC554BC8D}" done="1">
    <text>@ZANOLI Carlos subtitles need to be fixed</text>
    <mentions>
      <mention mentionpersonId="{4BC430D5-0FB4-4B35-9504-324076D4C440}" mentionId="{880F16DD-8425-4A1E-962C-773D610EF2C7}" startIndex="0" length="14"/>
    </mentions>
  </threadedComment>
  <threadedComment ref="K147" dT="2026-02-04T09:11:05.49" personId="{710C1762-C807-417E-9EBE-69445969C5A7}" id="{B275ED46-899F-4889-B536-92718C40F35F}" done="1">
    <text>@ZANOLI Carlos subtitle in template needs to be fixed</text>
    <mentions>
      <mention mentionpersonId="{4BC430D5-0FB4-4B35-9504-324076D4C440}" mentionId="{CA0D102A-DBE5-469D-9A6D-D68FE9A18AA0}" startIndex="0" length="14"/>
    </mentions>
  </threadedComment>
  <threadedComment ref="K148" dT="2026-02-04T09:13:33.70" personId="{710C1762-C807-417E-9EBE-69445969C5A7}" id="{CF8C0A86-0979-482D-95C8-92C062EAFFB0}" done="1">
    <text>@ZANOLI Carlos can you please correct the subtitle for this template? should be online instead of online course</text>
    <mentions>
      <mention mentionpersonId="{4BC430D5-0FB4-4B35-9504-324076D4C440}" mentionId="{877FF535-412D-4746-8804-0C9BBEEC07C7}" startIndex="0" length="14"/>
    </mentions>
  </threadedComment>
  <threadedComment ref="B149" dT="2026-03-09T14:49:35.38" personId="{76B72B18-3AEB-4D11-8EEC-5E72D2F46F74}" id="{B22B4B44-C99D-463E-BB2C-3B6054BF4B53}">
    <text>Why "step 1" in title @ZANOLI Carlos ?</text>
    <mentions>
      <mention mentionpersonId="{4BC430D5-0FB4-4B35-9504-324076D4C440}" mentionId="{E46B55DB-6C58-4651-9D6F-1CCB5E296C75}" startIndex="22" length="14"/>
    </mentions>
  </threadedComment>
  <threadedComment ref="B149" dT="2026-03-09T15:21:24.72" personId="{01E9E077-B30D-46AF-BEFF-FA4BCFE010A3}" id="{721C1280-98C3-41F7-9140-3B0AB424FCE3}" parentId="{B22B4B44-C99D-463E-BB2C-3B6054BF4B53}">
    <text>because there should be a "step 2" version, which is the advanced version, but we don't offer it in the catalogue, tailor made only</text>
  </threadedComment>
  <threadedComment ref="J149" dT="2026-01-22T16:39:00.11" personId="{76B72B18-3AEB-4D11-8EEC-5E72D2F46F74}" id="{908A21A5-0F6F-4D19-8C64-7D0ABB007FDF}" done="1">
    <text>@ZANOLI Carlos please check</text>
    <mentions>
      <mention mentionpersonId="{4BC430D5-0FB4-4B35-9504-324076D4C440}" mentionId="{8F61E5BC-EE61-4077-BBF7-03877D13814A}" startIndex="0" length="14"/>
    </mentions>
  </threadedComment>
  <threadedComment ref="J149" dT="2026-01-29T09:12:49.01" personId="{01E9E077-B30D-46AF-BEFF-FA4BCFE010A3}" id="{C3E131DD-93BB-4EE0-8444-6C3030C17D9D}" parentId="{908A21A5-0F6F-4D19-8C64-7D0ABB007FDF}">
    <text>I would say not needed in the catalogue</text>
  </threadedComment>
  <threadedComment ref="K154" dT="2026-02-04T09:18:58.75" personId="{710C1762-C807-417E-9EBE-69445969C5A7}" id="{62973BFF-A9B8-42B0-AD99-CF4C50B74C7D}" done="1">
    <text>@ZANOLI Carlos subtitle needs to be fixed</text>
    <mentions>
      <mention mentionpersonId="{4BC430D5-0FB4-4B35-9504-324076D4C440}" mentionId="{F26CCEE4-6196-4B40-992C-369A913889B2}" startIndex="0" length="14"/>
    </mentions>
  </threadedComment>
  <threadedComment ref="K154" dT="2026-02-04T09:52:44.13" personId="{01E9E077-B30D-46AF-BEFF-FA4BCFE010A3}" id="{CB23B321-AF3B-47AD-B255-193FC514F016}" parentId="{62973BFF-A9B8-42B0-AD99-CF4C50B74C7D}">
    <text>hum, idk what course is this or who organizes it :(</text>
  </threadedComment>
  <threadedComment ref="K154" dT="2026-02-26T09:12:11.72" personId="{76B72B18-3AEB-4D11-8EEC-5E72D2F46F74}" id="{945B62C5-6B88-4C6C-A840-9C128D786792}" parentId="{62973BFF-A9B8-42B0-AD99-CF4C50B74C7D}">
    <text>Course is forward to a video from a university. We can change it ourselves.</text>
  </threadedComment>
  <threadedComment ref="K155" dT="2026-02-04T09:19:27.96" personId="{710C1762-C807-417E-9EBE-69445969C5A7}" id="{D28AF855-DB2C-4E94-BFE6-49A766BBEF2A}" done="1">
    <text>@ZANOLI Carlos subtitle</text>
    <mentions>
      <mention mentionpersonId="{4BC430D5-0FB4-4B35-9504-324076D4C440}" mentionId="{D07B05B8-6B11-4808-97FE-601BE80EEC9B}" startIndex="0" length="14"/>
    </mentions>
  </threadedComment>
  <threadedComment ref="K155" dT="2026-02-13T11:10:50.28" personId="{710C1762-C807-417E-9EBE-69445969C5A7}" id="{A95E6860-EE15-47D5-9104-79290D0143B9}" parentId="{D28AF855-DB2C-4E94-BFE6-49A766BBEF2A}">
    <text>@ZANOLI Carlos do you mind if I change it to just eLearning in the subtitle?</text>
    <mentions>
      <mention mentionpersonId="{4BC430D5-0FB4-4B35-9504-324076D4C440}" mentionId="{CABAD02F-DE1B-40F2-8140-66E6FA5B2B0D}" startIndex="0" length="14"/>
    </mentions>
  </threadedComment>
  <threadedComment ref="K159" dT="2026-02-04T09:20:50.95" personId="{710C1762-C807-417E-9EBE-69445969C5A7}" id="{B7AA81BF-7B61-4EBB-B256-FFAE2E996C96}" done="1">
    <text>@ZANOLI Carlos need to add subtitle to template</text>
    <mentions>
      <mention mentionpersonId="{4BC430D5-0FB4-4B35-9504-324076D4C440}" mentionId="{4F6EE6EF-A417-4E7C-89F6-26975C1D67EE}" startIndex="0" length="14"/>
    </mentions>
  </threadedComment>
  <threadedComment ref="K159" dT="2026-02-04T09:22:18.39" personId="{710C1762-C807-417E-9EBE-69445969C5A7}" id="{75A6A811-F2C3-4C24-989F-88B845EFA1CA}" parentId="{B7AA81BF-7B61-4EBB-B256-FFAE2E996C96}">
    <text xml:space="preserve">The course is encoded as classroom on the template level but is then encoded as online on the course level. @ZANOLI Carlos </text>
    <mentions>
      <mention mentionpersonId="{4BC430D5-0FB4-4B35-9504-324076D4C440}" mentionId="{B5158141-88CB-47DF-B202-878E5968136B}" startIndex="108" length="14"/>
    </mentions>
  </threadedComment>
  <threadedComment ref="K159" dT="2026-02-12T15:45:54.02" personId="{01E9E077-B30D-46AF-BEFF-FA4BCFE010A3}" id="{EEDC31E8-3BF7-420E-B6B2-096FFA0D9B79}" parentId="{B7AA81BF-7B61-4EBB-B256-FFAE2E996C96}">
    <text>@CHARTOL Adeline whatttt??? I see they all are classroom, can you show me please?</text>
    <mentions>
      <mention mentionpersonId="{7C37A3B2-AC5B-4098-8338-F89234C1C0F5}" mentionId="{593BDAAE-070D-4AB0-8680-DCF9CC332E86}" startIndex="0" length="16"/>
    </mentions>
  </threadedComment>
  <threadedComment ref="K159" dT="2026-02-12T16:10:34.69" personId="{710C1762-C807-417E-9EBE-69445969C5A7}" id="{83E4D86F-327F-4371-9A48-40BD078FF18F}" parentId="{B7AA81BF-7B61-4EBB-B256-FFAE2E996C96}">
    <text>@ZANOLI Carlos ooops im sorryy you are right!!</text>
    <mentions>
      <mention mentionpersonId="{4BC430D5-0FB4-4B35-9504-324076D4C440}" mentionId="{83D977A8-B8CA-421D-87FF-990D596921FD}" startIndex="0" length="14"/>
    </mentions>
  </threadedComment>
  <threadedComment ref="K160" dT="2026-02-12T09:30:34.22" personId="{76B72B18-3AEB-4D11-8EEC-5E72D2F46F74}" id="{279501BF-646D-41DB-A002-0909C8E50427}" done="1">
    <text>@ZANOLI Carlos can we remove this? not organised since 2024</text>
    <mentions>
      <mention mentionpersonId="{4BC430D5-0FB4-4B35-9504-324076D4C440}" mentionId="{4C87BD55-9A02-42EA-8B13-88AC005BB52D}" startIndex="0" length="14"/>
    </mentions>
  </threadedComment>
  <threadedComment ref="K160" dT="2026-02-12T15:47:02.97" personId="{01E9E077-B30D-46AF-BEFF-FA4BCFE010A3}" id="{02BCB13E-5EA9-4BAC-B519-B05ACA95B488}" parentId="{279501BF-646D-41DB-A002-0909C8E50427}">
    <text>yes remove it</text>
  </threadedComment>
  <threadedComment ref="J161" dT="2026-01-28T09:02:13.59" personId="{76B72B18-3AEB-4D11-8EEC-5E72D2F46F74}" id="{F1A78CDB-3DC5-4EDA-BE80-5463955465F4}" done="1">
    <text>@ZANOLI Carlos please say if AWS will stay in the offer</text>
    <mentions>
      <mention mentionpersonId="{4BC430D5-0FB4-4B35-9504-324076D4C440}" mentionId="{1C056678-D5FA-4E68-886B-5E6E7731021F}" startIndex="0" length="14"/>
    </mentions>
  </threadedComment>
  <threadedComment ref="J161" dT="2026-01-29T09:10:23.38" personId="{01E9E077-B30D-46AF-BEFF-FA4BCFE010A3}" id="{8A84A011-5A5E-407B-BB56-3054B7DAB13A}" parentId="{F1A78CDB-3DC5-4EDA-BE80-5463955465F4}">
    <text>It's an EC course - maybe it's better to hide it in the meantime?</text>
  </threadedComment>
  <threadedComment ref="J161" dT="2026-02-16T13:07:11.67" personId="{76B72B18-3AEB-4D11-8EEC-5E72D2F46F74}" id="{2A7E8BBF-FC3D-4692-84E6-9530B9606237}" parentId="{F1A78CDB-3DC5-4EDA-BE80-5463955465F4}">
    <text>removed from the catalogue -&gt; course was in the past</text>
  </threadedComment>
  <threadedComment ref="K162" dT="2026-02-04T09:23:33.55" personId="{710C1762-C807-417E-9EBE-69445969C5A7}" id="{EA7F5211-F5F4-4BCF-B412-BB7DB11344EA}" done="1">
    <text>@ZANOLI Carlos should this still be in the catalogue?</text>
    <mentions>
      <mention mentionpersonId="{4BC430D5-0FB4-4B35-9504-324076D4C440}" mentionId="{3B824955-4DE3-4E84-830C-2B17201FA83A}" startIndex="0" length="14"/>
    </mentions>
  </threadedComment>
  <threadedComment ref="K162" dT="2026-02-12T15:47:46.29" personId="{01E9E077-B30D-46AF-BEFF-FA4BCFE010A3}" id="{10A35FB3-51EC-4306-84F8-A744C82C544E}" parentId="{EA7F5211-F5F4-4BCF-B412-BB7DB11344EA}">
    <text>@VIANNIS Ioannis what do you think?</text>
    <mentions>
      <mention mentionpersonId="{EC9D54C1-C9FF-4C81-959F-DB5C81B01C3D}" mentionId="{30C0AF92-11DB-493D-B470-3FEDE78078C9}" startIndex="0" length="16"/>
    </mentions>
  </threadedComment>
  <threadedComment ref="K162" dT="2026-02-12T16:08:57.46" personId="{48A34555-B584-4B16-B5D2-64EDE69BCBDC}" id="{B1230DC9-FABD-4AB6-A89B-FFC22EEA0C4B}" parentId="{EA7F5211-F5F4-4BCF-B412-BB7DB11344EA}">
    <text>@ZANOLI Carlos I think it makes sense because it leads to certification.</text>
    <mentions>
      <mention mentionpersonId="{4BC430D5-0FB4-4B35-9504-324076D4C440}" mentionId="{8BBF0B5D-07C1-488D-A3A3-AF6C1F42979E}" startIndex="0" length="14"/>
    </mentions>
  </threadedComment>
  <threadedComment ref="K163" dT="2026-02-04T09:28:04.70" personId="{710C1762-C807-417E-9EBE-69445969C5A7}" id="{1FFAD08A-80DC-4EBC-A102-1E8023256F35}" done="1">
    <text>@VIANNIS Ioannis Should this course still be in the catalogue? If so, can you add a subtitle?</text>
    <mentions>
      <mention mentionpersonId="{EC9D54C1-C9FF-4C81-959F-DB5C81B01C3D}" mentionId="{21D0E783-B9F4-4B05-856E-CAB7C2C63233}" startIndex="0" length="16"/>
    </mentions>
  </threadedComment>
  <threadedComment ref="K163" dT="2026-02-04T15:33:28.63" personId="{48A34555-B584-4B16-B5D2-64EDE69BCBDC}" id="{19609628-FE75-4851-A4C3-8A68A3643DCC}" parentId="{1FFAD08A-80DC-4EBC-A102-1E8023256F35}">
    <text>@CHARTOL Adeline Marguerite Rose This needs to be removed. Too old.</text>
    <mentions>
      <mention mentionpersonId="{EA48D16F-D457-499F-B2D0-7A9A2E7E647B}" mentionId="{3A4996DA-BAB7-4ABA-95D8-FE4779D9E4AB}" startIndex="0" length="32"/>
    </mentions>
  </threadedComment>
  <threadedComment ref="K164" dT="2026-02-04T09:29:27.55" personId="{710C1762-C807-417E-9EBE-69445969C5A7}" id="{8B0C1DCA-0291-4584-A809-3F1850D1D7F3}" done="1">
    <text>@VIANNIS Ioannis same question as above</text>
    <mentions>
      <mention mentionpersonId="{EC9D54C1-C9FF-4C81-959F-DB5C81B01C3D}" mentionId="{6F126CA9-D434-4ECB-B3A9-8F8988055A1B}" startIndex="0" length="16"/>
    </mentions>
  </threadedComment>
  <threadedComment ref="K164" dT="2026-02-04T15:29:25.98" personId="{48A34555-B584-4B16-B5D2-64EDE69BCBDC}" id="{7A3416D7-3701-496E-9049-BDAC7F6D6A0F}" parentId="{8B0C1DCA-0291-4584-A809-3F1850D1D7F3}">
    <text>@CHARTOL Adeline Marguerite Rose Needs to be removed. Too old</text>
    <mentions>
      <mention mentionpersonId="{EA48D16F-D457-499F-B2D0-7A9A2E7E647B}" mentionId="{A60547C7-97F0-4816-86F7-15CED4B4A7D7}" startIndex="0" length="32"/>
    </mentions>
  </threadedComment>
  <threadedComment ref="K166" dT="2026-02-13T11:25:56.51" personId="{710C1762-C807-417E-9EBE-69445969C5A7}" id="{1B18E89C-CFCA-42E9-BDDB-6A6DBF3A29C3}" done="1">
    <text>@HENNINGSEN Philipp Alexander @ŠTIH Kaja these courses haven't been organized since 2021, can i remove them from catalogue? this course and course blow</text>
    <mentions>
      <mention mentionpersonId="{BC37D492-A87C-4214-9153-C0CC74E0474C}" mentionId="{C0D0E1F4-6FD8-4DF0-921B-9C07428AB7FC}" startIndex="0" length="29"/>
      <mention mentionpersonId="{D40186F2-BD0F-4C10-8711-621D111A54D9}" mentionId="{88F4CA9D-DA1C-4201-97A6-5788F2A4CEBD}" startIndex="30" length="10"/>
    </mentions>
  </threadedComment>
  <threadedComment ref="K166" dT="2026-02-13T12:15:55.08" personId="{76B72B18-3AEB-4D11-8EEC-5E72D2F46F74}" id="{C1A07FBB-7E4E-40D6-BB72-32C44ABE6DD2}" parentId="{1B18E89C-CFCA-42E9-BDDB-6A6DBF3A29C3}">
    <text>this are files. They files are avalier for an unlimited time. So we can keep them. However, I'm not sure if they should go into the brochure. @ZANOLI Carlos please confirm if they are "highlights" or not</text>
    <mentions>
      <mention mentionpersonId="{4BC430D5-0FB4-4B35-9504-324076D4C440}" mentionId="{DCE60684-8610-4402-93F9-72B10F68869E}" startIndex="142" length="14"/>
    </mentions>
  </threadedComment>
  <threadedComment ref="K168" dT="2026-02-04T09:30:44.29" personId="{710C1762-C807-417E-9EBE-69445969C5A7}" id="{94013731-FBAE-479F-8AC7-365C2C82934B}" done="1">
    <text>@ŠTIH Kaja subtitle is wrong</text>
    <mentions>
      <mention mentionpersonId="{D40186F2-BD0F-4C10-8711-621D111A54D9}" mentionId="{0A795955-4927-4D0A-B882-FB24C431D49F}" startIndex="0" length="10"/>
    </mentions>
  </threadedComment>
  <threadedComment ref="K168" dT="2026-02-04T10:12:16.37" personId="{F214464C-A349-4E3E-8B83-BEE6E82299B2}" id="{586B6359-8E73-4D1D-9EF0-A3DBA423090A}" parentId="{94013731-FBAE-479F-8AC7-365C2C82934B}">
    <text>thank you, done!</text>
  </threadedComment>
  <threadedComment ref="K175" dT="2026-02-04T09:56:49.38" personId="{710C1762-C807-417E-9EBE-69445969C5A7}" id="{3E29CBA7-52B7-4983-8BD8-678645D15189}" done="1">
    <text>@ZANOLI Carlos The course template needs a subtitle</text>
    <mentions>
      <mention mentionpersonId="{4BC430D5-0FB4-4B35-9504-324076D4C440}" mentionId="{93AF5B40-0598-4009-A400-39DF2BEF4F9A}" startIndex="0" length="14"/>
    </mentions>
  </threadedComment>
  <threadedComment ref="K176" dT="2026-02-12T09:30:34.22" personId="{76B72B18-3AEB-4D11-8EEC-5E72D2F46F74}" id="{4F1F7A89-79A6-4732-A254-6C5A73AC4CC3}" done="1">
    <text>@ZANOLI Carlos can we remove this? not organised since 2024</text>
    <mentions>
      <mention mentionpersonId="{4BC430D5-0FB4-4B35-9504-324076D4C440}" mentionId="{38CE7AF9-9B9F-4FAC-A6E4-5BFAAAAAA4D0}" startIndex="0" length="14"/>
    </mentions>
  </threadedComment>
  <threadedComment ref="K176" dT="2026-02-12T15:49:29.03" personId="{01E9E077-B30D-46AF-BEFF-FA4BCFE010A3}" id="{F64097B4-D9A3-4CD1-9EDB-E2F76B889056}" parentId="{4F1F7A89-79A6-4732-A254-6C5A73AC4CC3}">
    <text>I will organize 2 sessions soon!</text>
  </threadedComment>
  <threadedComment ref="J180" dT="2026-02-04T08:25:25.93" personId="{01E9E077-B30D-46AF-BEFF-FA4BCFE010A3}" id="{22911E86-A6F1-48A7-A78E-716D99653274}" done="1">
    <text>@HENNINGSEN Philipp Alexander I wouldn't put this, it's an EC course</text>
    <mentions>
      <mention mentionpersonId="{BC37D492-A87C-4214-9153-C0CC74E0474C}" mentionId="{9C495624-6FCE-4794-A5C9-CED4A4B4074C}" startIndex="0" length="29"/>
    </mentions>
  </threadedComment>
  <threadedComment ref="J180" dT="2026-02-13T12:20:18.65" personId="{76B72B18-3AEB-4D11-8EEC-5E72D2F46F74}" id="{5DA19632-3992-4EE4-B37E-9E471C96BADC}" parentId="{22911E86-A6F1-48A7-A78E-716D99653274}">
    <text>I changed to "No". @BRAVO Francisco please confirm.</text>
    <mentions>
      <mention mentionpersonId="{25702EA3-0F11-4593-837D-2BAD1E1C7F42}" mentionId="{594E2452-7EF1-46B1-A981-2E71F7E0F9AA}" startIndex="19" length="16"/>
    </mentions>
  </threadedComment>
  <threadedComment ref="J180" dT="2026-02-13T12:42:47.40" personId="{F0ABF953-098F-4F75-A030-0598F86DBE91}" id="{2E1D81CC-FE79-4237-8020-0D56C5833057}" parentId="{22911E86-A6F1-48A7-A78E-716D99653274}">
    <text>Confirmed!</text>
  </threadedComment>
  <threadedComment ref="K193" dT="2026-01-28T09:03:50.25" personId="{76B72B18-3AEB-4D11-8EEC-5E72D2F46F74}" id="{0C3AC102-76DC-4529-91C6-6671F44672D7}" done="1">
    <text>@ZANOLI Carlos Should we remove this from the catalogue?</text>
    <mentions>
      <mention mentionpersonId="{4BC430D5-0FB4-4B35-9504-324076D4C440}" mentionId="{390DFC03-C458-4A33-9539-6912F988FEBC}" startIndex="0" length="14"/>
    </mentions>
  </threadedComment>
  <threadedComment ref="K193" dT="2026-01-29T09:13:23.01" personId="{01E9E077-B30D-46AF-BEFF-FA4BCFE010A3}" id="{17563F1F-CCA4-4FE1-8B6E-915F69EAF8C6}" parentId="{0C3AC102-76DC-4529-91C6-6671F44672D7}">
    <text>not yet, SAFE wanted to offer more dates in the future</text>
  </threadedComment>
  <threadedComment ref="K193" dT="2026-02-04T10:06:54.97" personId="{710C1762-C807-417E-9EBE-69445969C5A7}" id="{481E1030-8793-4662-B249-B39BF6756B7A}" parentId="{0C3AC102-76DC-4529-91C6-6671F44672D7}">
    <text xml:space="preserve">Can you correct the subtitle for the template @ZANOLI Carlos </text>
    <mentions>
      <mention mentionpersonId="{4BC430D5-0FB4-4B35-9504-324076D4C440}" mentionId="{4B370119-5132-4047-868C-385A74C15AC2}" startIndex="46" length="14"/>
    </mentions>
  </threadedComment>
  <threadedComment ref="K196" dT="2026-02-04T10:16:51.13" personId="{710C1762-C807-417E-9EBE-69445969C5A7}" id="{260BD0B1-E9B7-4EB3-A502-68926EBB9205}" done="1">
    <text>@ZANOLI Carlos some of the upcoming courses under this template have inccorect subtitles. should just be brussels or luxembourg with no additional words</text>
    <mentions>
      <mention mentionpersonId="{4BC430D5-0FB4-4B35-9504-324076D4C440}" mentionId="{4EB1B73D-0B1D-46FA-9BDF-C678F002D74E}" startIndex="0" length="14"/>
    </mentions>
  </threadedComment>
  <threadedComment ref="K197" dT="2026-01-28T09:05:08.92" personId="{76B72B18-3AEB-4D11-8EEC-5E72D2F46F74}" id="{94037C20-42F6-46DE-BEED-0BE8F925E3AD}" done="1">
    <text>@ZANOLI Carlos should we remove this from the catalogue?</text>
    <mentions>
      <mention mentionpersonId="{4BC430D5-0FB4-4B35-9504-324076D4C440}" mentionId="{845A2A24-EDB8-4FB6-8452-7A8E4613B8E7}" startIndex="0" length="14"/>
    </mentions>
  </threadedComment>
  <threadedComment ref="K197" dT="2026-01-29T09:13:49.22" personId="{01E9E077-B30D-46AF-BEFF-FA4BCFE010A3}" id="{8C479B50-FB8B-4919-84A1-AE3CE57AABBF}" parentId="{94037C20-42F6-46DE-BEED-0BE8F925E3AD}">
    <text>ITEC wanted to keep it for future sessions</text>
  </threadedComment>
  <threadedComment ref="K197" dT="2026-02-13T11:54:09.89" personId="{710C1762-C807-417E-9EBE-69445969C5A7}" id="{B744B968-244A-432B-8F8A-751886A3DA6E}" parentId="{94037C20-42F6-46DE-BEED-0BE8F925E3AD}">
    <text>@ZANOLI Carlos the titles in the template need to match. also the subtitle should be fixed.</text>
    <mentions>
      <mention mentionpersonId="{4BC430D5-0FB4-4B35-9504-324076D4C440}" mentionId="{A4AE8BF7-25E1-4ED2-A903-B15F66A0A2BB}" startIndex="0" length="14"/>
    </mentions>
  </threadedComment>
  <threadedComment ref="K198" dT="2026-02-04T10:18:43.55" personId="{710C1762-C807-417E-9EBE-69445969C5A7}" id="{E645A24C-BDDA-4F9F-AF9C-C680C9DD5EA8}" done="1">
    <text>@ZANOLI Carlos subtitle is wrong</text>
    <mentions>
      <mention mentionpersonId="{4BC430D5-0FB4-4B35-9504-324076D4C440}" mentionId="{1E0E1FC2-1465-4FC4-95E3-2FA61DFD8956}" startIndex="0" length="14"/>
    </mentions>
  </threadedComment>
  <threadedComment ref="K198" dT="2026-02-13T11:55:17.75" personId="{710C1762-C807-417E-9EBE-69445969C5A7}" id="{9CA33806-9237-45AA-B444-90FF4ADA10F8}" parentId="{E645A24C-BDDA-4F9F-AF9C-C680C9DD5EA8}">
    <text>@ZANOLI Carlos could i change the subtitle to eLearning?</text>
    <mentions>
      <mention mentionpersonId="{4BC430D5-0FB4-4B35-9504-324076D4C440}" mentionId="{0613BC37-F95C-42FE-8B53-601BDAA6B8D3}" startIndex="0" length="14"/>
    </mentions>
  </threadedComment>
  <threadedComment ref="K201" dT="2026-02-04T10:19:31.88" personId="{710C1762-C807-417E-9EBE-69445969C5A7}" id="{A14525D5-9D2C-48CA-8EDE-0735BC7D3816}" done="1">
    <text>@ZANOLI Carlos subtitle is wrong</text>
    <mentions>
      <mention mentionpersonId="{4BC430D5-0FB4-4B35-9504-324076D4C440}" mentionId="{0267D1B7-C4CC-40C4-BFCE-D376D3406373}" startIndex="0" length="14"/>
    </mentions>
  </threadedComment>
  <threadedComment ref="K201" dT="2026-02-13T11:56:13.97" personId="{710C1762-C807-417E-9EBE-69445969C5A7}" id="{CFB997CC-52F2-4E91-8598-3515DD9B7AFE}" parentId="{A14525D5-9D2C-48CA-8EDE-0735BC7D3816}">
    <text>@ZANOLI Carlos titles in the template do not match</text>
    <mentions>
      <mention mentionpersonId="{4BC430D5-0FB4-4B35-9504-324076D4C440}" mentionId="{635187D7-B7F9-4804-924C-95543CC53340}" startIndex="0" length="14"/>
    </mentions>
  </threadedComment>
  <threadedComment ref="K201" dT="2026-03-09T11:04:08.13" personId="{76B72B18-3AEB-4D11-8EEC-5E72D2F46F74}" id="{FD138A2A-BFCD-4742-B0BC-38DC3EA522BD}" parentId="{A14525D5-9D2C-48CA-8EDE-0735BC7D3816}">
    <text>Course instead of template attached to catalogue now.</text>
  </threadedComment>
  <threadedComment ref="K205" dT="2026-02-04T10:20:33.40" personId="{710C1762-C807-417E-9EBE-69445969C5A7}" id="{317AEFB0-D396-4BF2-BDD9-9B6EB8FB219E}" done="1">
    <text>@ZANOLI Carlos subtitles for these courses are wrong</text>
    <mentions>
      <mention mentionpersonId="{4BC430D5-0FB4-4B35-9504-324076D4C440}" mentionId="{4941A14A-6417-4394-81D6-7C73C241E74D}" startIndex="0" length="14"/>
    </mentions>
  </threadedComment>
  <threadedComment ref="K206" dT="2026-02-12T09:30:34.22" personId="{76B72B18-3AEB-4D11-8EEC-5E72D2F46F74}" id="{423893F2-9D2E-46C5-A483-FF31B66D5C02}" done="1">
    <text>@ZANOLI Carlos can we remove this? not organised since 2024</text>
    <mentions>
      <mention mentionpersonId="{4BC430D5-0FB4-4B35-9504-324076D4C440}" mentionId="{77301047-E148-4CFE-B9B0-D66D23906DE8}" startIndex="0" length="14"/>
    </mentions>
  </threadedComment>
  <threadedComment ref="K206" dT="2026-02-12T15:55:23.94" personId="{01E9E077-B30D-46AF-BEFF-FA4BCFE010A3}" id="{10DE0862-C9C1-47D2-BB90-0DE7FDE4A26D}" parentId="{423893F2-9D2E-46C5-A483-FF31B66D5C02}">
    <text>i dont even know what that is - remove!</text>
  </threadedComment>
  <threadedComment ref="K211" dT="2026-02-16T08:22:05.81" personId="{710C1762-C807-417E-9EBE-69445969C5A7}" id="{2DFDAB12-DF67-436B-AED0-76CD23BC4983}" done="1">
    <text>@ZANOLI Carlos the titles in the template do not match</text>
    <mentions>
      <mention mentionpersonId="{4BC430D5-0FB4-4B35-9504-324076D4C440}" mentionId="{97DA7A60-8457-4DB1-BE2C-8007F8708362}" startIndex="0" length="14"/>
    </mentions>
  </threadedComment>
  <threadedComment ref="K212" dT="2026-02-16T08:22:47.25" personId="{710C1762-C807-417E-9EBE-69445969C5A7}" id="{1E4B20CA-AC91-425F-99B1-800763056FC0}" done="1">
    <text>@ZANOLI Carlos titles in the template do not match</text>
    <mentions>
      <mention mentionpersonId="{4BC430D5-0FB4-4B35-9504-324076D4C440}" mentionId="{A3E94AA8-C83B-4550-8DEE-D268B5B0DBCB}" startIndex="0" length="14"/>
    </mentions>
  </threadedComment>
  <threadedComment ref="K215" dT="2026-02-04T10:46:54.75" personId="{710C1762-C807-417E-9EBE-69445969C5A7}" id="{36EA5A1D-5EF4-48EC-AAA2-1D3BA3673B89}" done="1">
    <text>@ZANOLI Carlos subtitle should just be classroom. the subtitles for the courses should just have the name of the city.</text>
    <mentions>
      <mention mentionpersonId="{4BC430D5-0FB4-4B35-9504-324076D4C440}" mentionId="{89FAF8CD-3051-408A-95EA-DE45BE0F14E2}" startIndex="0" length="14"/>
    </mentions>
  </threadedComment>
  <threadedComment ref="K216" dT="2026-02-04T10:52:40.12" personId="{710C1762-C807-417E-9EBE-69445969C5A7}" id="{3C93F98E-7B1D-4230-A493-F27AAF12A6A6}" done="1">
    <text>@ZANOLI Carlos titles in template are not the same in description and course description. subtitles should also be corrected.</text>
    <mentions>
      <mention mentionpersonId="{4BC430D5-0FB4-4B35-9504-324076D4C440}" mentionId="{F62AC8DC-6946-4C85-8741-9E48652E4722}" startIndex="0" length="14"/>
    </mentions>
  </threadedComment>
  <threadedComment ref="K216" dT="2026-02-13T12:01:27.18" personId="{710C1762-C807-417E-9EBE-69445969C5A7}" id="{E1C06DCA-B78A-4FD6-AB4F-3BBECE905949}" parentId="{3C93F98E-7B1D-4230-A493-F27AAF12A6A6}">
    <text>@ZANOLI Carlos would you mind if i fixed this?</text>
    <mentions>
      <mention mentionpersonId="{4BC430D5-0FB4-4B35-9504-324076D4C440}" mentionId="{9C3F7CD7-3C34-42F5-87E1-532DB3AFA9A6}" startIndex="0" length="14"/>
    </mentions>
  </threadedComment>
  <threadedComment ref="J221" dT="2026-02-04T08:26:41.44" personId="{01E9E077-B30D-46AF-BEFF-FA4BCFE010A3}" id="{C5BD7B1F-5196-4EA0-B324-38DE89C3A99F}" done="1">
    <text>@HENNINGSEN Philipp Alexander I propose to remove it from the catalogue even</text>
    <mentions>
      <mention mentionpersonId="{BC37D492-A87C-4214-9153-C0CC74E0474C}" mentionId="{CADF210D-AA12-4498-918C-249F5EE924C8}" startIndex="0" length="29"/>
    </mentions>
  </threadedComment>
  <threadedComment ref="K221" dT="2026-02-04T10:58:30.06" personId="{710C1762-C807-417E-9EBE-69445969C5A7}" id="{AB66EA2D-F84A-42C0-A1B7-7B40429FCE50}" done="1">
    <text>@ZANOLI Carlos the template needs a subtitle</text>
    <mentions>
      <mention mentionpersonId="{4BC430D5-0FB4-4B35-9504-324076D4C440}" mentionId="{D1F78E91-F855-496E-B579-F578784429F0}" startIndex="0" length="14"/>
    </mentions>
  </threadedComment>
  <threadedComment ref="K221" dT="2026-02-12T09:31:18.64" personId="{76B72B18-3AEB-4D11-8EEC-5E72D2F46F74}" id="{38B98F2F-66CF-43EE-9879-54C5BF7F07D2}" parentId="{AB66EA2D-F84A-42C0-A1B7-7B40429FCE50}">
    <text>Can we remove this template? not organised since 2024</text>
  </threadedComment>
  <threadedComment ref="K221" dT="2026-02-12T16:00:46.72" personId="{01E9E077-B30D-46AF-BEFF-FA4BCFE010A3}" id="{8FC70457-34C1-4161-A267-C69F03E57BD3}" parentId="{AB66EA2D-F84A-42C0-A1B7-7B40429FCE50}">
    <text>yes removee</text>
  </threadedComment>
  <threadedComment ref="K223" dT="2026-02-04T10:59:39.06" personId="{710C1762-C807-417E-9EBE-69445969C5A7}" id="{F7540353-814B-41CF-8C81-7D30855703A1}" done="1">
    <text>@ZANOLI Carlos subtitle needs to be fixed</text>
    <mentions>
      <mention mentionpersonId="{4BC430D5-0FB4-4B35-9504-324076D4C440}" mentionId="{64D54182-BF5D-4DEC-853A-E6A4CF1AC20E}" startIndex="0" length="14"/>
    </mentions>
  </threadedComment>
  <threadedComment ref="K224" dT="2026-02-04T11:04:07.05" personId="{710C1762-C807-417E-9EBE-69445969C5A7}" id="{4757FB79-BE33-4094-819D-DF933331AA3A}" done="1">
    <text xml:space="preserve">titles in template do not match @ZANOLI Carlos </text>
    <mentions>
      <mention mentionpersonId="{4BC430D5-0FB4-4B35-9504-324076D4C440}" mentionId="{9078DCFC-C800-4B53-8E1E-3BF3B0533333}" startIndex="32" length="14"/>
    </mentions>
  </threadedComment>
  <threadedComment ref="K225" dT="2026-02-04T11:09:00.79" personId="{710C1762-C807-417E-9EBE-69445969C5A7}" id="{F4964608-5179-4FBF-8103-D788DB55AC79}" done="1">
    <text>@ZANOLI Carlos subtitles are not correct in some of the courses and in the template. also titles are not correct in template.</text>
    <mentions>
      <mention mentionpersonId="{4BC430D5-0FB4-4B35-9504-324076D4C440}" mentionId="{A695A49F-483C-4552-BC58-F11455A8EEC9}" startIndex="0" length="14"/>
    </mentions>
  </threadedComment>
  <threadedComment ref="K226" dT="2026-02-04T11:10:04.85" personId="{710C1762-C807-417E-9EBE-69445969C5A7}" id="{4ADF9DF2-5DB4-4B1B-9837-1CDCF057104F}" done="1">
    <text>@ZANOLI Carlos subtitles are not correct and titles do not match.</text>
    <mentions>
      <mention mentionpersonId="{4BC430D5-0FB4-4B35-9504-324076D4C440}" mentionId="{FB65CB58-D558-4D8F-9E62-0C6EBF0DDE72}" startIndex="0" length="14"/>
    </mentions>
  </threadedComment>
  <threadedComment ref="K228" dT="2026-02-04T12:46:59.87" personId="{710C1762-C807-417E-9EBE-69445969C5A7}" id="{64158405-6DCA-479E-A63D-409232DC9FB3}" done="1">
    <text>@ZANOLI Carlos subtitle needs to be fixed</text>
    <mentions>
      <mention mentionpersonId="{4BC430D5-0FB4-4B35-9504-324076D4C440}" mentionId="{F9987A45-69A7-4A1E-A21E-A3589C25405D}" startIndex="0" length="14"/>
    </mentions>
  </threadedComment>
  <threadedComment ref="K230" dT="2026-02-04T12:47:58.08" personId="{710C1762-C807-417E-9EBE-69445969C5A7}" id="{F96826CA-951B-499C-864F-670DEA4CB096}" done="1">
    <text>@ZANOLI Carlos subtitle needs to be fixed</text>
    <mentions>
      <mention mentionpersonId="{4BC430D5-0FB4-4B35-9504-324076D4C440}" mentionId="{9E16671E-3157-4568-9F79-A77E500284AA}" startIndex="0" length="14"/>
    </mentions>
  </threadedComment>
  <threadedComment ref="K231" dT="2026-02-04T12:48:28.22" personId="{710C1762-C807-417E-9EBE-69445969C5A7}" id="{006376DE-439F-4EBC-865A-F5708452BF79}" done="1">
    <text>@ZANOLI Carlos subtitle needs to be fixed</text>
    <mentions>
      <mention mentionpersonId="{4BC430D5-0FB4-4B35-9504-324076D4C440}" mentionId="{7F7D793A-7BE6-4906-9BEB-6A9C72C86A8C}" startIndex="0" length="14"/>
    </mentions>
  </threadedComment>
  <threadedComment ref="K232" dT="2026-02-04T12:49:27.66" personId="{710C1762-C807-417E-9EBE-69445969C5A7}" id="{5C96A221-7441-4799-8F50-15E87FD287C1}" done="1">
    <text>@ZANOLI Carlos subtitle needs to be fixed</text>
    <mentions>
      <mention mentionpersonId="{4BC430D5-0FB4-4B35-9504-324076D4C440}" mentionId="{A36967ED-008B-4912-87F8-BFAE617E735B}" startIndex="0" length="14"/>
    </mentions>
  </threadedComment>
  <threadedComment ref="J256" dT="2026-02-11T11:12:23.44" personId="{F214464C-A349-4E3E-8B83-BEE6E82299B2}" id="{B435477E-AC14-42CC-9C42-28C4D58AC267}" done="1">
    <text xml:space="preserve">Hello @KRAJCOVA Mariana , should we include this one to brochure? </text>
    <mentions>
      <mention mentionpersonId="{656FF2A2-5FFF-4985-84DF-293CDACC7747}" mentionId="{BDF9EB8B-B46E-45AA-8ECF-4E8CB35AED9C}" startIndex="6" length="17"/>
    </mentions>
  </threadedComment>
  <threadedComment ref="J256" dT="2026-02-13T10:48:40.00" personId="{76B72B18-3AEB-4D11-8EEC-5E72D2F46F74}" id="{72AB0302-64EF-4E33-8709-53938BABB14F}" parentId="{B435477E-AC14-42CC-9C42-28C4D58AC267}">
    <text>proposal: no. To be checked by @KRAJCOVA Mariana.</text>
    <mentions>
      <mention mentionpersonId="{656FF2A2-5FFF-4985-84DF-293CDACC7747}" mentionId="{9811F4D1-0A09-478C-A4F7-4A6C3C9907D8}" startIndex="31" length="17"/>
    </mentions>
  </threadedComment>
  <threadedComment ref="J256" dT="2026-02-26T15:01:17.24" personId="{76B72B18-3AEB-4D11-8EEC-5E72D2F46F74}" id="{53EEFF2E-9F18-4895-8429-92E06A3093A6}" parentId="{B435477E-AC14-42CC-9C42-28C4D58AC267}">
    <text>Closing this ticket as review is ongoing anyways. Course was organised only once. So proposal = "no".</text>
  </threadedComment>
  <threadedComment ref="K259" dT="2026-02-16T17:04:55.18" personId="{F214464C-A349-4E3E-8B83-BEE6E82299B2}" id="{7D2CB1C6-782B-4C7A-A498-8C7E3AAD28BB}" done="1">
    <text xml:space="preserve">@KRAJCOVA Mariana is this elearning still in use? Shall we keep it in the catalogue? </text>
    <mentions>
      <mention mentionpersonId="{656FF2A2-5FFF-4985-84DF-293CDACC7747}" mentionId="{9A96233E-DA36-4795-9FA5-D2D9DC52C6B6}" startIndex="0" length="17"/>
    </mentions>
  </threadedComment>
  <threadedComment ref="K259" dT="2026-02-26T15:05:04.83" personId="{76B72B18-3AEB-4D11-8EEC-5E72D2F46F74}" id="{ED979A24-F9AF-48A0-86F7-B6608551F97E}" parentId="{7D2CB1C6-782B-4C7A-A498-8C7E3AAD28BB}">
    <text>Closing this ticket as review is ongoing. We still have enrolments from this week, so proposal is to keep it. I assigned the course instead of the template to the catalogue. No need to download SCORM.</text>
  </threadedComment>
  <threadedComment ref="K260" dT="2026-02-12T09:32:41.74" personId="{76B72B18-3AEB-4D11-8EEC-5E72D2F46F74}" id="{F64CFA8C-41D4-442D-B70C-FE986583F51B}" done="1">
    <text>@ZANOLI Carlos can we remove this? Not organised since 2025</text>
    <mentions>
      <mention mentionpersonId="{4BC430D5-0FB4-4B35-9504-324076D4C440}" mentionId="{85041954-707C-4732-A658-66C37DFDE155}" startIndex="0" length="14"/>
    </mentions>
  </threadedComment>
  <threadedComment ref="K260" dT="2026-02-12T16:06:34.14" personId="{01E9E077-B30D-46AF-BEFF-FA4BCFE010A3}" id="{E00B9175-FF41-463B-BD8E-7546684D733D}" parentId="{F64CFA8C-41D4-442D-B70C-FE986583F51B}">
    <text>yes remove</text>
  </threadedComment>
  <threadedComment ref="K261" dT="2026-02-04T10:32:57.19" personId="{F214464C-A349-4E3E-8B83-BEE6E82299B2}" id="{8402CEEE-F990-4200-A175-018962F3DAEE}" done="1">
    <text xml:space="preserve">@MACLER Elodie do you foresee online sessions of this course? If not, I would remove umbrella. </text>
    <mentions>
      <mention mentionpersonId="{ED721061-213C-49A0-B46A-61EBD5931D35}" mentionId="{C7BA9967-17FD-4F70-A728-8930101734E7}" startIndex="0" length="14"/>
    </mentions>
  </threadedComment>
  <threadedComment ref="K261" dT="2026-02-05T07:53:53.74" personId="{C67FBFEC-BA2E-4A6A-845D-615935E1B976}" id="{8F79DC5D-C829-4267-A65D-BC9A4E931E17}" parentId="{8402CEEE-F990-4200-A175-018962F3DAEE}">
    <text>They want to one online session per year</text>
  </threadedComment>
  <threadedComment ref="K261" dT="2026-02-05T08:07:40.16" personId="{F214464C-A349-4E3E-8B83-BEE6E82299B2}" id="{07C1790C-9D40-43F5-863B-05E18149387C}" parentId="{8402CEEE-F990-4200-A175-018962F3DAEE}">
    <text>Okay, then let's leave it as it is :)</text>
  </threadedComment>
  <threadedComment ref="K263" dT="2026-02-09T13:59:49.92" personId="{F214464C-A349-4E3E-8B83-BEE6E82299B2}" id="{7925D943-C891-4D89-9598-AD6A2865F13E}" done="1">
    <text xml:space="preserve">@MARUCCIA Alessandra can you change course manager on template level to learn.ep and the subtitle to only "elearning"? Also, do you have a suitable thumbnail for this course? </text>
    <mentions>
      <mention mentionpersonId="{72BCA8A9-CE45-4507-8D5D-1485351B98B9}" mentionId="{B75D6621-AA56-456D-8AA9-99F166EEC8F7}" startIndex="0" length="20"/>
    </mentions>
  </threadedComment>
  <threadedComment ref="K263" dT="2026-03-09T11:05:35.86" personId="{76B72B18-3AEB-4D11-8EEC-5E72D2F46F74}" id="{51CE828C-C858-4F82-B5C2-32EAC09E68B5}" parentId="{7925D943-C891-4D89-9598-AD6A2865F13E}">
    <text>assigned course instead of template now</text>
  </threadedComment>
  <threadedComment ref="K267" dT="2026-02-04T10:36:24.81" personId="{F214464C-A349-4E3E-8B83-BEE6E82299B2}" id="{4B0AE505-9B94-41B8-AC45-11842CDF26D6}" done="1">
    <text>@DILLON Karen I changed: removed location "Brussels" from the template</text>
    <mentions>
      <mention mentionpersonId="{EC36668F-21A6-4AE2-BE66-C108283A1032}" mentionId="{D11CC47C-B0EF-4A40-986C-CECEAFCB5891}" startIndex="0" length="13"/>
    </mentions>
  </threadedComment>
  <threadedComment ref="K283" dT="2026-02-11T14:37:49.43" personId="{F214464C-A349-4E3E-8B83-BEE6E82299B2}" id="{0A8F8D7C-31A9-45C1-829D-3CA1394B77C8}" done="1">
    <text xml:space="preserve">@KRAJCOVA Mariana can we unassign this course? I remember we opened EC EMAS basics course to our learners last year, but as we are now organize it internally, perhaps we can remove it? </text>
    <mentions>
      <mention mentionpersonId="{656FF2A2-5FFF-4985-84DF-293CDACC7747}" mentionId="{ABE6CD92-921B-46CA-8A80-A04F0CA82DB9}" startIndex="0" length="17"/>
    </mentions>
  </threadedComment>
  <threadedComment ref="K283" dT="2026-02-11T15:19:37.71" personId="{35EF6A0F-9AEF-47C0-8FAF-AF21BEF607E6}" id="{A175105A-AFDE-44FB-8A86-783FD10FBE4D}" parentId="{0A8F8D7C-31A9-45C1-829D-3CA1394B77C8}">
    <text>yes</text>
  </threadedComment>
  <threadedComment ref="K286" dT="2026-02-04T10:38:46.20" personId="{F214464C-A349-4E3E-8B83-BEE6E82299B2}" id="{967DB5B4-8190-46BB-8A5E-C722B0F22CEF}" done="1">
    <text>@MACLER Elodie I changed subtitles of courses to match the location. To have only "Brussels" or "Luxembourg" on the course level.</text>
    <mentions>
      <mention mentionpersonId="{ED721061-213C-49A0-B46A-61EBD5931D35}" mentionId="{200A25C9-7E1B-4D0F-9405-D182D644B360}" startIndex="0" length="14"/>
    </mentions>
  </threadedComment>
  <threadedComment ref="K286" dT="2026-02-04T16:15:46.86" personId="{C67FBFEC-BA2E-4A6A-845D-615935E1B976}" id="{5D94A4F9-3A41-4B17-9B6B-7FFA74A05613}" parentId="{967DB5B4-8190-46BB-8A5E-C722B0F22CEF}">
    <text>Sure, thanks!</text>
  </threadedComment>
  <threadedComment ref="K287" dT="2026-01-28T09:21:51.31" personId="{76B72B18-3AEB-4D11-8EEC-5E72D2F46F74}" id="{7D47B5E0-2EE5-45F6-8506-28926844F1B8}" done="1">
    <text>@KRAJCOVA Mariana this is not the same as line 70. In line 70 is a learning challenge from the EC. This is a template with courses from us. maybe we should include this? There are dates published for 2026.</text>
    <mentions>
      <mention mentionpersonId="{656FF2A2-5FFF-4985-84DF-293CDACC7747}" mentionId="{F5B9A6EB-C9FD-4A85-813A-1BD90A30AC80}" startIndex="0" length="17"/>
    </mentions>
  </threadedComment>
  <threadedComment ref="K287" dT="2026-01-28T09:29:02.77" personId="{35EF6A0F-9AEF-47C0-8FAF-AF21BEF607E6}" id="{6ECB43B1-5223-43AA-936F-D42874ACC3FD}" parentId="{7D47B5E0-2EE5-45F6-8506-28926844F1B8}">
    <text>70 not to publish as the EC course. This one to publish.</text>
  </threadedComment>
  <threadedComment ref="K287" dT="2026-03-09T11:08:39.83" personId="{76B72B18-3AEB-4D11-8EEC-5E72D2F46F74}" id="{F684203E-2939-4332-8D3B-8A07FB66D8AC}" parentId="{7D47B5E0-2EE5-45F6-8506-28926844F1B8}">
    <text>has been replaced by blended template</text>
  </threadedComment>
  <threadedComment ref="K289" dT="2026-02-11T14:43:42.42" personId="{F214464C-A349-4E3E-8B83-BEE6E82299B2}" id="{F05A3EA1-078D-43AA-AD86-98839E4DCB65}" done="1">
    <text xml:space="preserve">Hey @COEUDEVEZ Alix do you plan any session of this course online in 2026? If everything will be in person, I would remove umbrella template. </text>
    <mentions>
      <mention mentionpersonId="{486A3066-0915-4DF9-BDB9-B110679DAA77}" mentionId="{F665F1A5-E3E9-47BA-9969-FCE5629B2436}" startIndex="4" length="15"/>
    </mentions>
  </threadedComment>
  <threadedComment ref="K289" dT="2026-02-11T14:48:46.98" personId="{F6A65A5A-3D78-4329-82B3-8B2F2FF8957D}" id="{959595D0-ACCB-4F62-B57E-626CC9686452}" parentId="{F05A3EA1-078D-43AA-AD86-98839E4DCB65}">
    <text>there will be online sessions :) at least one 16/04 :)</text>
  </threadedComment>
  <threadedComment ref="K289" dT="2026-02-11T14:55:34.77" personId="{F214464C-A349-4E3E-8B83-BEE6E82299B2}" id="{BD1CCFCD-70CE-4198-BF34-3AB870D5A99E}" parentId="{F05A3EA1-078D-43AA-AD86-98839E4DCB65}">
    <text xml:space="preserve">Okay cool, then we leave it as it is. </text>
  </threadedComment>
  <threadedComment ref="K290" dT="2026-03-09T11:10:01.60" personId="{76B72B18-3AEB-4D11-8EEC-5E72D2F46F74}" id="{04794868-8795-4552-BD78-26B6694E5990}" done="1">
    <text>Replaced by blended template</text>
  </threadedComment>
  <threadedComment ref="K292" dT="2026-01-28T09:23:12.26" personId="{76B72B18-3AEB-4D11-8EEC-5E72D2F46F74}" id="{9348C9CA-96E2-4152-9830-4E5D81DCBFAF}" done="1">
    <text>@KRAJCOVA Mariana @COEUDEVEZ Alix Why not include. Dates for 2026 are published.</text>
    <mentions>
      <mention mentionpersonId="{656FF2A2-5FFF-4985-84DF-293CDACC7747}" mentionId="{45239AC2-EAE3-4537-A3D1-99BA51C82804}" startIndex="0" length="17"/>
      <mention mentionpersonId="{486A3066-0915-4DF9-BDB9-B110679DAA77}" mentionId="{4B217F7E-CE6C-487C-88F3-253894925533}" startIndex="18" length="15"/>
    </mentions>
  </threadedComment>
  <threadedComment ref="K292" dT="2026-01-28T09:38:17.19" personId="{35EF6A0F-9AEF-47C0-8FAF-AF21BEF607E6}" id="{16BD017A-087E-4882-97D1-F240B629952B}" parentId="{9348C9CA-96E2-4152-9830-4E5D81DCBFAF}">
    <text>It is only 1 yearly session per site. Not typical catalogue course. So for me still  NO</text>
  </threadedComment>
  <threadedComment ref="K292" dT="2026-02-11T11:38:41.14" personId="{F214464C-A349-4E3E-8B83-BEE6E82299B2}" id="{9B5F1444-A551-4309-8D09-FCF9F31F2A55}" parentId="{9348C9CA-96E2-4152-9830-4E5D81DCBFAF}">
    <text xml:space="preserve">@KRAJCOVA Mariana for the same reason, I would assume that we are not including "Socially responsible public procurement" either? </text>
    <mentions>
      <mention mentionpersonId="{656FF2A2-5FFF-4985-84DF-293CDACC7747}" mentionId="{46C5D2F4-D39C-4592-AFB9-842130681735}" startIndex="0" length="17"/>
    </mentions>
  </threadedComment>
  <threadedComment ref="K292" dT="2026-02-11T11:56:50.81" personId="{35EF6A0F-9AEF-47C0-8FAF-AF21BEF607E6}" id="{D4B7A78B-4110-4071-9B4E-22F687AF5B2B}" parentId="{9348C9CA-96E2-4152-9830-4E5D81DCBFAF}">
    <text>ok</text>
  </threadedComment>
  <threadedComment ref="K297" dT="2026-03-09T15:18:16.03" personId="{F214464C-A349-4E3E-8B83-BEE6E82299B2}" id="{6222ACEC-955F-410A-9306-7BEB4302ECE5}">
    <text xml:space="preserve">Create two subfolders in EU learn - Ethics and Data protection </text>
  </threadedComment>
  <threadedComment ref="K298" dT="2026-02-17T08:31:47.02" personId="{710C1762-C807-417E-9EBE-69445969C5A7}" id="{50F97BC3-0B32-4910-B691-71323795F7AD}" done="1">
    <text>@TORNERYD Annica We are doing a catalogue cleanup for all courses in the Learn.EP catalogue. In this course, the subtitle should be "Brussels/Luxembourg" instead of "City (Brussels/Luxembourg)". Thanks!</text>
    <mentions>
      <mention mentionpersonId="{517A00C2-EC01-446D-A38B-7EC5E0469691}" mentionId="{5D80CBB1-5761-4BDB-903E-7CD9AB29BF09}" startIndex="0" length="16"/>
    </mentions>
  </threadedComment>
  <threadedComment ref="K298" dT="2026-02-26T15:06:45.41" personId="{76B72B18-3AEB-4D11-8EEC-5E72D2F46F74}" id="{30F65809-9846-46ED-B3BC-87F25090AC20}" parentId="{50F97BC3-0B32-4910-B691-71323795F7AD}">
    <text>I updated the subtitle now.</text>
  </threadedComment>
  <threadedComment ref="K299" dT="2026-02-17T08:34:06.98" personId="{710C1762-C807-417E-9EBE-69445969C5A7}" id="{1CF9D46E-58BB-4384-BADE-9C5687E04B46}" done="1">
    <text xml:space="preserve">@TORNERYD Annica This course has location online but is classified as a classroom course. There is also no subtitle. </text>
    <mentions>
      <mention mentionpersonId="{517A00C2-EC01-446D-A38B-7EC5E0469691}" mentionId="{30E3FB98-44B9-4ADE-94EB-5EC2AE394611}" startIndex="0" length="16"/>
    </mentions>
  </threadedComment>
  <threadedComment ref="K299" dT="2026-02-26T15:07:53.25" personId="{76B72B18-3AEB-4D11-8EEC-5E72D2F46F74}" id="{EC1725E6-D025-4A79-A7A7-03F5BC5D9005}" parentId="{1CF9D46E-58BB-4384-BADE-9C5687E04B46}">
    <text>no location on template anymore.</text>
  </threadedComment>
  <threadedComment ref="K300" dT="2026-02-23T13:28:36.38" personId="{76B72B18-3AEB-4D11-8EEC-5E72D2F46F74}" id="{7801979B-31B8-47FD-81BA-486F5797D6B0}" done="1">
    <text>@TORNERYD Annica please change the course manager on template level to learn.ep</text>
    <mentions>
      <mention mentionpersonId="{517A00C2-EC01-446D-A38B-7EC5E0469691}" mentionId="{CA93FA21-CEE2-4540-9C8A-A5C71130DE2D}" startIndex="0" length="16"/>
    </mentions>
  </threadedComment>
  <threadedComment ref="K302" dT="2026-02-17T08:41:18.74" personId="{710C1762-C807-417E-9EBE-69445969C5A7}" id="{9DFA333A-ACE8-426E-A58A-53EB924EA927}" done="1">
    <text>@KRASTEVA Viktoriya there should be a subtitle for this template Brussels/Luxembourg</text>
    <mentions>
      <mention mentionpersonId="{6BD63239-C543-4921-BA7B-9066E9635A02}" mentionId="{F074BA7C-D1B9-4273-93BE-B6A740F3A3E7}" startIndex="0" length="19"/>
    </mentions>
  </threadedComment>
  <threadedComment ref="K302" dT="2026-02-26T15:09:00.64" personId="{76B72B18-3AEB-4D11-8EEC-5E72D2F46F74}" id="{41AF812A-8849-415A-9811-63A708FBAC44}" parentId="{9DFA333A-ACE8-426E-A58A-53EB924EA927}">
    <text>I updated it now</text>
  </threadedComment>
  <threadedComment ref="K308" dT="2026-01-28T09:47:37.94" personId="{76B72B18-3AEB-4D11-8EEC-5E72D2F46F74}" id="{0650DBEA-351B-479A-9993-1E4D3A4DCB8F}" done="1">
    <text>@TORNERYD Annica @KRAJCOVA Mariana This are online and onsite versions of the course. Three options:
1. create umbrellas to combine them
2. assign both to brochure
3. combine both versions within the brochure (if this is possible)</text>
    <mentions>
      <mention mentionpersonId="{517A00C2-EC01-446D-A38B-7EC5E0469691}" mentionId="{07DB5BD3-562F-4217-8496-B731A2471324}" startIndex="0" length="16"/>
      <mention mentionpersonId="{656FF2A2-5FFF-4985-84DF-293CDACC7747}" mentionId="{D55D62C7-CA7F-45B5-BCC4-87E29390321B}" startIndex="17" length="17"/>
    </mentions>
  </threadedComment>
  <threadedComment ref="K308" dT="2026-02-12T10:09:41.33" personId="{76B72B18-3AEB-4D11-8EEC-5E72D2F46F74}" id="{0F33FBE8-F274-4FFA-B42D-86DE8ABACA65}" parentId="{0650DBEA-351B-479A-9993-1E4D3A4DCB8F}">
    <text>Option 3 is available. Please still create umbrella. @TORNERYD Annica please let us know if you need help</text>
    <mentions>
      <mention mentionpersonId="{517A00C2-EC01-446D-A38B-7EC5E0469691}" mentionId="{9781E455-9009-41FE-AA8C-67F2D161ABEB}" startIndex="53" length="16"/>
    </mentions>
  </threadedComment>
  <threadedComment ref="K310" dT="2026-01-28T09:48:14.16" personId="{76B72B18-3AEB-4D11-8EEC-5E72D2F46F74}" id="{AEA6F3AA-8536-4724-82CA-02758FAA81B6}" done="1">
    <text>@TORNERYD Annica @KRAJCOVA Mariana This are online and onsite versions of the course. Three options:
1. create umbrellas to combine them
2. assign both to brochure
3. combine both versions within the brochure (if this is possible)</text>
    <mentions>
      <mention mentionpersonId="{517A00C2-EC01-446D-A38B-7EC5E0469691}" mentionId="{902240C3-A52F-4573-AA6E-E3BE27AA4E13}" startIndex="0" length="16"/>
      <mention mentionpersonId="{656FF2A2-5FFF-4985-84DF-293CDACC7747}" mentionId="{EABF3DD8-2EF2-44E7-9975-5B3F77CAD02D}" startIndex="17" length="17"/>
    </mentions>
  </threadedComment>
  <threadedComment ref="K310" dT="2026-01-28T10:56:50.79" personId="{35EF6A0F-9AEF-47C0-8FAF-AF21BEF607E6}" id="{23C7F695-0FE0-4A7E-82D7-DB6FFD9E309B}" parentId="{AEA6F3AA-8536-4724-82CA-02758FAA81B6}">
    <text>To discuss with Laurent the best option.</text>
  </threadedComment>
  <threadedComment ref="K310" dT="2026-02-12T10:10:06.36" personId="{76B72B18-3AEB-4D11-8EEC-5E72D2F46F74}" id="{74651088-3CF3-4BA8-90E6-28E74CFB339B}" parentId="{AEA6F3AA-8536-4724-82CA-02758FAA81B6}">
    <text>Option 3 is available. Please still create umbrella. @TORNERYD Annica please let us know if you need help</text>
    <mentions>
      <mention mentionpersonId="{517A00C2-EC01-446D-A38B-7EC5E0469691}" mentionId="{9769460E-5B7E-41EB-A254-DA41E7801B96}" startIndex="53" length="16"/>
    </mentions>
  </threadedComment>
  <threadedComment ref="K310" dT="2026-02-12T10:11:56.89" personId="{76B72B18-3AEB-4D11-8EEC-5E72D2F46F74}" id="{4E688F6F-3802-4F85-91CB-90A2ECF7EC69}" parentId="{AEA6F3AA-8536-4724-82CA-02758FAA81B6}">
    <text>The other version of this template didn't have course since 2024. if we can remove it, no umbrella will be needed.</text>
  </threadedComment>
  <threadedComment ref="K311" dT="2026-02-12T09:34:31.57" personId="{76B72B18-3AEB-4D11-8EEC-5E72D2F46F74}" id="{1B8EB6DE-B913-4915-8ED7-E7C4AF8F1750}" done="1">
    <text>@TORNERYD Annica Can we remove this template from the catalogue? Not organised since 2024</text>
    <mentions>
      <mention mentionpersonId="{517A00C2-EC01-446D-A38B-7EC5E0469691}" mentionId="{E59400A3-14D1-4A62-A16D-E96E4F513DB0}" startIndex="0" length="16"/>
    </mentions>
  </threadedComment>
  <threadedComment ref="K311" dT="2026-02-12T10:11:30.80" personId="{76B72B18-3AEB-4D11-8EEC-5E72D2F46F74}" id="{1059A20A-3BB8-4FB9-8FBE-7C370A166186}" parentId="{1B8EB6DE-B913-4915-8ED7-E7C4AF8F1750}">
    <text xml:space="preserve">If we remove this, no umbrella needed.
</text>
  </threadedComment>
  <threadedComment ref="K312" dT="2026-02-17T08:38:07.77" personId="{710C1762-C807-417E-9EBE-69445969C5A7}" id="{513E8D7F-6996-4F99-9E64-C45DCBB56B0A}" done="1">
    <text>@TORNERYD Annica The subtitle for this template should be fixed to Brussels/Luxembourg.</text>
    <mentions>
      <mention mentionpersonId="{517A00C2-EC01-446D-A38B-7EC5E0469691}" mentionId="{2CEE6A1F-40B2-4F6B-8E91-FB8738381F16}" startIndex="0" length="16"/>
    </mentions>
  </threadedComment>
  <threadedComment ref="K312" dT="2026-02-26T15:10:07.36" personId="{76B72B18-3AEB-4D11-8EEC-5E72D2F46F74}" id="{4A0297FE-E9DE-4F9E-AEB1-4893B281E7AC}" parentId="{513E8D7F-6996-4F99-9E64-C45DCBB56B0A}">
    <text>i updated it now</text>
  </threadedComment>
  <threadedComment ref="K313" dT="2026-02-17T08:37:10.69" personId="{710C1762-C807-417E-9EBE-69445969C5A7}" id="{D09DF444-9DCE-45E9-B9FE-FFA91971125E}" done="1">
    <text>@TORNERYD Annica The subtitle in this template should be fixed to Brussels/Luxembourg</text>
    <mentions>
      <mention mentionpersonId="{517A00C2-EC01-446D-A38B-7EC5E0469691}" mentionId="{06546FBE-675B-45F7-81FC-B3B78E8FFEC2}" startIndex="0" length="16"/>
    </mentions>
  </threadedComment>
  <threadedComment ref="K313" dT="2026-02-26T15:11:03.66" personId="{76B72B18-3AEB-4D11-8EEC-5E72D2F46F74}" id="{9DE86248-FE41-4919-8EE2-F11268BB0FEE}" parentId="{D09DF444-9DCE-45E9-B9FE-FFA91971125E}">
    <text>i updated it now</text>
  </threadedComment>
  <threadedComment ref="K317" dT="2026-02-04T15:10:59.32" personId="{F214464C-A349-4E3E-8B83-BEE6E82299B2}" id="{456B88EF-F08F-4821-9D57-F55A9BB5F610}" done="1">
    <text>@LÓPEZ RIVAS Ángela I added subtitles here where missing.</text>
    <mentions>
      <mention mentionpersonId="{9D246EC3-136F-41C4-892C-68B201C46950}" mentionId="{AB910ECD-77DA-4381-92CC-069B26E824B1}" startIndex="0" length="19"/>
    </mentions>
  </threadedComment>
  <threadedComment ref="K317" dT="2026-03-09T11:11:27.73" personId="{76B72B18-3AEB-4D11-8EEC-5E72D2F46F74}" id="{11D55962-5A99-4D41-A40D-9FCCF69B5D54}" parentId="{456B88EF-F08F-4821-9D57-F55A9BB5F610}">
    <text>Only classroom version published right now.</text>
  </threadedComment>
  <threadedComment ref="K319" dT="2026-02-04T15:16:12.18" personId="{F214464C-A349-4E3E-8B83-BEE6E82299B2}" id="{9B70EC8C-7EA0-4568-98FC-CA2AC2BB7EC3}" done="1">
    <text>@LÓPEZ RIVAS Ángela I changed subtitle to Brussels and location to Campoamor.</text>
    <mentions>
      <mention mentionpersonId="{9D246EC3-136F-41C4-892C-68B201C46950}" mentionId="{7BBF6B67-AA1B-4632-833F-00C6848EADFC}" startIndex="0" length="19"/>
    </mentions>
  </threadedComment>
  <threadedComment ref="K320" dT="2026-03-09T13:59:34.83" personId="{76B72B18-3AEB-4D11-8EEC-5E72D2F46F74}" id="{89090851-8227-4353-AEF3-EF71B9BD995A}" done="1">
    <text>I changed course manager - leanr.ep</text>
  </threadedComment>
  <threadedComment ref="K321" dT="2026-02-06T09:54:57.74" personId="{F214464C-A349-4E3E-8B83-BEE6E82299B2}" id="{33ABB151-B615-4753-8EEA-40F21D80ED1A}" done="1">
    <text xml:space="preserve">@GALLEGO GONZALEZ Ana subtitles are missing. Can you add "Brussels/Luxembourg" to the template and "Brussels" or "Luxembourg" to courses? I have disabled automatic updates already. </text>
    <mentions>
      <mention mentionpersonId="{CE5A207E-D784-4E67-8533-E2847575D683}" mentionId="{D1C45393-1997-4BA5-8AA7-CA8BF6F96E48}" startIndex="0" length="21"/>
    </mentions>
  </threadedComment>
  <threadedComment ref="K321" dT="2026-03-09T11:12:21.72" personId="{76B72B18-3AEB-4D11-8EEC-5E72D2F46F74}" id="{BE277844-4ED0-40E5-B30C-F6EC34FA12F7}" parentId="{33ABB151-B615-4753-8EEA-40F21D80ED1A}">
    <text>Only classroom template published right now.</text>
  </threadedComment>
  <threadedComment ref="J322" dT="2026-02-10T13:36:57.87" personId="{F214464C-A349-4E3E-8B83-BEE6E82299B2}" id="{4B6C5C5E-DEDE-4BAE-85CB-0977D0E25E97}" done="1">
    <text xml:space="preserve">@KRAJCOVA Mariana I can see there is many dates scheduled for 2026. Should we include it in the brochure? </text>
    <mentions>
      <mention mentionpersonId="{656FF2A2-5FFF-4985-84DF-293CDACC7747}" mentionId="{4E48799B-89C9-4E81-8843-F1BE1B28F962}" startIndex="0" length="17"/>
    </mentions>
  </threadedComment>
  <threadedComment ref="J322" dT="2026-02-10T13:45:25.70" personId="{35EF6A0F-9AEF-47C0-8FAF-AF21BEF607E6}" id="{370771D9-B0FB-4411-A70C-4B94D1CE0A97}" parentId="{4B6C5C5E-DEDE-4BAE-85CB-0977D0E25E97}">
    <text>These courses are done by ITEC, but ok to include them I guess.</text>
  </threadedComment>
  <threadedComment ref="K322" dT="2026-02-04T11:18:23.68" personId="{F214464C-A349-4E3E-8B83-BEE6E82299B2}" id="{3BD677C6-E2CB-4523-8FFB-6E1CB1B20C23}" done="1">
    <text>@LÓPEZ RIVAS Ángela I changed location on all the courses to building. (Andenauer instead of Luxembourg and Campoamor instead of Brussels). Do you have a thumbnail picture for this course?</text>
    <mentions>
      <mention mentionpersonId="{9D246EC3-136F-41C4-892C-68B201C46950}" mentionId="{3B5591D9-9337-4916-9ED8-640FBD4A1A00}" startIndex="0" length="19"/>
    </mentions>
  </threadedComment>
  <threadedComment ref="J324" dT="2026-02-10T13:20:51.42" personId="{F214464C-A349-4E3E-8B83-BEE6E82299B2}" id="{49F8A3FE-ED46-4B9C-9BFD-50667BCCBDFC}" done="1">
    <text xml:space="preserve">@MARUCCIA Alessandra I would include this course to the brochure, do you agree? </text>
    <mentions>
      <mention mentionpersonId="{72BCA8A9-CE45-4507-8D5D-1485351B98B9}" mentionId="{93F3DFF5-892C-4389-A6EF-40F278759C30}" startIndex="0" length="20"/>
    </mentions>
  </threadedComment>
  <threadedComment ref="J324" dT="2026-02-26T10:42:16.80" personId="{76B72B18-3AEB-4D11-8EEC-5E72D2F46F74}" id="{0C68C9CC-A43B-4AE4-AA3D-8A6E54D54CC2}" parentId="{49F8A3FE-ED46-4B9C-9BFD-50667BCCBDFC}">
    <text>yes</text>
  </threadedComment>
  <threadedComment ref="K326" dT="2026-03-09T15:20:08.55" personId="{76B72B18-3AEB-4D11-8EEC-5E72D2F46F74}" id="{F9561B62-6249-40A0-93F3-78CD9C314E51}">
    <text>@KRAJCOVA Mariana course should be ordered</text>
    <mentions>
      <mention mentionpersonId="{656FF2A2-5FFF-4985-84DF-293CDACC7747}" mentionId="{32E02640-E7A2-4838-B463-348347B5A4C6}" startIndex="0" length="17"/>
    </mentions>
  </threadedComment>
  <threadedComment ref="B327" dT="2026-03-09T15:21:57.21" personId="{76B72B18-3AEB-4D11-8EEC-5E72D2F46F74}" id="{FD849A1A-F3C0-48AA-8543-74A8C67BD393}">
    <text xml:space="preserve">Change title to make sure it's about regulation and not tools @KRAJCOVA Mariana @GALLEGO GONZALEZ Ana </text>
    <mentions>
      <mention mentionpersonId="{656FF2A2-5FFF-4985-84DF-293CDACC7747}" mentionId="{A9AAC804-0079-4953-89FC-D4C0F8D35AEA}" startIndex="62" length="17"/>
      <mention mentionpersonId="{CE5A207E-D784-4E67-8533-E2847575D683}" mentionId="{9B0A173B-7A9B-41DB-A6A0-E94D72B16C6A}" startIndex="80" length="21"/>
    </mentions>
  </threadedComment>
  <threadedComment ref="J327" dT="2026-02-10T13:17:04.11" personId="{F214464C-A349-4E3E-8B83-BEE6E82299B2}" id="{F02F8413-07CA-4391-9264-2A039AC2307B}" done="1">
    <text xml:space="preserve">@KRAJCOVA Mariana I would assume we are including both Cybersecurity and Security, Defense and the EU to brochure? </text>
    <mentions>
      <mention mentionpersonId="{656FF2A2-5FFF-4985-84DF-293CDACC7747}" mentionId="{9513D522-E878-4F80-8D3D-704BC6542502}" startIndex="0" length="17"/>
    </mentions>
  </threadedComment>
  <threadedComment ref="J327" dT="2026-02-26T15:30:43.95" personId="{76B72B18-3AEB-4D11-8EEC-5E72D2F46F74}" id="{5D0D55C9-53B2-44D9-B479-301749CD1DB5}" parentId="{F02F8413-07CA-4391-9264-2A039AC2307B}">
    <text>I close this ticket as review for brochure is ongoing anyways now.</text>
  </threadedComment>
  <threadedComment ref="K328" dT="2026-02-04T16:44:01.23" personId="{F214464C-A349-4E3E-8B83-BEE6E82299B2}" id="{3C6CA5CA-AB27-4E54-A327-58E91881E193}" done="1">
    <text xml:space="preserve">@LÓPEZ RIVAS Ángela I made you a course manager of this course. </text>
    <mentions>
      <mention mentionpersonId="{9D246EC3-136F-41C4-892C-68B201C46950}" mentionId="{4FAE269D-F9B8-4FEE-B3BC-E0BC51EA0180}" startIndex="0" length="19"/>
    </mentions>
  </threadedComment>
  <threadedComment ref="K328" dT="2026-02-06T10:00:30.48" personId="{F214464C-A349-4E3E-8B83-BEE6E82299B2}" id="{D7F1017A-1249-47F5-9AB0-8C402290661A}" parentId="{3C6CA5CA-AB27-4E54-A327-58E91881E193}">
    <text xml:space="preserve">@LÓPEZ RIVAS Ángela subtitles are incorrect or missing. Can you please add "Brussels/Luxembourg" to template and one of the two to courses? </text>
    <mentions>
      <mention mentionpersonId="{9D246EC3-136F-41C4-892C-68B201C46950}" mentionId="{7A8F46BA-CC5A-4F70-A53C-933BB6747A0D}" startIndex="0" length="19"/>
    </mentions>
  </threadedComment>
  <threadedComment ref="K328" dT="2026-02-06T10:52:10.82" personId="{1A8CDDFC-5681-409E-9568-D4DCF839F857}" id="{71496A91-A2CD-407F-9DED-D37523758D48}" parentId="{3C6CA5CA-AB27-4E54-A327-58E91881E193}">
    <text>Done! thx</text>
  </threadedComment>
  <threadedComment ref="K328" dT="2026-03-09T11:13:37.84" personId="{76B72B18-3AEB-4D11-8EEC-5E72D2F46F74}" id="{15B8B714-5A69-4357-A1EC-CDB2A1F6FF9C}" parentId="{3C6CA5CA-AB27-4E54-A327-58E91881E193}">
    <text>Only classroom template published right now</text>
  </threadedComment>
  <threadedComment ref="K330" dT="2026-02-04T16:45:57.96" personId="{F214464C-A349-4E3E-8B83-BEE6E82299B2}" id="{1241260D-4CA6-47F7-8421-F810FE27BE09}" done="1">
    <text xml:space="preserve">@GALLEGO GONZALEZ Ana I changed CM on template from Edel to learn.EP. </text>
    <mentions>
      <mention mentionpersonId="{CE5A207E-D784-4E67-8533-E2847575D683}" mentionId="{EAD95C65-0954-447C-BE1A-618BF7786D26}" startIndex="0" length="21"/>
    </mentions>
  </threadedComment>
  <threadedComment ref="K330" dT="2026-02-04T16:49:12.19" personId="{895F79AA-BEEA-4BE0-A169-D5CB1D0C84A5}" id="{62F9E1A8-2FCB-4D60-9797-3756CCF6B49D}" parentId="{1241260D-4CA6-47F7-8421-F810FE27BE09}">
    <text>Great, many thanks!</text>
  </threadedComment>
  <threadedComment ref="K330" dT="2026-03-09T11:14:29.84" personId="{76B72B18-3AEB-4D11-8EEC-5E72D2F46F74}" id="{0E6B4CCB-2D5B-48DB-A478-0C53190EB64C}" parentId="{1241260D-4CA6-47F7-8421-F810FE27BE09}">
    <text>Only online template published right now</text>
  </threadedComment>
  <threadedComment ref="K332" dT="2026-02-06T10:23:41.42" personId="{F214464C-A349-4E3E-8B83-BEE6E82299B2}" id="{22210AD7-6F76-4A61-9B79-8B513F4A3D0B}" done="1">
    <text>@GALLEGO GONZALEZ Ana CM on template level is missing. Please add learn.EP.</text>
    <mentions>
      <mention mentionpersonId="{CE5A207E-D784-4E67-8533-E2847575D683}" mentionId="{CB804261-1510-4A9F-B46B-F3A023EBEEA5}" startIndex="0" length="21"/>
    </mentions>
  </threadedComment>
  <threadedComment ref="K332" dT="2026-03-09T11:15:12.47" personId="{76B72B18-3AEB-4D11-8EEC-5E72D2F46F74}" id="{1CAEE225-B06F-4D70-BBBD-D793C72AF95B}" parentId="{22210AD7-6F76-4A61-9B79-8B513F4A3D0B}">
    <text>Only online template published right now</text>
  </threadedComment>
  <threadedComment ref="K334" dT="2026-02-06T10:25:09.35" personId="{F214464C-A349-4E3E-8B83-BEE6E82299B2}" id="{5D83DE9D-E627-4CE9-9FA4-D9F42AF1958C}" done="1">
    <text xml:space="preserve">@GALLEGO GONZALEZ Ana subtitle on template should be "Brussels/Luxembourg" + Please add yourself as CM on courses. </text>
    <mentions>
      <mention mentionpersonId="{CE5A207E-D784-4E67-8533-E2847575D683}" mentionId="{0FA9173F-AB02-4CDD-B21C-1AD33DDD62FF}" startIndex="0" length="21"/>
    </mentions>
  </threadedComment>
  <threadedComment ref="K338" dT="2026-02-04T15:32:07.71" personId="{F214464C-A349-4E3E-8B83-BEE6E82299B2}" id="{25A6A555-7A65-47D7-97C0-6BE456904DA6}" done="1">
    <text>@GALLEGO GONZALEZ Ana @LÓPEZ RIVAS Ángela I removed Brussels from the location on template.</text>
    <mentions>
      <mention mentionpersonId="{CE5A207E-D784-4E67-8533-E2847575D683}" mentionId="{F657A312-C46C-4220-99F5-50DCEDCC35B0}" startIndex="0" length="21"/>
      <mention mentionpersonId="{9D246EC3-136F-41C4-892C-68B201C46950}" mentionId="{61819119-0C64-4869-9400-F8D8D5FB73AF}" startIndex="22" length="19"/>
    </mentions>
  </threadedComment>
  <threadedComment ref="K338" dT="2026-02-06T09:25:42.51" personId="{F214464C-A349-4E3E-8B83-BEE6E82299B2}" id="{6FAB696D-A07D-4A6D-9BD0-A32324D41573}" parentId="{25A6A555-7A65-47D7-97C0-6BE456904DA6}">
    <text>@LÓPEZ RIVAS Ángela can you remove this course from the catalogue? The one that took place today and was assigned to the catalogue as a separate course.</text>
    <mentions>
      <mention mentionpersonId="{9D246EC3-136F-41C4-892C-68B201C46950}" mentionId="{46B4B30C-8931-4558-AC0A-012632BA6144}" startIndex="0" length="19"/>
    </mentions>
  </threadedComment>
  <threadedComment ref="K338" dT="2026-02-06T09:43:23.63" personId="{1A8CDDFC-5681-409E-9568-D4DCF839F857}" id="{6109223C-AE3F-4921-940B-758576CEC9C6}" parentId="{25A6A555-7A65-47D7-97C0-6BE456904DA6}">
    <text xml:space="preserve">Yes! @ŠTIH Kaja </text>
    <mentions>
      <mention mentionpersonId="{D40186F2-BD0F-4C10-8711-621D111A54D9}" mentionId="{9F3C5436-976D-4DCD-97CF-8FC2F75410D4}" startIndex="5" length="10"/>
    </mentions>
  </threadedComment>
  <threadedComment ref="K340" dT="2026-02-04T17:26:16.17" personId="{F214464C-A349-4E3E-8B83-BEE6E82299B2}" id="{748BDA84-EB96-41EC-B73C-FB1EDB82120C}" done="1">
    <text>@LÓPEZ RIVAS Ángela I changed location of the classroom version to Campoamor.</text>
    <mentions>
      <mention mentionpersonId="{9D246EC3-136F-41C4-892C-68B201C46950}" mentionId="{7F976B05-61CA-44C0-8EF3-9861079829F4}" startIndex="0" length="19"/>
    </mentions>
  </threadedComment>
  <threadedComment ref="K341" dT="2026-03-09T11:16:26.47" personId="{76B72B18-3AEB-4D11-8EEC-5E72D2F46F74}" id="{7D620059-0D36-4CCD-BC3B-AC922E4BB974}" done="1">
    <text>Only classroom template published right now</text>
  </threadedComment>
  <threadedComment ref="K344" dT="2026-02-06T10:29:23.82" personId="{F214464C-A349-4E3E-8B83-BEE6E82299B2}" id="{5FBEE44B-C065-4228-9095-C80C7701DB22}" done="1">
    <text xml:space="preserve">@LÓPEZ RIVAS Ángela there is no expression of interest bottom. Can you set it up on template level? </text>
    <mentions>
      <mention mentionpersonId="{9D246EC3-136F-41C4-892C-68B201C46950}" mentionId="{C2A2E375-6EF5-495B-9F6C-403F91422214}" startIndex="0" length="19"/>
    </mentions>
  </threadedComment>
  <threadedComment ref="K344" dT="2026-02-06T10:38:16.78" personId="{1A8CDDFC-5681-409E-9568-D4DCF839F857}" id="{41DFE648-0E92-4E6B-812A-93AF23A3F77B}" parentId="{5FBEE44B-C065-4228-9095-C80C7701DB22}">
    <text>done!</text>
  </threadedComment>
  <threadedComment ref="K344" dT="2026-02-06T10:42:50.76" personId="{F214464C-A349-4E3E-8B83-BEE6E82299B2}" id="{AE85520D-A689-4811-99D3-BA5D9427EA44}" parentId="{5FBEE44B-C065-4228-9095-C80C7701DB22}">
    <text>thank youuu!</text>
  </threadedComment>
  <threadedComment ref="K345" dT="2026-03-09T11:16:59.27" personId="{76B72B18-3AEB-4D11-8EEC-5E72D2F46F74}" id="{6C1D36DB-FBDF-4507-8279-4E7F611CEA21}" done="1">
    <text>Only classroom template published right now</text>
  </threadedComment>
  <threadedComment ref="K347" dT="2026-03-09T11:16:59.27" personId="{76B72B18-3AEB-4D11-8EEC-5E72D2F46F74}" id="{A4A20D32-5604-488E-B6C1-D4DC02965A92}" done="1">
    <text>Only classroom template published right now</text>
  </threadedComment>
  <threadedComment ref="K353" dT="2026-02-12T09:40:38.52" personId="{76B72B18-3AEB-4D11-8EEC-5E72D2F46F74}" id="{3622B840-A29C-4B76-A514-8F19FD08059E}" done="1">
    <text>@KRAJCOVA Mariana can we remove this from the catalogue? No course organised since 2024. The recordings are availabe via a different  template?</text>
    <mentions>
      <mention mentionpersonId="{656FF2A2-5FFF-4985-84DF-293CDACC7747}" mentionId="{CDC1FBCC-018C-41B6-815E-8C487E684276}" startIndex="0" length="17"/>
    </mentions>
  </threadedComment>
  <threadedComment ref="K353" dT="2026-02-16T10:51:06.57" personId="{76B72B18-3AEB-4D11-8EEC-5E72D2F46F74}" id="{5EF5AD93-1E08-4C65-8D40-375B6B0268C4}" parentId="{3622B840-A29C-4B76-A514-8F19FD08059E}">
    <text>Removed from the catalogue -&gt; new subfolder for all EU policymaking hub templates created.</text>
  </threadedComment>
  <threadedComment ref="K360" dT="2026-02-16T08:28:07.47" personId="{710C1762-C807-417E-9EBE-69445969C5A7}" id="{93D2A480-DF41-414D-82EA-7ABE57194D0E}" done="1">
    <text>@ŠTIH Kaja @HENNINGSEN Philipp Alexander Not sure what to do about this one. There don't seem to be courses organized for almost a year.</text>
    <mentions>
      <mention mentionpersonId="{D40186F2-BD0F-4C10-8711-621D111A54D9}" mentionId="{1F4A716F-30F6-4415-86E3-68FCE6B4841D}" startIndex="0" length="10"/>
      <mention mentionpersonId="{BC37D492-A87C-4214-9153-C0CC74E0474C}" mentionId="{578BA35A-84D6-4A51-96F4-3F12D079C98A}" startIndex="11" length="29"/>
    </mentions>
  </threadedComment>
  <threadedComment ref="K360" dT="2026-02-16T09:50:39.87" personId="{76B72B18-3AEB-4D11-8EEC-5E72D2F46F74}" id="{01EE83AB-DA19-447E-9B99-FEC8ADA85984}" parentId="{93D2A480-DF41-414D-82EA-7ABE57194D0E}">
    <text xml:space="preserve">@KRAJCOVA Mariana I removed this from the catalogue. No course organised since March 25 and no future course available. Expression of interest is not open. Looks like the course was discontinued. If you disagree please let me know. </text>
    <mentions>
      <mention mentionpersonId="{656FF2A2-5FFF-4985-84DF-293CDACC7747}" mentionId="{0BCBA404-0E95-41E6-838E-F69C5E968711}" startIndex="0" length="17"/>
    </mentions>
  </threadedComment>
  <threadedComment ref="K361" dT="2026-02-16T16:32:48.48" personId="{76B72B18-3AEB-4D11-8EEC-5E72D2F46F74}" id="{747FC599-EA27-4203-BA4B-D8C40E788F41}" done="1">
    <text>@KRAJCOVA Mariana @MACLER Elodie Is this recording still relevant? Please let us know if we should keep it published.</text>
    <mentions>
      <mention mentionpersonId="{656FF2A2-5FFF-4985-84DF-293CDACC7747}" mentionId="{8CECA73F-3D14-49F3-A36F-80404D4A2079}" startIndex="0" length="17"/>
      <mention mentionpersonId="{ED721061-213C-49A0-B46A-61EBD5931D35}" mentionId="{91DCEF6C-3777-4AA8-9A09-1CD56BE7B412}" startIndex="18" length="14"/>
    </mentions>
  </threadedComment>
  <threadedComment ref="K361" dT="2026-02-26T15:12:42.47" personId="{76B72B18-3AEB-4D11-8EEC-5E72D2F46F74}" id="{9512F7FF-55BA-45CA-B280-F921975E5AE9}" parentId="{747FC599-EA27-4203-BA4B-D8C40E788F41}">
    <text>I removed it from the catalogue as we have FINS academy eLearnings now</text>
  </threadedComment>
  <threadedComment ref="K382" dT="2026-02-05T09:21:26.34" personId="{76B72B18-3AEB-4D11-8EEC-5E72D2F46F74}" id="{DD04188A-96F9-45A2-B379-274A398AE2E7}" done="1">
    <text>@MACLER Elodie 
This has never been organised so far. Will it come? Should it be included in brochure and catalogue?</text>
    <mentions>
      <mention mentionpersonId="{ED721061-213C-49A0-B46A-61EBD5931D35}" mentionId="{71479EEA-1FF5-4724-A7FF-25E1B1388CD5}" startIndex="0" length="14"/>
    </mentions>
  </threadedComment>
  <threadedComment ref="K382" dT="2026-02-05T10:09:27.26" personId="{C67FBFEC-BA2E-4A6A-845D-615935E1B976}" id="{5F70AAB1-07B3-4202-814B-FA3F3B01F5F3}" parentId="{DD04188A-96F9-45A2-B379-274A398AE2E7}">
    <text>I will investigate but for now, I think we can remove it from the catalogue</text>
  </threadedComment>
  <threadedComment ref="K382" dT="2026-02-05T11:28:27.70" personId="{76B72B18-3AEB-4D11-8EEC-5E72D2F46F74}" id="{F9F616ED-270A-4912-9E07-D0D45B67ED82}" parentId="{DD04188A-96F9-45A2-B379-274A398AE2E7}">
    <text>Ok. I removed it for now. If you ever have to organise it, you can ofc. simply publish again :)</text>
  </threadedComment>
  <threadedComment ref="K383" dT="2026-02-05T09:30:23.94" personId="{76B72B18-3AEB-4D11-8EEC-5E72D2F46F74}" id="{D7678F09-70CE-4F12-AE19-7D4619AC2258}" done="1">
    <text>@MACLER Elodie @KRAJCOVA Mariana Is this recording still relevant? Should it stay published in our catalogue?</text>
    <mentions>
      <mention mentionpersonId="{ED721061-213C-49A0-B46A-61EBD5931D35}" mentionId="{BD3B9313-2808-4D9B-BFC2-E95396A361BD}" startIndex="0" length="14"/>
      <mention mentionpersonId="{656FF2A2-5FFF-4985-84DF-293CDACC7747}" mentionId="{3376B75D-145F-41B7-890A-035B2A00A6E3}" startIndex="15" length="17"/>
    </mentions>
  </threadedComment>
  <threadedComment ref="K383" dT="2026-02-05T10:36:19.19" personId="{C67FBFEC-BA2E-4A6A-845D-615935E1B976}" id="{81D93082-CF64-4CE5-8D59-7C473E77C5B9}" parentId="{D7678F09-70CE-4F12-AE19-7D4619AC2258}">
    <text>I would say it can be removed</text>
  </threadedComment>
  <threadedComment ref="K384" dT="2026-02-05T09:24:14.40" personId="{76B72B18-3AEB-4D11-8EEC-5E72D2F46F74}" id="{1C7CB897-0446-44CB-8E3B-3BA1A9BC1599}" done="1">
    <text>@KRAJCOVA Mariana @MACLER Elodie I removed this from our catalogue, no course since 2023 organised.</text>
    <mentions>
      <mention mentionpersonId="{656FF2A2-5FFF-4985-84DF-293CDACC7747}" mentionId="{EF0E8BA0-22B4-4766-AD89-65A5C2BE6372}" startIndex="0" length="17"/>
      <mention mentionpersonId="{ED721061-213C-49A0-B46A-61EBD5931D35}" mentionId="{EC73DF78-EFA2-4EBD-B9B7-A6E74E784181}" startIndex="18" length="14"/>
    </mentions>
  </threadedComment>
  <threadedComment ref="K387" dT="2026-02-05T09:27:12.21" personId="{76B72B18-3AEB-4D11-8EEC-5E72D2F46F74}" id="{91319C09-7DDD-4B7B-A0D7-43D08A2B1F46}" done="1">
    <text>@MACLER Elodie corrected subtitle of the template</text>
    <mentions>
      <mention mentionpersonId="{ED721061-213C-49A0-B46A-61EBD5931D35}" mentionId="{AE10882C-C358-4216-A3C8-18ECAE6111E1}" startIndex="0" length="14"/>
    </mentions>
  </threadedComment>
  <threadedComment ref="K388" dT="2026-02-05T09:29:04.15" personId="{76B72B18-3AEB-4D11-8EEC-5E72D2F46F74}" id="{1B7238DD-FFBF-4405-8D7C-4099F8542D24}" done="1">
    <text>@MACLER Elodie @KRAJCOVA Mariana I removed this from the catalogue. No course since 2024.</text>
    <mentions>
      <mention mentionpersonId="{ED721061-213C-49A0-B46A-61EBD5931D35}" mentionId="{706EFC74-7AC2-4D01-A3B7-358AAC76E384}" startIndex="0" length="14"/>
      <mention mentionpersonId="{656FF2A2-5FFF-4985-84DF-293CDACC7747}" mentionId="{5C22A137-4250-4419-8156-DAA35A5DC030}" startIndex="15" length="17"/>
    </mentions>
  </threadedComment>
  <threadedComment ref="K389" dT="2026-02-05T09:43:49.69" personId="{76B72B18-3AEB-4D11-8EEC-5E72D2F46F74}" id="{A740B786-CE4B-47EE-BD51-1C820E191E68}" done="1">
    <text>@MACLER Elodie Corrected subtitle to "Online".</text>
    <mentions>
      <mention mentionpersonId="{ED721061-213C-49A0-B46A-61EBD5931D35}" mentionId="{C1556ABD-CD8F-43F1-A1ED-7547D351E62B}" startIndex="0" length="14"/>
    </mentions>
  </threadedComment>
  <threadedComment ref="K390" dT="2026-02-05T09:51:47.33" personId="{76B72B18-3AEB-4D11-8EEC-5E72D2F46F74}" id="{07E39027-0131-4D8D-AF11-F15479130A8C}" done="1">
    <text>@MACLER Elodie I corrected the subtitle to "Online"</text>
    <mentions>
      <mention mentionpersonId="{ED721061-213C-49A0-B46A-61EBD5931D35}" mentionId="{150474CB-429E-42FC-AB59-D305D023AB7D}" startIndex="0" length="14"/>
    </mentions>
  </threadedComment>
  <threadedComment ref="K391" dT="2026-02-05T09:53:20.97" personId="{76B72B18-3AEB-4D11-8EEC-5E72D2F46F74}" id="{BCDC446F-FD58-4AD5-822F-D2ADC970FA46}" done="1">
    <text>@MACLER Elodie I corrected the subtitle to "Brussels/Luxembourg"</text>
    <mentions>
      <mention mentionpersonId="{ED721061-213C-49A0-B46A-61EBD5931D35}" mentionId="{6D788120-C255-4CAD-B7E9-F4E0B2DE8BBF}" startIndex="0" length="14"/>
    </mentions>
  </threadedComment>
  <threadedComment ref="K392" dT="2026-02-05T09:54:46.36" personId="{76B72B18-3AEB-4D11-8EEC-5E72D2F46F74}" id="{699A661C-8ED7-4854-B55A-144B3EDD03BE}" done="1">
    <text>@MACLER Elodie I removed "Multiple locations" as location -&gt; should be empty. Corrected subtitle to "Brussels/Luxembourg"</text>
    <mentions>
      <mention mentionpersonId="{ED721061-213C-49A0-B46A-61EBD5931D35}" mentionId="{7B4F4C2E-625A-489D-81CB-7EBD67CC9448}" startIndex="0" length="14"/>
    </mentions>
  </threadedComment>
  <threadedComment ref="K392" dT="2026-02-05T09:56:19.16" personId="{76B72B18-3AEB-4D11-8EEC-5E72D2F46F74}" id="{3B8C9F05-91DC-4919-9BC6-563BF1078B5A}" parentId="{699A661C-8ED7-4854-B55A-144B3EDD03BE}">
    <text>@MACLER Elodie In the future please use virtual classroom template to encode online courses. Do not use the offline verison.</text>
    <mentions>
      <mention mentionpersonId="{ED721061-213C-49A0-B46A-61EBD5931D35}" mentionId="{88C5E427-E3B9-42AF-832F-DFBDC78F996B}" startIndex="0" length="14"/>
    </mentions>
  </threadedComment>
  <threadedComment ref="K392" dT="2026-02-05T10:07:27.69" personId="{C67FBFEC-BA2E-4A6A-845D-615935E1B976}" id="{4F91F4DD-3B49-49FA-8F5B-8B2F7BB437A3}" parentId="{699A661C-8ED7-4854-B55A-144B3EDD03BE}">
    <text>Noted, sorry!</text>
  </threadedComment>
  <threadedComment ref="K393" dT="2026-02-05T09:34:14.02" personId="{76B72B18-3AEB-4D11-8EEC-5E72D2F46F74}" id="{55923006-84CD-40E3-81ED-172B69913451}" done="1">
    <text>@MACLER Elodie I removed this because the course is in the past. If you want to have the template in the brochure, please let me know.</text>
    <mentions>
      <mention mentionpersonId="{ED721061-213C-49A0-B46A-61EBD5931D35}" mentionId="{521075F3-F56F-429A-A59D-50DCF56114CD}" startIndex="0" length="14"/>
    </mentions>
  </threadedComment>
  <threadedComment ref="K393" dT="2026-02-05T10:19:12.42" personId="{C67FBFEC-BA2E-4A6A-845D-615935E1B976}" id="{A3CEBCB0-B4E9-40DF-B95A-D802220B47AD}" parentId="{55923006-84CD-40E3-81ED-172B69913451}">
    <text xml:space="preserve">I have no visibility on Flash sessions, they are rather new, they are short "info sessions" on a specific topic. I don't know whether they will decide to do the same topic again or not and I don't know if they should include a certificate. Perhaps we could just put "Flash sessions" in the brochure and not specific topics? @KRAJCOVA Mariana </text>
    <mentions>
      <mention mentionpersonId="{656FF2A2-5FFF-4985-84DF-293CDACC7747}" mentionId="{DC0BC479-9966-484A-92B5-A05736A22189}" startIndex="324" length="17"/>
    </mentions>
  </threadedComment>
  <threadedComment ref="K393" dT="2026-02-06T11:14:38.78" personId="{76B72B18-3AEB-4D11-8EEC-5E72D2F46F74}" id="{913C35F0-1607-405F-8D76-FC55CBD3591E}" parentId="{55923006-84CD-40E3-81ED-172B69913451}">
    <text>-&gt; no Flash sessions in the brochure</text>
  </threadedComment>
  <threadedComment ref="K399" dT="2026-02-05T09:57:59.65" personId="{76B72B18-3AEB-4D11-8EEC-5E72D2F46F74}" id="{D7D97B67-A236-4197-825E-214F9A67CABD}" done="1">
    <text>@MACLER Elodie Why is one learning path included but not the others. Could you please confirm this is intended?</text>
    <mentions>
      <mention mentionpersonId="{ED721061-213C-49A0-B46A-61EBD5931D35}" mentionId="{63FF33D4-6BA4-4DB3-BEE6-F7202612571C}" startIndex="0" length="14"/>
    </mentions>
  </threadedComment>
  <threadedComment ref="K399" dT="2026-02-05T10:07:02.59" personId="{C67FBFEC-BA2E-4A6A-845D-615935E1B976}" id="{2A51A696-4842-487D-BF66-E1ECCC9B582C}" parentId="{D7D97B67-A236-4197-825E-214F9A67CABD}">
    <text>Hi, I was also wondering why it was the only one, it does not come from me</text>
  </threadedComment>
  <threadedComment ref="K404" dT="2026-02-05T10:06:28.31" personId="{76B72B18-3AEB-4D11-8EEC-5E72D2F46F74}" id="{BCAAF6E7-2D13-40F7-872C-6446F8E3B766}" done="1">
    <text>@MACLER Elodie Why is this not included for the brochure? There is a steady offer. Please confirm if this is correct to leave it out.</text>
    <mentions>
      <mention mentionpersonId="{ED721061-213C-49A0-B46A-61EBD5931D35}" mentionId="{DDBF9A62-67E9-4131-966A-ED9C42AC9E83}" startIndex="0" length="14"/>
    </mentions>
  </threadedComment>
  <threadedComment ref="K404" dT="2026-02-05T10:08:14.22" personId="{76B72B18-3AEB-4D11-8EEC-5E72D2F46F74}" id="{4DA21BA8-72CD-4A42-9860-B730EEF3144A}" parentId="{BCAAF6E7-2D13-40F7-872C-6446F8E3B766}">
    <text>I corrected name in Description tab -&gt; was different between tabs.
And corrected subtitle.</text>
  </threadedComment>
  <threadedComment ref="K404" dT="2026-02-05T10:21:18.75" personId="{C67FBFEC-BA2E-4A6A-845D-615935E1B976}" id="{E3C5B55C-0039-43D9-A04A-7C0F8E946DEB}" parentId="{BCAAF6E7-2D13-40F7-872C-6446F8E3B766}">
    <text>I agree that it shuld be in the brochure</text>
  </threadedComment>
  <threadedComment ref="J405" dT="2026-03-09T15:31:29.28" personId="{F214464C-A349-4E3E-8B83-BEE6E82299B2}" id="{0B0CAEF4-613C-4986-9803-3531E80EDD06}">
    <text>Should it go to procurement or to financial flow? Check with Mariana</text>
  </threadedComment>
  <threadedComment ref="K405" dT="2026-02-11T11:26:58.48" personId="{76B72B18-3AEB-4D11-8EEC-5E72D2F46F74}" id="{C4DCE117-46B6-41E7-A58F-C2275D31F4CA}" done="1">
    <text>updates subtitle</text>
  </threadedComment>
  <threadedComment ref="K414" dT="2026-02-05T10:14:56.56" personId="{76B72B18-3AEB-4D11-8EEC-5E72D2F46F74}" id="{338DD655-0D9A-4255-ACC4-3694FA0F5917}" done="1">
    <text>@MACLER Elodie Why not share this in the brochure?</text>
    <mentions>
      <mention mentionpersonId="{ED721061-213C-49A0-B46A-61EBD5931D35}" mentionId="{AAB6A653-1E29-4D08-9EDC-69D5BDAED7E9}" startIndex="0" length="14"/>
    </mentions>
  </threadedComment>
  <threadedComment ref="K414" dT="2026-02-05T10:23:23.09" personId="{C67FBFEC-BA2E-4A6A-845D-615935E1B976}" id="{33B286AB-F99A-4616-90F1-80C1C1EBB827}" parentId="{338DD655-0D9A-4255-ACC4-3694FA0F5917}">
    <text>Yes, it could be in the brochure, it's organised once or twice a year</text>
  </threadedComment>
  <threadedComment ref="K414" dT="2026-02-06T11:25:21.91" personId="{76B72B18-3AEB-4D11-8EEC-5E72D2F46F74}" id="{BB70A1B8-1D80-4751-8C63-18C0B121630E}" parentId="{338DD655-0D9A-4255-ACC4-3694FA0F5917}">
    <text>-&gt; Based on Marianas reply also removed</text>
  </threadedComment>
  <threadedComment ref="K415" dT="2026-02-05T10:16:56.35" personId="{76B72B18-3AEB-4D11-8EEC-5E72D2F46F74}" id="{58AD4E25-7410-4E86-8381-17B63278098D}" done="1">
    <text>@MACLER Elodie I corrected the name in the template. Was different between tabs. And corrected the subtitle.</text>
    <mentions>
      <mention mentionpersonId="{ED721061-213C-49A0-B46A-61EBD5931D35}" mentionId="{7E324342-ED97-49E5-A3CA-8B9B7AA9C552}" startIndex="0" length="14"/>
    </mentions>
  </threadedComment>
  <threadedComment ref="K419" dT="2026-02-05T10:24:49.86" personId="{76B72B18-3AEB-4D11-8EEC-5E72D2F46F74}" id="{8F52A50A-123B-4E33-88D9-18299A0BF93A}" done="1">
    <text>@MACLER Elodie I corrected French subtitle</text>
    <mentions>
      <mention mentionpersonId="{ED721061-213C-49A0-B46A-61EBD5931D35}" mentionId="{DEBD5A80-6FCE-41B3-A96A-024E54158113}" startIndex="0" length="14"/>
    </mentions>
  </threadedComment>
  <threadedComment ref="K420" dT="2026-02-05T10:26:22.13" personId="{76B72B18-3AEB-4D11-8EEC-5E72D2F46F74}" id="{553B46C5-F5F0-4780-A945-9D0169FCA57F}" done="1">
    <text>@MACLER Elodie I corrected the subtitle</text>
    <mentions>
      <mention mentionpersonId="{ED721061-213C-49A0-B46A-61EBD5931D35}" mentionId="{99F88BCD-ED47-4337-B33C-99602E81E91A}" startIndex="0" length="14"/>
    </mentions>
  </threadedComment>
  <threadedComment ref="K422" dT="2026-02-05T10:28:40.48" personId="{76B72B18-3AEB-4D11-8EEC-5E72D2F46F74}" id="{42667FBA-A556-4E6A-8886-D2735AA3C829}" done="1">
    <text>@MACLER Elodie I corrected the subtitle</text>
    <mentions>
      <mention mentionpersonId="{ED721061-213C-49A0-B46A-61EBD5931D35}" mentionId="{2776E639-58CE-4713-8404-4A2FD461C0FD}" startIndex="0" length="14"/>
    </mentions>
  </threadedComment>
  <threadedComment ref="K423" dT="2026-02-05T10:30:04.35" personId="{76B72B18-3AEB-4D11-8EEC-5E72D2F46F74}" id="{E71C9063-ED73-4742-A8DC-E37F25398259}" done="1">
    <text>@MACLER Elodie I corrected the subtitle</text>
    <mentions>
      <mention mentionpersonId="{ED721061-213C-49A0-B46A-61EBD5931D35}" mentionId="{644138C4-C66F-4CF0-B850-FF458725156D}" startIndex="0" length="14"/>
    </mentions>
  </threadedComment>
  <threadedComment ref="K424" dT="2026-02-05T10:32:14.56" personId="{76B72B18-3AEB-4D11-8EEC-5E72D2F46F74}" id="{B4F95886-8B33-4732-AAE9-3BD857A0F62F}" done="1">
    <text>@MACLER Elodie I corrected the subtitle</text>
    <mentions>
      <mention mentionpersonId="{ED721061-213C-49A0-B46A-61EBD5931D35}" mentionId="{1A9547E2-8A82-4306-82F3-4D2B461C07C7}" startIndex="0" length="14"/>
    </mentions>
  </threadedComment>
  <threadedComment ref="K425" dT="2026-02-05T10:34:11.97" personId="{76B72B18-3AEB-4D11-8EEC-5E72D2F46F74}" id="{ED80F714-8412-465E-BFEF-CE3C88A9D964}" done="1">
    <text>@MACLER Elodie I updated the titles to the course titles recently used. Corrected subtitles.</text>
    <mentions>
      <mention mentionpersonId="{ED721061-213C-49A0-B46A-61EBD5931D35}" mentionId="{C3DAD341-1C64-4C72-9C58-F9262F9C0B28}" startIndex="0" length="14"/>
    </mentions>
  </threadedComment>
  <threadedComment ref="K426" dT="2026-02-05T10:37:17.08" personId="{76B72B18-3AEB-4D11-8EEC-5E72D2F46F74}" id="{B2FBE628-6FB0-419D-861C-F6B0D19DF17D}" done="1">
    <text>@MACLER Elodie I updated the name of the template to "Low and middle value contracts - how to manage negotiated procedures" based on the name of the last courses.</text>
    <mentions>
      <mention mentionpersonId="{ED721061-213C-49A0-B46A-61EBD5931D35}" mentionId="{53A263A7-A98F-44B7-A123-2000E7379976}" startIndex="0" length="14"/>
    </mentions>
  </threadedComment>
  <threadedComment ref="J437" dT="2026-02-04T16:21:23.90" personId="{C67FBFEC-BA2E-4A6A-845D-615935E1B976}" id="{5B882A97-4C99-4C73-9DC0-768A8DF9BB4B}" done="1">
    <text>No dates planned, the risk management unit is planning redesign and reinternalize the training</text>
  </threadedComment>
  <threadedComment ref="J437" dT="2026-02-05T07:34:48.18" personId="{76B72B18-3AEB-4D11-8EEC-5E72D2F46F74}" id="{C883F296-6EF5-4EF8-98A3-49E4CAEBE65A}" parentId="{5B882A97-4C99-4C73-9DC0-768A8DF9BB4B}">
    <text>So should it be removed from the catalogue and from the brochure?</text>
  </threadedComment>
  <threadedComment ref="J437" dT="2026-02-06T11:15:02.34" personId="{76B72B18-3AEB-4D11-8EEC-5E72D2F46F74}" id="{D3B219CD-A653-46B2-8849-71EE5DDB47A1}" parentId="{5B882A97-4C99-4C73-9DC0-768A8DF9BB4B}">
    <text xml:space="preserve">@MACLER Elodie </text>
    <mentions>
      <mention mentionpersonId="{ED721061-213C-49A0-B46A-61EBD5931D35}" mentionId="{C0433E5A-BA90-4931-A6C3-5B7095334D1C}" startIndex="0" length="14"/>
    </mentions>
  </threadedComment>
  <threadedComment ref="J437" dT="2026-02-11T11:40:23.34" personId="{76B72B18-3AEB-4D11-8EEC-5E72D2F46F74}" id="{48AF77CE-A861-48B1-B85F-63B8C8723533}" parentId="{5B882A97-4C99-4C73-9DC0-768A8DF9BB4B}">
    <text xml:space="preserve">They released an eLearning for this now. Can we remove this from the catalogue? @MACLER Elodie </text>
    <mentions>
      <mention mentionpersonId="{ED721061-213C-49A0-B46A-61EBD5931D35}" mentionId="{814F6BCD-6D6D-4638-81A7-C4B4D298F329}" startIndex="80" length="14"/>
    </mentions>
  </threadedComment>
  <threadedComment ref="J437" dT="2026-02-11T11:51:24.34" personId="{C67FBFEC-BA2E-4A6A-845D-615935E1B976}" id="{55F857B1-0DAA-41C4-9BD6-A3009D8104B4}" parentId="{5B882A97-4C99-4C73-9DC0-768A8DF9BB4B}">
    <text>Yes, thank you!</text>
  </threadedComment>
  <threadedComment ref="J437" dT="2026-02-11T12:51:47.88" personId="{76B72B18-3AEB-4D11-8EEC-5E72D2F46F74}" id="{774E7568-D5B4-4EC5-B0A6-04A7736BB867}" parentId="{5B882A97-4C99-4C73-9DC0-768A8DF9BB4B}">
    <text>done</text>
  </threadedComment>
  <threadedComment ref="K462" dT="2026-02-05T11:10:42.32" personId="{76B72B18-3AEB-4D11-8EEC-5E72D2F46F74}" id="{A064D676-4AF9-45C7-8303-BA829651A53E}">
    <text>@SEKULSKA Anna @MOLINA MESTRE Lidia As far as I understand learners have access to go fluent via the interinstitutional catalogue. Should this catalogue folder be included to the brochure or the specific eLearning course? Please confirm what you think is best for the learners.</text>
    <mentions>
      <mention mentionpersonId="{94AB4E6A-92A7-49BD-ABFC-8E25223083DA}" mentionId="{E0E12AB3-577B-40CC-BA3A-E7635A27AF40}" startIndex="0" length="14"/>
      <mention mentionpersonId="{218047C2-4930-4326-8DCE-66BC87BF29F7}" mentionId="{89607961-3069-4B25-A79F-5F9D8DA74846}" startIndex="15" length="20"/>
    </mentions>
  </threadedComment>
  <threadedComment ref="K462" dT="2026-02-26T15:13:18.38" personId="{76B72B18-3AEB-4D11-8EEC-5E72D2F46F74}" id="{9A9068C5-5348-4FF2-AD84-73A69F76F737}" parentId="{A064D676-4AF9-45C7-8303-BA829651A53E}">
    <text>@SEKULSKA Anna @MOLINA MESTRE Lidia We need to speak about how to include GoFluent into the brochure.</text>
    <mentions>
      <mention mentionpersonId="{94AB4E6A-92A7-49BD-ABFC-8E25223083DA}" mentionId="{847D8557-9D96-4544-9811-9D60DE3E3587}" startIndex="0" length="14"/>
      <mention mentionpersonId="{218047C2-4930-4326-8DCE-66BC87BF29F7}" mentionId="{A0DAC8CF-A323-4FBB-8B6D-DB21FDBCDCC0}" startIndex="15" length="20"/>
    </mentions>
  </threadedComment>
  <threadedComment ref="K463" dT="2026-03-09T15:35:30.40" personId="{76B72B18-3AEB-4D11-8EEC-5E72D2F46F74}" id="{EEFB6F60-4893-403E-B75A-F5ACB5EEB96A}">
    <text>To check: compulsory courses &amp; optional courses (keep compulsories single, combine optionals)</text>
  </threadedComment>
  <threadedComment ref="K472" dT="2026-03-09T14:18:53.06" personId="{76B72B18-3AEB-4D11-8EEC-5E72D2F46F74}" id="{4FB696A8-081A-44B6-B348-79773C77B202}">
    <text xml:space="preserve">Need to clarify how to present this in the brochure @SEKULSKA Anna @ANCIAUX Laurent </text>
    <mentions>
      <mention mentionpersonId="{94AB4E6A-92A7-49BD-ABFC-8E25223083DA}" mentionId="{0C0B9FA1-D7A8-4FAB-BB64-5EBDD837D307}" startIndex="52" length="14"/>
      <mention mentionpersonId="{93DE55CA-6558-41C2-9CE7-8867B1165E3B}" mentionId="{DD8FD3F4-DBE3-44BA-B56C-4E4ECA962854}" startIndex="67" length="16"/>
    </mentions>
  </threadedComment>
  <threadedComment ref="J505" dT="2026-01-28T11:16:50.54" personId="{76B72B18-3AEB-4D11-8EEC-5E72D2F46F74}" id="{2688B2E0-0BE5-4131-8F21-7A5B4788B80F}" done="1">
    <text xml:space="preserve">@SEKULSKA Anna @CHARTOL Adeline Marguerite Rose I marked all placement test as "Yes". GoFluent is currently not published in our catalogue. </text>
    <mentions>
      <mention mentionpersonId="{94AB4E6A-92A7-49BD-ABFC-8E25223083DA}" mentionId="{1A295EA9-4635-49E0-B218-24EE028B6A41}" startIndex="0" length="14"/>
      <mention mentionpersonId="{EA48D16F-D457-499F-B2D0-7A9A2E7E647B}" mentionId="{AC2A5477-15E8-43E9-8FCF-9D88D021DA88}" startIndex="15" length="32"/>
    </mentions>
  </threadedComment>
  <threadedComment ref="K532" dT="2026-03-09T15:39:58.65" personId="{F214464C-A349-4E3E-8B83-BEE6E82299B2}" id="{47EB6F07-80F8-4408-945A-7B1FA620843C}">
    <text xml:space="preserve">Check with Christine </text>
  </threadedComment>
  <threadedComment ref="K535" dT="2026-02-12T10:28:24.23" personId="{76B72B18-3AEB-4D11-8EEC-5E72D2F46F74}" id="{73813F2F-4BEA-47D7-B3C8-30A82A1389D6}" done="1">
    <text>@GOLEMINOVA Veselina please update subtitle of the template to "Brussels/Luxembourg" and use learn.lead as cm.</text>
    <mentions>
      <mention mentionpersonId="{7CEE0834-02AC-4F96-938F-9035C2A8C0C9}" mentionId="{F02AF0C2-E538-4BEF-BC48-C715D96B1D3C}" startIndex="0" length="20"/>
    </mentions>
  </threadedComment>
  <threadedComment ref="K536" dT="2026-02-12T10:43:48.01" personId="{76B72B18-3AEB-4D11-8EEC-5E72D2F46F74}" id="{1F72B7BB-C7C1-4E0C-A6A4-32601A2AA7C9}" done="1">
    <text>@GABELEIN-PAEHLER Katrin please update subtitle (Brussels/Luxembourg) and CM</text>
    <mentions>
      <mention mentionpersonId="{203DE46C-D5EF-4127-BCC8-CBA718B32697}" mentionId="{F33BD97C-4447-405E-A709-B5E7F484DFCA}" startIndex="0" length="24"/>
    </mentions>
  </threadedComment>
  <threadedComment ref="K536" dT="2026-03-09T11:18:54.59" personId="{76B72B18-3AEB-4D11-8EEC-5E72D2F46F74}" id="{19184118-5F20-4129-AB95-951A12276A6B}" parentId="{1F72B7BB-C7C1-4E0C-A6A4-32601A2AA7C9}">
    <text>replaced by 071074-EP</text>
  </threadedComment>
  <threadedComment ref="K538" dT="2026-02-12T09:28:10.14" personId="{76B72B18-3AEB-4D11-8EEC-5E72D2F46F74}" id="{D5FC6F0A-28C1-43AC-8EB9-D7AEDB36DE1C}" done="1">
    <text>@GABELEIN-PAEHLER Katrin Not organised since 2024. Remove from the catalogue?</text>
    <mentions>
      <mention mentionpersonId="{203DE46C-D5EF-4127-BCC8-CBA718B32697}" mentionId="{443AD6B0-80B8-473B-8953-13AE0B27B2F5}" startIndex="0" length="24"/>
    </mentions>
  </threadedComment>
  <threadedComment ref="K538" dT="2026-02-12T10:45:47.03" personId="{76B72B18-3AEB-4D11-8EEC-5E72D2F46F74}" id="{2CCD7ADE-5DE8-437B-8A28-47B407CFBD31}" parentId="{D5FC6F0A-28C1-43AC-8EB9-D7AEDB36DE1C}">
    <text>Is this training replaced by the training on core competencies?</text>
  </threadedComment>
  <threadedComment ref="K538" dT="2026-02-12T10:46:11.33" personId="{76B72B18-3AEB-4D11-8EEC-5E72D2F46F74}" id="{75DF96E4-40A9-4214-BA69-BCAF6A7B0093}" parentId="{D5FC6F0A-28C1-43AC-8EB9-D7AEDB36DE1C}">
    <text>if you want to keep the template please update subtile and CM</text>
  </threadedComment>
  <threadedComment ref="K539" dT="2026-02-12T10:38:22.62" personId="{76B72B18-3AEB-4D11-8EEC-5E72D2F46F74}" id="{91E42EFF-6283-4945-AA1D-E8EC24CD7EE4}" done="1">
    <text>@GABELEIN-PAEHLER Katrin please update subtitle to the location "Brussels" and use learn.lead as CM on the template</text>
    <mentions>
      <mention mentionpersonId="{203DE46C-D5EF-4127-BCC8-CBA718B32697}" mentionId="{DF6778A1-D8CC-4619-9B76-50D470C59B5C}" startIndex="0" length="24"/>
    </mentions>
  </threadedComment>
  <threadedComment ref="K540" dT="2026-02-12T10:40:06.55" personId="{76B72B18-3AEB-4D11-8EEC-5E72D2F46F74}" id="{950F50F6-3B7B-4F03-A4EC-77887FEF16B0}" done="1">
    <text>@GABELEIN-PAEHLER Katrin  please update title (should not have the delivery mode), subtitle = Online, and CM to learn.lead</text>
    <mentions>
      <mention mentionpersonId="{203DE46C-D5EF-4127-BCC8-CBA718B32697}" mentionId="{43171B1D-458E-4C9C-B9F5-AF254B8A9A56}" startIndex="0" length="24"/>
    </mentions>
  </threadedComment>
  <threadedComment ref="K541" dT="2026-02-13T11:36:14.24" personId="{76B72B18-3AEB-4D11-8EEC-5E72D2F46F74}" id="{461F27B9-8511-4564-B442-A236EDE782E8}" done="1">
    <text>@CONTE Viviana This course is only organised online but encoded as blended learning. Please consider creating an online template instead.
In any case: add subtitle = Online, location = online.</text>
    <mentions>
      <mention mentionpersonId="{C6647FBB-2D90-401A-85EB-E2950149DD3C}" mentionId="{0529E6AE-B4AE-4D0E-8D5C-A9EB847CB53D}" startIndex="0" length="14"/>
    </mentions>
  </threadedComment>
  <threadedComment ref="K541" dT="2026-02-26T15:16:03.16" personId="{76B72B18-3AEB-4D11-8EEC-5E72D2F46F74}" id="{B52B8D71-EFDD-4B71-A78E-75060938F132}" parentId="{461F27B9-8511-4564-B442-A236EDE782E8}">
    <text>I updated the subtitle now. To not make things more complicated we can also keep the template as is.</text>
  </threadedComment>
  <threadedComment ref="K542" dT="2026-02-12T10:42:15.18" personId="{76B72B18-3AEB-4D11-8EEC-5E72D2F46F74}" id="{F5EE7D29-3614-4EBD-973A-F38B83BD71F9}" done="1">
    <text>@GABELEIN-PAEHLER Katrin please update the title (the language shouldn't be included there), the subtitle "Online", and the CM to learn.lead</text>
    <mentions>
      <mention mentionpersonId="{203DE46C-D5EF-4127-BCC8-CBA718B32697}" mentionId="{26C15727-3A11-4E8E-A1FE-C512C9C7B38C}" startIndex="0" length="24"/>
    </mentions>
  </threadedComment>
  <threadedComment ref="K543" dT="2026-02-13T11:39:32.99" personId="{76B72B18-3AEB-4D11-8EEC-5E72D2F46F74}" id="{16B0957E-92C0-413C-BF82-6D703BEBFB32}" done="1">
    <text>@GOLEMINOVA Veselina the template is created for (offline) classroom courses. Howerver there was also an online session organised with it. Please either do the "Celina" solution if you want to organise all courses in one or create one template for online version of the course. Please update CM to learn.lead.</text>
    <mentions>
      <mention mentionpersonId="{7CEE0834-02AC-4F96-938F-9035C2A8C0C9}" mentionId="{4D5EC21C-380D-471C-AB98-35123390465F}" startIndex="0" length="20"/>
    </mentions>
  </threadedComment>
  <threadedComment ref="K544" dT="2026-02-13T11:44:39.30" personId="{76B72B18-3AEB-4D11-8EEC-5E72D2F46F74}" id="{A18E0A00-541A-484C-B391-F461D54CE686}" done="1">
    <text>@GOLEMINOVA Veselina the french translation is missing. If you never organise it in French, please remove the language on the template. You could also consider updating the subtitle so it's in line with the other items published in the catalogue (Brussles/Lucembourg or Online or Hybrid)</text>
    <mentions>
      <mention mentionpersonId="{7CEE0834-02AC-4F96-938F-9035C2A8C0C9}" mentionId="{96F5149B-0CFC-4389-91A2-D202C7A3204C}" startIndex="0" length="20"/>
    </mentions>
  </threadedComment>
  <threadedComment ref="K547" dT="2026-02-13T11:51:39.34" personId="{76B72B18-3AEB-4D11-8EEC-5E72D2F46F74}" id="{6834C4E0-47D7-43EF-BC74-A0004517A69A}" done="1">
    <text>@GOLEMINOVA Veselina  the french translation is missing. If you never organise it in French, please remove the language on the template.</text>
    <mentions>
      <mention mentionpersonId="{7CEE0834-02AC-4F96-938F-9035C2A8C0C9}" mentionId="{95D22ECE-42F5-4B5C-B2F4-FDD76B4D298C}" startIndex="0" length="20"/>
    </mentions>
  </threadedComment>
  <threadedComment ref="K549" dT="2026-02-12T10:43:48.01" personId="{76B72B18-3AEB-4D11-8EEC-5E72D2F46F74}" id="{16CF89DE-C7D1-4432-A433-6E73E17D6DC4}" done="1">
    <text>@GABELEIN-PAEHLER Katrin please update subtitle and CM</text>
    <mentions>
      <mention mentionpersonId="{203DE46C-D5EF-4127-BCC8-CBA718B32697}" mentionId="{E0AA00E1-7485-418E-9034-7729102D12CD}" startIndex="0" length="24"/>
    </mentions>
  </threadedComment>
  <threadedComment ref="K550" dT="2026-02-03T16:48:57.51" personId="{76B72B18-3AEB-4D11-8EEC-5E72D2F46F74}" id="{23D705AB-E43A-4CED-A1F6-0332F8FDA894}" done="1">
    <text>@LATTEUR Christine Can this template be removed? There was no course sind 2024.</text>
    <mentions>
      <mention mentionpersonId="{621B4392-332C-4780-9D34-88DB5C462BD1}" mentionId="{B6D343FC-43AD-4083-AC8A-0FCF3F295D90}" startIndex="0" length="18"/>
    </mentions>
  </threadedComment>
  <threadedComment ref="K550" dT="2026-02-05T11:13:33.92" personId="{76B72B18-3AEB-4D11-8EEC-5E72D2F46F74}" id="{2E2B2043-DCEC-4B17-8F41-C47548596CE5}" parentId="{23D705AB-E43A-4CED-A1F6-0332F8FDA894}">
    <text>I checked and the courses are not published via this template anymore.
@GABELEIN-PAEHLER Katrin can we remove this outdated template from the catalogue?</text>
    <mentions>
      <mention mentionpersonId="{203DE46C-D5EF-4127-BCC8-CBA718B32697}" mentionId="{E8AB7BD1-6134-47FC-A14F-E2BE40D85ED1}" startIndex="71" length="24"/>
    </mentions>
  </threadedComment>
  <threadedComment ref="K550" dT="2026-02-05T11:20:15.27" personId="{3EEEEF99-CD7E-4B9C-9CF9-E03C8B041AFC}" id="{4F86511E-63D5-4446-B8B8-50201C579058}" parentId="{23D705AB-E43A-4CED-A1F6-0332F8FDA894}">
    <text>ok - please remove</text>
  </threadedComment>
  <threadedComment ref="K550" dT="2026-02-06T11:08:58.76" personId="{76B72B18-3AEB-4D11-8EEC-5E72D2F46F74}" id="{9D27ACC3-F04D-429E-A0D4-71F4DE2F43B4}" parentId="{23D705AB-E43A-4CED-A1F6-0332F8FDA894}">
    <text>done</text>
  </threadedComment>
  <threadedComment ref="K551" dT="2026-02-13T11:54:19.22" personId="{76B72B18-3AEB-4D11-8EEC-5E72D2F46F74}" id="{1629D82C-694C-4D32-9F25-9852D5C80EDA}" done="1">
    <text>@GOLEMINOVA Veselina please update subtitle of the template to "Brussels/Luxembourg" and use learn.lead as cm.</text>
    <mentions>
      <mention mentionpersonId="{7CEE0834-02AC-4F96-938F-9035C2A8C0C9}" mentionId="{A16B60EC-97C6-4F53-8C2B-41C3339BF9A7}" startIndex="0" length="20"/>
    </mentions>
  </threadedComment>
  <threadedComment ref="K552" dT="2026-02-03T16:49:05.63" personId="{76B72B18-3AEB-4D11-8EEC-5E72D2F46F74}" id="{41B279F2-4195-4ADB-9899-0ED1B2FD8BFE}" done="1">
    <text>@LATTEUR Christine Can this template be removed? There was no course sind 2024.</text>
    <mentions>
      <mention mentionpersonId="{621B4392-332C-4780-9D34-88DB5C462BD1}" mentionId="{1923F1A0-A47F-423E-A2B5-8DC8F5EB331B}" startIndex="0" length="18"/>
    </mentions>
  </threadedComment>
  <threadedComment ref="K552" dT="2026-02-06T11:10:44.75" personId="{76B72B18-3AEB-4D11-8EEC-5E72D2F46F74}" id="{C82394FA-263A-44BF-B19E-0CE8067E81CE}" parentId="{41B279F2-4195-4ADB-9899-0ED1B2FD8BFE}">
    <text>@GABELEIN-PAEHLER Katrin  I removed this one too.</text>
    <mentions>
      <mention mentionpersonId="{203DE46C-D5EF-4127-BCC8-CBA718B32697}" mentionId="{773C8EC7-0A4A-472D-A7C0-1ABD4B2B556E}" startIndex="0" length="24"/>
    </mentions>
  </threadedComment>
  <threadedComment ref="K553" dT="2026-02-13T11:55:46.50" personId="{76B72B18-3AEB-4D11-8EEC-5E72D2F46F74}" id="{75B581CE-81F7-4FAF-A73F-52C6E429A184}" done="1">
    <text>@CONTE Viviana please update the subtitle to "Brussels/Luxembourg or Online"</text>
    <mentions>
      <mention mentionpersonId="{C6647FBB-2D90-401A-85EB-E2950149DD3C}" mentionId="{428B9FC6-3BF6-48CA-9C9E-68F5A2B102F9}" startIndex="0" length="14"/>
    </mentions>
  </threadedComment>
  <threadedComment ref="K554" dT="2026-02-13T11:58:12.23" personId="{76B72B18-3AEB-4D11-8EEC-5E72D2F46F74}" id="{2B1BC326-266F-44B9-AEAD-6B09718F9530}" done="1">
    <text>@GOLEMINOVA Veselina Please add subtitle and use learn.lead as CM</text>
    <mentions>
      <mention mentionpersonId="{7CEE0834-02AC-4F96-938F-9035C2A8C0C9}" mentionId="{EDB277B9-75C8-486B-8247-B91D8E1AFC4E}" startIndex="0" length="20"/>
    </mentions>
  </threadedComment>
  <threadedComment ref="K559" dT="2026-02-13T11:59:59.45" personId="{76B72B18-3AEB-4D11-8EEC-5E72D2F46F74}" id="{39D45C5B-EBCB-44B5-B65A-26001E9A9B0D}" done="1">
    <text>@GOLEMINOVA Veselina please update the subtitle and use learn.leard as CM. Will this course be organised again? if not, we could remove it from the catalogue.</text>
    <mentions>
      <mention mentionpersonId="{7CEE0834-02AC-4F96-938F-9035C2A8C0C9}" mentionId="{F43970A9-F83D-4C49-8CF9-503D81513D90}" startIndex="0" length="20"/>
    </mentions>
  </threadedComment>
  <threadedComment ref="K559" dT="2026-02-16T13:17:02.17" personId="{76B72B18-3AEB-4D11-8EEC-5E72D2F46F74}" id="{45524EAC-917E-4B5A-B799-DD2B22C93802}" parentId="{39D45C5B-EBCB-44B5-B65A-26001E9A9B0D}">
    <text>Response: The course will soon have a new date.
What is the Celina solution you mentioned?</text>
  </threadedComment>
  <threadedComment ref="K559" dT="2026-02-16T13:19:52.19" personId="{76B72B18-3AEB-4D11-8EEC-5E72D2F46F74}" id="{396BDC24-5C68-498C-A31A-30D68E0AF582}" parentId="{39D45C5B-EBCB-44B5-B65A-26001E9A9B0D}">
    <text>@GOLEMINOVA Veselina 
Celina used to encode courses that are organised onsite and online in one blended learning template.
We looked into this solution and it is feasible if you are very comfortable with the encoding in EU Learn. The issues is that there are many things that need to be considered when encoding. Classic encoding in one template for on-site and one other template for online courses is easier and has less potential for errors.</text>
    <mentions>
      <mention mentionpersonId="{7CEE0834-02AC-4F96-938F-9035C2A8C0C9}" mentionId="{B4A15082-A886-4A6D-929E-813F7A733C6C}" startIndex="0" length="20"/>
    </mentions>
  </threadedComment>
  <threadedComment ref="K562" dT="2026-02-05T11:13:39.17" personId="{F214464C-A349-4E3E-8B83-BEE6E82299B2}" id="{31094C5A-2861-4974-938A-6D91CBC24E68}" done="1">
    <text xml:space="preserve">@ANCIAUX Laurent do you have a Thumbnail for this learning path? Could you add it? I am assuming it was removed when the template was updated. </text>
    <mentions>
      <mention mentionpersonId="{93DE55CA-6558-41C2-9CE7-8867B1165E3B}" mentionId="{E667020C-B392-4839-98C5-4B8CF2DFE12B}" startIndex="0" length="16"/>
    </mentions>
  </threadedComment>
  <threadedComment ref="K562" dT="2026-02-12T08:25:14.43" personId="{76B72B18-3AEB-4D11-8EEC-5E72D2F46F74}" id="{7C64A5ED-FC53-444D-9B70-A4DEA15F3CB1}" parentId="{31094C5A-2861-4974-938A-6D91CBC24E68}">
    <text>@ŠTIH Kaja Karen confirmed that we can remove the LP from the catalogue for now. I requested because the courses are not organised anymore. They consider a revamp but haven started yet. I asked because it's also in "Newcomer and mandatory courses" catalogue.</text>
    <mentions>
      <mention mentionpersonId="{D40186F2-BD0F-4C10-8711-621D111A54D9}" mentionId="{6F3347E4-5B2B-4C67-8DC6-6245BE2896F7}" startIndex="0" length="10"/>
    </mentions>
  </threadedComment>
  <threadedComment ref="K565" dT="2026-02-13T12:05:33.02" personId="{76B72B18-3AEB-4D11-8EEC-5E72D2F46F74}" id="{29C1A9FF-D543-4E87-AA1E-9AA2F359374B}" done="1">
    <text>@DILLON Karen @KRAJCOVA Mariana Can we remove this from the catalogue? Has only been organised once.</text>
    <mentions>
      <mention mentionpersonId="{EC36668F-21A6-4AE2-BE66-C108283A1032}" mentionId="{027FD80F-FA37-4193-807D-728D58DAAFC7}" startIndex="0" length="13"/>
      <mention mentionpersonId="{656FF2A2-5FFF-4985-84DF-293CDACC7747}" mentionId="{F66A4672-1B68-42E4-A3F3-D0000BA8212A}" startIndex="14" length="17"/>
    </mentions>
  </threadedComment>
  <threadedComment ref="K565" dT="2026-02-16T07:23:27.99" personId="{35EF6A0F-9AEF-47C0-8FAF-AF21BEF607E6}" id="{4CC986A2-C156-4B65-8FF6-ACC4D6FE470A}" parentId="{29C1A9FF-D543-4E87-AA1E-9AA2F359374B}">
    <text>No, please keep as it is an important training for APA to showcase.</text>
  </threadedComment>
  <threadedComment ref="K568" dT="2026-02-09T09:07:34.53" personId="{76B72B18-3AEB-4D11-8EEC-5E72D2F46F74}" id="{B1951BEF-19E4-4E31-8F4C-824334C50F5A}" done="1">
    <text>@KRAJCOVA Mariana I removed this from the catalogue. The self-paced version is still published but this classroom course was only organised once. If you plan to organise more, please let me know and I will re-attach it.</text>
    <mentions>
      <mention mentionpersonId="{656FF2A2-5FFF-4985-84DF-293CDACC7747}" mentionId="{A57C6435-ADEB-4E2A-9089-80ABECDB8D31}" startIndex="0" length="17"/>
    </mentions>
  </threadedComment>
  <threadedComment ref="K569" dT="2026-02-09T09:13:36.09" personId="{76B72B18-3AEB-4D11-8EEC-5E72D2F46F74}" id="{B6290636-E156-4608-8799-4A864AA989EE}" done="1">
    <text>@KRAJCOVA Mariana @PHILLIPS Susan None of the classroom courses is still organised. Remove from the catalogue and only publish the self-paced ones?</text>
    <mentions>
      <mention mentionpersonId="{656FF2A2-5FFF-4985-84DF-293CDACC7747}" mentionId="{9E4EA69B-16FE-4F1B-ABD2-2E3EF9A3BF0C}" startIndex="0" length="17"/>
      <mention mentionpersonId="{1667ACCA-4329-4511-A3C0-B02FFD8C69CE}" mentionId="{712C150D-8A2C-4E59-BA03-C56F26AF18EC}" startIndex="18" length="15"/>
    </mentions>
  </threadedComment>
  <threadedComment ref="K569" dT="2026-02-11T15:08:16.29" personId="{76B72B18-3AEB-4D11-8EEC-5E72D2F46F74}" id="{B3EFE9F2-ADA5-4721-974B-BD2EB8ABD918}" parentId="{B6290636-E156-4608-8799-4A864AA989EE}">
    <text xml:space="preserve">@DILLON Karen Do you have any insight on this? </text>
    <mentions>
      <mention mentionpersonId="{EC36668F-21A6-4AE2-BE66-C108283A1032}" mentionId="{55719A60-CA50-4AB6-9F95-6F2B2D86B972}" startIndex="0" length="13"/>
    </mentions>
  </threadedComment>
  <threadedComment ref="K569" dT="2026-02-12T08:25:51.56" personId="{76B72B18-3AEB-4D11-8EEC-5E72D2F46F74}" id="{4E3BDE27-F079-4AE3-B44A-371B0B99D78A}" parentId="{B6290636-E156-4608-8799-4A864AA989EE}">
    <text xml:space="preserve"> Karen confirmed that we can remove the LP from the catalogue for now. I requested because the courses are not organised anymore. They consider a revamp but haven started yet.</text>
  </threadedComment>
  <threadedComment ref="K576" dT="2026-03-09T15:50:16.38" personId="{F214464C-A349-4E3E-8B83-BEE6E82299B2}" id="{1C04A752-A7F2-44A0-86A0-0CA79EFD4615}">
    <text>include in title "including digital tools"</text>
  </threadedComment>
  <threadedComment ref="K579" dT="2026-02-09T09:38:01.56" personId="{76B72B18-3AEB-4D11-8EEC-5E72D2F46F74}" id="{969D0546-4FE3-40B9-A06C-793D7FF9B904}" done="1">
    <text>@ZAVADILOVA Pavlina changed subtitle to Strasbourg.</text>
    <mentions>
      <mention mentionpersonId="{2812DDC0-A256-4216-BFB1-347C75C7E0E7}" mentionId="{FF355E3F-B724-4DA1-A952-117C42DCF841}" startIndex="0" length="19"/>
    </mentions>
  </threadedComment>
  <threadedComment ref="K595" dT="2026-02-09T13:41:47.20" personId="{F214464C-A349-4E3E-8B83-BEE6E82299B2}" id="{AE52FFB0-EADE-4F95-88E4-C9EC8C0E9EF0}" done="1">
    <text xml:space="preserve">@DILLON Karen I see there is no online sessions planed. Do you plan to have some in 2026? Otherwise, can we unassign online template? </text>
    <mentions>
      <mention mentionpersonId="{EC36668F-21A6-4AE2-BE66-C108283A1032}" mentionId="{D6C97845-6768-4D6E-88B2-FA3141BDCC56}" startIndex="0" length="13"/>
    </mentions>
  </threadedComment>
  <threadedComment ref="K597" dT="2026-02-09T13:45:39.93" personId="{F214464C-A349-4E3E-8B83-BEE6E82299B2}" id="{B1848D20-4293-4E51-85B6-0F9DE8E941FC}" done="1">
    <text xml:space="preserve">@KRASTEVA Viktoriya could you update the course subtitle? We have a rule that subtitles should include only the location, no additional info.
• On the template level:
 – virtual version → “Online”
 – classroom version → “Brussels/Luxembourg”
• On the course level (classroom):
 – use either “Brussels” or “Luxembourg” (not both)
Additionally, location on course level should be encoded as building and not as city, so:
- For a course in Brussels --&gt; Campoamor
- For a course in Luxembourg --&gt; Adenauer. </text>
    <mentions>
      <mention mentionpersonId="{6BD63239-C543-4921-BA7B-9066E9635A02}" mentionId="{D0F8CD15-F771-4F2B-B662-1056068AE92A}" startIndex="0" length="19"/>
    </mentions>
  </threadedComment>
  <threadedComment ref="K597" dT="2026-02-09T15:44:21.06" personId="{699B83B1-8FF5-4D64-A156-C288379F6404}" id="{8834D798-8299-4B85-B2F2-3B38954B4099}" parentId="{B1848D20-4293-4E51-85B6-0F9DE8E941FC}">
    <text xml:space="preserve">Thank you for helping updating them, Kaja. </text>
  </threadedComment>
  <threadedComment ref="K598" dT="2026-02-09T13:35:52.42" personId="{F214464C-A349-4E3E-8B83-BEE6E82299B2}" id="{886BA61D-27D5-46BE-992C-9E79B4263DE6}" done="1">
    <text>@DILLON Karen could you change subtitles of these courses so that you have only "Brussels" or "Luxembourg" on course level?</text>
    <mentions>
      <mention mentionpersonId="{EC36668F-21A6-4AE2-BE66-C108283A1032}" mentionId="{F2ED1D66-857F-43D0-94E7-9EABC465FBBE}" startIndex="0" length="13"/>
    </mentions>
  </threadedComment>
  <threadedComment ref="K599" dT="2026-02-09T13:54:05.23" personId="{F214464C-A349-4E3E-8B83-BEE6E82299B2}" id="{BC4F59E2-70EA-46A6-991D-EC44E541EFFB}" done="1">
    <text xml:space="preserve">@KRASTEVA Viktoriya I can see there is no dates encoded for this course. Do you have some sessions planed? Otherwise, I would propose to unassign umbrella template and assign just one template with expression of interest bottom. </text>
    <mentions>
      <mention mentionpersonId="{6BD63239-C543-4921-BA7B-9066E9635A02}" mentionId="{90FF8702-0359-48AE-AA0B-3A01478194B1}" startIndex="0" length="19"/>
    </mentions>
  </threadedComment>
  <threadedComment ref="K599" dT="2026-02-09T15:46:30.52" personId="{699B83B1-8FF5-4D64-A156-C288379F6404}" id="{29711CB1-DFE3-43EC-9E51-52A402E9F277}" parentId="{BC4F59E2-70EA-46A6-991D-EC44E541EFFB}">
    <text xml:space="preserve">Courses will be ordered and published. Please we keep the umbrella. </text>
  </threadedComment>
  <threadedComment ref="K600" dT="2026-02-05T11:17:45.55" personId="{F214464C-A349-4E3E-8B83-BEE6E82299B2}" id="{2F36B897-2611-4BFD-9CCC-F81B9895DDAD}" done="1">
    <text>@DILLON Karen I changed the subtitle of the course in March to "Brussels".</text>
    <mentions>
      <mention mentionpersonId="{EC36668F-21A6-4AE2-BE66-C108283A1032}" mentionId="{C6D25711-0916-48AD-B995-46D57A73361F}" startIndex="0" length="13"/>
    </mentions>
  </threadedComment>
  <threadedComment ref="K601" dT="2026-02-09T13:52:49.01" personId="{F214464C-A349-4E3E-8B83-BEE6E82299B2}" id="{361C2B52-96E3-4ABE-8688-0229C70BEC13}" done="1">
    <text>@DILLON Karen can I take this template out of the catalogue? I can see there is no sessions planed.</text>
    <mentions>
      <mention mentionpersonId="{EC36668F-21A6-4AE2-BE66-C108283A1032}" mentionId="{E603A001-4EDA-4593-94F0-AEB9DF521C40}" startIndex="0" length="13"/>
    </mentions>
  </threadedComment>
  <threadedComment ref="K602" dT="2026-02-13T12:08:51.95" personId="{76B72B18-3AEB-4D11-8EEC-5E72D2F46F74}" id="{4AD1E060-6CCC-438D-8241-A516DD2B4DC9}" done="1">
    <text>@MACLER Elodie Ended in November. Removed from the catalogue.</text>
    <mentions>
      <mention mentionpersonId="{ED721061-213C-49A0-B46A-61EBD5931D35}" mentionId="{5DE67C60-E9A7-4CDA-B9DD-88A3725E3DCD}"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28" dT="2026-03-09T14:49:35.38" personId="{76B72B18-3AEB-4D11-8EEC-5E72D2F46F74}" id="{2A1601D6-D720-4368-98F9-2ADD78DF84E5}" done="1">
    <text>Why "step 1" in title @ZANOLI Carlos ?</text>
    <mentions>
      <mention mentionpersonId="{4BC430D5-0FB4-4B35-9504-324076D4C440}" mentionId="{F1E4627E-1449-4326-8EB7-88DC0EC58B58}" startIndex="22" length="14"/>
    </mentions>
  </threadedComment>
  <threadedComment ref="B28" dT="2026-03-09T15:21:24.72" personId="{01E9E077-B30D-46AF-BEFF-FA4BCFE010A3}" id="{A25FFF6C-CD52-4803-845A-3CAEA2616C79}" parentId="{2A1601D6-D720-4368-98F9-2ADD78DF84E5}">
    <text>because there should be a "step 2" version, which is the advanced version, but we don't offer it in the catalogue, tailor made only</text>
  </threadedComment>
  <threadedComment ref="B73" dT="2026-07-08T08:30:21.55" personId="{895F79AA-BEEA-4BE0-A169-D5CB1D0C84A5}" id="{227D096D-6A1D-411F-9DE9-7BA85207404A}">
    <text>To add "Green Public Procurement" + Socially Responsible Public Procurement"</text>
  </threadedComment>
  <threadedComment ref="B97" dT="2026-07-08T15:36:33.73" personId="{895F79AA-BEEA-4BE0-A169-D5CB1D0C84A5}" id="{5011A9A9-E08F-421E-9455-49DCF4FF18E3}">
    <text xml:space="preserve">@DILLON Karen will talk with the well-being unit. As this title is too long. </text>
    <mentions>
      <mention mentionpersonId="{EC36668F-21A6-4AE2-BE66-C108283A1032}" mentionId="{A9E72C70-CBC9-4E98-ACA6-680A628903F0}" startIndex="0" length="13"/>
    </mentions>
  </threadedComment>
  <threadedComment ref="E103" dT="2026-07-08T08:45:57.59" personId="{895F79AA-BEEA-4BE0-A169-D5CB1D0C84A5}" id="{27C5954F-E176-4C46-922F-6B9A4C2384AA}">
    <text>@FERREIRA Inês to be added, please</text>
    <mentions>
      <mention mentionpersonId="{029D657F-A6DE-4934-A156-E42B2A70F78A}" mentionId="{D7343A09-3379-4CB7-87DB-E13A20B064A5}" startIndex="0" length="14"/>
    </mentions>
  </threadedComment>
  <threadedComment ref="E103" dT="2026-07-08T12:24:10.00" personId="{80A06DF9-7406-4186-8B79-4D46292C6404}" id="{A3759CF9-4B4A-4A96-A35E-E2563AC74BBE}" parentId="{27C5954F-E176-4C46-922F-6B9A4C2384AA}">
    <text>done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eulearn.europa.eu/ilp/pages/description.jsf" TargetMode="External"/><Relationship Id="rId21" Type="http://schemas.openxmlformats.org/officeDocument/2006/relationships/hyperlink" Target="https://eulearn.europa.eu/ilp/pages/description.jsf" TargetMode="External"/><Relationship Id="rId42" Type="http://schemas.openxmlformats.org/officeDocument/2006/relationships/hyperlink" Target="https://eulearn.europa.eu/ils/data/course/IT_Adobe_Acrobat_thumbnail_650x365_61423696.jpg" TargetMode="External"/><Relationship Id="rId63" Type="http://schemas.openxmlformats.org/officeDocument/2006/relationships/hyperlink" Target="https://eulearn.europa.eu/ilp/pages/catalogsearch.jsf?catalogId=115172&amp;fq%2B=subTreeIds:%221%2F0%2F115172%2F%22&amp;fq=%7B!tag%3DsubTreeIds%7D%20subTreeIds:(2%2F0%2F115172%2F34288577%2F)&amp;fq=%7B!tag%3DsubTreeIdsDirect%7D%20subTreeIdsDirect:(2%2F0%2F115172%2F34288470%2F)&amp;sidebarExpanded=true&amp;q=*:*&amp;rows=25" TargetMode="External"/><Relationship Id="rId84" Type="http://schemas.openxmlformats.org/officeDocument/2006/relationships/hyperlink" Target="https://eulearn.europa.eu/ilp/pages/catalogsearch.jsf?catalogId=115172&amp;fq%2B=subTreeIds:%221%2F0%2F115172%2F%22&amp;fq=%7B!tag%3DsubTreeIds%7D%20subTreeIds:(2%2F0%2F115172%2F34288577%2F)&amp;sidebarExpanded=true&amp;q=%7B!q.op%3DAND%7D%20tour&amp;rows=8" TargetMode="External"/><Relationship Id="rId138" Type="http://schemas.openxmlformats.org/officeDocument/2006/relationships/hyperlink" Target="https://eulearn.europa.eu/ils/data/course/LEX_Everyday_economics_650x365_39166703.jpg" TargetMode="External"/><Relationship Id="rId159" Type="http://schemas.openxmlformats.org/officeDocument/2006/relationships/hyperlink" Target="https://eulearn.europa.eu/ilp/pages/description.jsf" TargetMode="External"/><Relationship Id="rId170" Type="http://schemas.openxmlformats.org/officeDocument/2006/relationships/hyperlink" Target="https://eulearn.europa.eu/ils/data/program/Risk_Management_in_the_European_Parliament_105461259.png" TargetMode="External"/><Relationship Id="rId191" Type="http://schemas.openxmlformats.org/officeDocument/2006/relationships/hyperlink" Target="https://eulearn.europa.eu/ils/data/course/EU_learn_Disinformation_650x365_109737101.png" TargetMode="External"/><Relationship Id="rId107" Type="http://schemas.openxmlformats.org/officeDocument/2006/relationships/hyperlink" Target="https://eulearn.europa.eu/ilp/pages/description.jsf" TargetMode="External"/><Relationship Id="rId11" Type="http://schemas.openxmlformats.org/officeDocument/2006/relationships/hyperlink" Target="https://eulearn.europa.eu/ilp/pages/catalogsearch.jsf?catalogId=90316766&amp;sidebarExpanded=false&amp;q=*:*&amp;rows=6" TargetMode="External"/><Relationship Id="rId32" Type="http://schemas.openxmlformats.org/officeDocument/2006/relationships/hyperlink" Target="https://eulearn.europa.eu/ilp/pages/description.jsf" TargetMode="External"/><Relationship Id="rId53" Type="http://schemas.openxmlformats.org/officeDocument/2006/relationships/hyperlink" Target="https://eulearn.europa.eu/ils/data/program/volunteers_55298429.png" TargetMode="External"/><Relationship Id="rId74" Type="http://schemas.openxmlformats.org/officeDocument/2006/relationships/hyperlink" Target="https://eulearn.europa.eu/ilp/pages/description.jsf" TargetMode="External"/><Relationship Id="rId128" Type="http://schemas.openxmlformats.org/officeDocument/2006/relationships/hyperlink" Target="https://eulearn.europa.eu/ils/data/course/LEX_External_Action_and_the_EP_640x365_98314351.jpg" TargetMode="External"/><Relationship Id="rId149" Type="http://schemas.openxmlformats.org/officeDocument/2006/relationships/hyperlink" Target="https://eulearn.europa.eu/ilp/pages/description.jsf" TargetMode="External"/><Relationship Id="rId5" Type="http://schemas.openxmlformats.org/officeDocument/2006/relationships/hyperlink" Target="https://eulearn.europa.eu/ilp/pages/catalogsearch.jsf?catalogId=78316164" TargetMode="External"/><Relationship Id="rId95" Type="http://schemas.openxmlformats.org/officeDocument/2006/relationships/hyperlink" Target="https://eulearn.europa.eu/ils/data/course/EU_learn_JMA_Perspectives_650x365_63927169.jpg" TargetMode="External"/><Relationship Id="rId160" Type="http://schemas.openxmlformats.org/officeDocument/2006/relationships/hyperlink" Target="https://eulearn.europa.eu/ils/data/course/Clear_Language_Essentials___Graphic_100496148.png" TargetMode="External"/><Relationship Id="rId181" Type="http://schemas.openxmlformats.org/officeDocument/2006/relationships/hyperlink" Target="https://eulearn.europa.eu/ils/data/course/Emotional_intel_650x365_83105060.png" TargetMode="External"/><Relationship Id="rId22" Type="http://schemas.openxmlformats.org/officeDocument/2006/relationships/hyperlink" Target="https://eulearn.europa.eu/ilp/pages/description.jsf" TargetMode="External"/><Relationship Id="rId43" Type="http://schemas.openxmlformats.org/officeDocument/2006/relationships/hyperlink" Target="https://eulearn.europa.eu/ils/data/course/EU_learn_AdobePremiere_650x365_98757256.png" TargetMode="External"/><Relationship Id="rId64" Type="http://schemas.openxmlformats.org/officeDocument/2006/relationships/hyperlink" Target="https://eulearn.europa.eu/ilp/pages/description.jsf" TargetMode="External"/><Relationship Id="rId118" Type="http://schemas.openxmlformats.org/officeDocument/2006/relationships/hyperlink" Target="https://eulearn.europa.eu/ils/data/course/LEX_Rule_of_Law_as_a_Fundamental_Value_of_EU_640x365_55448756.jpg" TargetMode="External"/><Relationship Id="rId139" Type="http://schemas.openxmlformats.org/officeDocument/2006/relationships/hyperlink" Target="https://eulearn.europa.eu/ilp/pages/description.jsf" TargetMode="External"/><Relationship Id="rId85" Type="http://schemas.openxmlformats.org/officeDocument/2006/relationships/hyperlink" Target="https://eulearn.europa.eu/ils/data/course/20230316_EP_147095A_DEN_888__2__69792418.jpg" TargetMode="External"/><Relationship Id="rId150" Type="http://schemas.openxmlformats.org/officeDocument/2006/relationships/hyperlink" Target="https://eulearn.europa.eu/ils/data/course/EU_learn_Protocol_650x365_1_108448254.png" TargetMode="External"/><Relationship Id="rId171" Type="http://schemas.openxmlformats.org/officeDocument/2006/relationships/hyperlink" Target="https://eulearn.europa.eu/ilp/pages/catalogsearch.jsf?catalogId=0&amp;sidebarExpanded=true&amp;q=%7B!q.op%3DAND%7D%20%7B!q.op%3DAND%7D%20EMAS&amp;rows=8&amp;fq=%7B!tag%3DsubTreeIdsDirect%7D%20subTreeIdsDirect:(3%2F0%2F115172%2F34288813%2F34290065%2F)" TargetMode="External"/><Relationship Id="rId192" Type="http://schemas.openxmlformats.org/officeDocument/2006/relationships/hyperlink" Target="https://eulearn.europa.eu/ilp/pages/description.jsf" TargetMode="External"/><Relationship Id="rId12" Type="http://schemas.openxmlformats.org/officeDocument/2006/relationships/hyperlink" Target="https://eulearn.europa.eu/ilp/pages/description.jsf" TargetMode="External"/><Relationship Id="rId33" Type="http://schemas.openxmlformats.org/officeDocument/2006/relationships/hyperlink" Target="https://eulearn.europa.eu/ilp/pages/description.jsf" TargetMode="External"/><Relationship Id="rId108" Type="http://schemas.openxmlformats.org/officeDocument/2006/relationships/hyperlink" Target="https://eulearn.europa.eu/ils/data/course/LEX_Legislating_for_EU_essential_guide_640x365_36307277.jpg" TargetMode="External"/><Relationship Id="rId129" Type="http://schemas.openxmlformats.org/officeDocument/2006/relationships/hyperlink" Target="https://eulearn.europa.eu/ilp/pages/description.jsf" TargetMode="External"/><Relationship Id="rId54" Type="http://schemas.openxmlformats.org/officeDocument/2006/relationships/hyperlink" Target="https://eulearn.europa.eu/ils/data/course/20160226_EP_032394A_BBO_113__1__95576947.jpg" TargetMode="External"/><Relationship Id="rId75" Type="http://schemas.openxmlformats.org/officeDocument/2006/relationships/hyperlink" Target="https://eulearn.europa.eu/ils/data/course/prevent_harrassment_94640291.png" TargetMode="External"/><Relationship Id="rId96" Type="http://schemas.openxmlformats.org/officeDocument/2006/relationships/hyperlink" Target="https://eulearn.europa.eu/ils/data/course/Cultivating_sustainable_motivation_650x365_94628048.png" TargetMode="External"/><Relationship Id="rId140" Type="http://schemas.openxmlformats.org/officeDocument/2006/relationships/hyperlink" Target="https://eulearn.europa.eu/ils/data/course/hands_waving_flags_europeanunion_108641143.jpg" TargetMode="External"/><Relationship Id="rId161" Type="http://schemas.openxmlformats.org/officeDocument/2006/relationships/hyperlink" Target="https://eulearn.europa.eu/ilp/pages/description.jsf" TargetMode="External"/><Relationship Id="rId182" Type="http://schemas.openxmlformats.org/officeDocument/2006/relationships/hyperlink" Target="https://eulearn.europa.eu/ilp/pages/description.jsf" TargetMode="External"/><Relationship Id="rId6" Type="http://schemas.openxmlformats.org/officeDocument/2006/relationships/hyperlink" Target="https://eulearn.europa.eu/ilp/pages/description.jsf" TargetMode="External"/><Relationship Id="rId23" Type="http://schemas.openxmlformats.org/officeDocument/2006/relationships/hyperlink" Target="https://eulearn.europa.eu/ilp/pages/description.jsf" TargetMode="External"/><Relationship Id="rId119" Type="http://schemas.openxmlformats.org/officeDocument/2006/relationships/hyperlink" Target="https://eulearn.europa.eu/ilp/pages/description.jsf" TargetMode="External"/><Relationship Id="rId44" Type="http://schemas.openxmlformats.org/officeDocument/2006/relationships/hyperlink" Target="https://eulearn.europa.eu/ilp/pages/description.jsf" TargetMode="External"/><Relationship Id="rId65" Type="http://schemas.openxmlformats.org/officeDocument/2006/relationships/hyperlink" Target="https://eulearn.europa.eu/ils/data/course/2_mandatory_training_84058887.png" TargetMode="External"/><Relationship Id="rId86" Type="http://schemas.openxmlformats.org/officeDocument/2006/relationships/hyperlink" Target="https://eulearn.europa.eu/ils/data/program/Mockup_83972026.png" TargetMode="External"/><Relationship Id="rId130" Type="http://schemas.openxmlformats.org/officeDocument/2006/relationships/hyperlink" Target="https://eulearn.europa.eu/ils/data/course/LEX_Security_Defence_and_teh_EU_67847401.jpg" TargetMode="External"/><Relationship Id="rId151" Type="http://schemas.openxmlformats.org/officeDocument/2006/relationships/hyperlink" Target="https://eulearn.europa.eu/ilp/pages/description.jsf" TargetMode="External"/><Relationship Id="rId172" Type="http://schemas.openxmlformats.org/officeDocument/2006/relationships/hyperlink" Target="https://eulearn.europa.eu/ils/data/course/EU_learn_EMAS_training_650x365_107343653.png" TargetMode="External"/><Relationship Id="rId193" Type="http://schemas.openxmlformats.org/officeDocument/2006/relationships/hyperlink" Target="https://eulearn.europa.eu/ils/data/course/pexels_kindelmedia_7579354_108093519.jpg" TargetMode="External"/><Relationship Id="rId13" Type="http://schemas.openxmlformats.org/officeDocument/2006/relationships/hyperlink" Target="https://eulearn.europa.eu/ilp/pages/description.jsf" TargetMode="External"/><Relationship Id="rId109" Type="http://schemas.openxmlformats.org/officeDocument/2006/relationships/hyperlink" Target="https://eulearn.europa.eu/ilp/pages/description.jsf" TargetMode="External"/><Relationship Id="rId34" Type="http://schemas.openxmlformats.org/officeDocument/2006/relationships/hyperlink" Target="https://eulearn.europa.eu/ilp/pages/catalogsearch.jsf?catalogId=90374928&amp;sidebarExpanded=true&amp;q=%7B!q.op%3DAND%7D%20*:*&amp;rows=10&amp;fq=%7B!tag%3DsubTreeIdsDirect%7D%20subTreeIdsDirect:(2%2F0%2F115172%2F90374928%2F)" TargetMode="External"/><Relationship Id="rId55" Type="http://schemas.openxmlformats.org/officeDocument/2006/relationships/hyperlink" Target="https://eulearn.europa.eu/ils/data/program/logo_EP_Fin_Aca_gauche_1_93519722_98830233.png" TargetMode="External"/><Relationship Id="rId76" Type="http://schemas.openxmlformats.org/officeDocument/2006/relationships/hyperlink" Target="https://eulearn.europa.eu/ils/data/course/ep_talk_faces_main_template_EUL_90430580.png" TargetMode="External"/><Relationship Id="rId97" Type="http://schemas.openxmlformats.org/officeDocument/2006/relationships/hyperlink" Target="https://eulearn.europa.eu/ilp/pages/description.jsf" TargetMode="External"/><Relationship Id="rId120" Type="http://schemas.openxmlformats.org/officeDocument/2006/relationships/hyperlink" Target="https://eulearn.europa.eu/ils/data/course/sum_best_majors_for_law_school_78169739_81938651.gif" TargetMode="External"/><Relationship Id="rId141" Type="http://schemas.openxmlformats.org/officeDocument/2006/relationships/hyperlink" Target="https://eulearn.europa.eu/ilp/pages/description.jsf" TargetMode="External"/><Relationship Id="rId7" Type="http://schemas.openxmlformats.org/officeDocument/2006/relationships/hyperlink" Target="https://eulearn.europa.eu/ilp/pages/description.jsf" TargetMode="External"/><Relationship Id="rId71" Type="http://schemas.openxmlformats.org/officeDocument/2006/relationships/hyperlink" Target="https://eulearn.europa.eu/ils/data/course/Howtostayfitatyourdesk_ebrITWl0WdncWdCvGaUCzyZFBo_152682_thumb_84963447.jpg" TargetMode="External"/><Relationship Id="rId92" Type="http://schemas.openxmlformats.org/officeDocument/2006/relationships/hyperlink" Target="https://eulearn.europa.eu/ils/data/course/EU_learn_JMA_Begin_650x365_63636773.jpg" TargetMode="External"/><Relationship Id="rId162" Type="http://schemas.openxmlformats.org/officeDocument/2006/relationships/hyperlink" Target="https://eulearn.europa.eu/ils/data/course/Getting_the_most_out_of_feedback_93656167.png" TargetMode="External"/><Relationship Id="rId183" Type="http://schemas.openxmlformats.org/officeDocument/2006/relationships/hyperlink" Target="https://eulearn.europa.eu/ils/data/course/EU_learn_Participatory_Leadership_650x3652_82118316.png" TargetMode="External"/><Relationship Id="rId2" Type="http://schemas.openxmlformats.org/officeDocument/2006/relationships/hyperlink" Target="https://eulearn.europa.eu/ilp/pages/catalogsearch.jsf?catalogId=0&amp;sidebarExpanded=true&amp;q=%7B!q.op%3DAND%7D%20%7B!q.op%3DAND%7D%20How%20to%20Develop%20Professionally&amp;rows=4&amp;fq=%7B!tag%3DclassificationIds_41370794%7D%20classificationIds_41370794:(1%2F41370794%2F41374272%2F)" TargetMode="External"/><Relationship Id="rId29" Type="http://schemas.openxmlformats.org/officeDocument/2006/relationships/hyperlink" Target="https://eulearn.europa.eu/ilp/pages/description.jsf" TargetMode="External"/><Relationship Id="rId24" Type="http://schemas.openxmlformats.org/officeDocument/2006/relationships/hyperlink" Target="https://eulearn.europa.eu/ilp/pages/description.jsf" TargetMode="External"/><Relationship Id="rId40" Type="http://schemas.openxmlformats.org/officeDocument/2006/relationships/hyperlink" Target="https://eulearn.europa.eu/ils/data/course/Engage_PM_Certification_Exam_preparation_106909389.png" TargetMode="External"/><Relationship Id="rId45" Type="http://schemas.openxmlformats.org/officeDocument/2006/relationships/hyperlink" Target="https://eulearn.europa.eu/ils/data/course/digital_basics_96084258.png" TargetMode="External"/><Relationship Id="rId66" Type="http://schemas.openxmlformats.org/officeDocument/2006/relationships/hyperlink" Target="https://epintranet.in.ep.europa.eu/files/live/sites/epintranet/files/learning/learn-mep/index.html" TargetMode="External"/><Relationship Id="rId87" Type="http://schemas.openxmlformats.org/officeDocument/2006/relationships/hyperlink" Target="https://eulearn.europa.eu/ils/data/course/EU_learn_multigen_650x365_96312006.jpg" TargetMode="External"/><Relationship Id="rId110" Type="http://schemas.openxmlformats.org/officeDocument/2006/relationships/hyperlink" Target="https://eulearn.europa.eu/ils/data/course/EU_learn_Ordinary_Legislative_Procedure_650x365_106328879.png" TargetMode="External"/><Relationship Id="rId115" Type="http://schemas.openxmlformats.org/officeDocument/2006/relationships/hyperlink" Target="https://eulearn.europa.eu/ilp/pages/description.jsf" TargetMode="External"/><Relationship Id="rId131" Type="http://schemas.openxmlformats.org/officeDocument/2006/relationships/hyperlink" Target="https://eulearn.europa.eu/ilp/pages/description.jsf" TargetMode="External"/><Relationship Id="rId136" Type="http://schemas.openxmlformats.org/officeDocument/2006/relationships/hyperlink" Target="https://eulearn.europa.eu/ils/data/course/Cybersecurity_105644876.jpg" TargetMode="External"/><Relationship Id="rId157" Type="http://schemas.openxmlformats.org/officeDocument/2006/relationships/hyperlink" Target="https://eulearn.europa.eu/ilp/pages/description.jsf" TargetMode="External"/><Relationship Id="rId178" Type="http://schemas.openxmlformats.org/officeDocument/2006/relationships/hyperlink" Target="https://eulearn.europa.eu/ilp/pages/description.jsf" TargetMode="External"/><Relationship Id="rId61" Type="http://schemas.openxmlformats.org/officeDocument/2006/relationships/hyperlink" Target="https://eulearn.europa.eu/ils/data/course/EU_learn_JMA_Begin_650x365_63636773.jpg" TargetMode="External"/><Relationship Id="rId82" Type="http://schemas.openxmlformats.org/officeDocument/2006/relationships/hyperlink" Target="https://eulearn.europa.eu/ilp/pages/catalogsearch.jsf?catalogId=34286508" TargetMode="External"/><Relationship Id="rId152" Type="http://schemas.openxmlformats.org/officeDocument/2006/relationships/hyperlink" Target="https://eulearn.europa.eu/ils/data/course/EU_learn_Tough_talks_650x365_98569406.png" TargetMode="External"/><Relationship Id="rId173" Type="http://schemas.openxmlformats.org/officeDocument/2006/relationships/hyperlink" Target="https://eulearn.europa.eu/ilp/pages/description.jsf" TargetMode="External"/><Relationship Id="rId194" Type="http://schemas.openxmlformats.org/officeDocument/2006/relationships/vmlDrawing" Target="../drawings/vmlDrawing2.vml"/><Relationship Id="rId19" Type="http://schemas.openxmlformats.org/officeDocument/2006/relationships/hyperlink" Target="https://eulearn.europa.eu/ilp/pages/description.jsf" TargetMode="External"/><Relationship Id="rId14" Type="http://schemas.openxmlformats.org/officeDocument/2006/relationships/hyperlink" Target="https://eulearn.europa.eu/ilp/pages/catalogsearch.jsf?catalogId=0&amp;sidebarExpanded=true&amp;q=%7B!q.op%3DAND%7D%20*:*&amp;rows=10&amp;fq=%7B!tag%3DsubTreeIdsDirect%7D%20subTreeIdsDirect:(3%2F0%2F115172%2F34290092%2F100536060%2F)" TargetMode="External"/><Relationship Id="rId30" Type="http://schemas.openxmlformats.org/officeDocument/2006/relationships/hyperlink" Target="https://eulearn.europa.eu/ilp/pages/catalogsearch.jsf?catalogId=115172&amp;fq%2B=subTreeIds:%221%2F0%2F115172%2F%22&amp;fq=%7B!tag%3DsubTreeIds%7D%20subTreeIds:(2%2F0%2F115172%2F34288577%2F)&amp;fq=%7B!tag%3DsubTreeIdsDirect%7D%20subTreeIdsDirect:(2%2F0%2F115172%2F34288717%2F)&amp;sidebarExpanded=true&amp;q=*:*&amp;rows=10" TargetMode="External"/><Relationship Id="rId35" Type="http://schemas.openxmlformats.org/officeDocument/2006/relationships/hyperlink" Target="https://eulearn.europa.eu/ilp/pages/description.jsf" TargetMode="External"/><Relationship Id="rId56" Type="http://schemas.openxmlformats.org/officeDocument/2006/relationships/hyperlink" Target="https://eulearn.europa.eu/ilp/pages/catalogsearch.jsf?catalogId=74789980&amp;sidebarExpanded=true&amp;q=*:*&amp;rows=4" TargetMode="External"/><Relationship Id="rId77" Type="http://schemas.openxmlformats.org/officeDocument/2006/relationships/hyperlink" Target="https://eulearn.europa.eu/ils/data/program/AI_collection_of_courses__91624375__92666607.png" TargetMode="External"/><Relationship Id="rId100" Type="http://schemas.openxmlformats.org/officeDocument/2006/relationships/hyperlink" Target="https://eulearn.europa.eu/ils/data/course/EP_Powers_and_EU_Policies_90705421.png" TargetMode="External"/><Relationship Id="rId105" Type="http://schemas.openxmlformats.org/officeDocument/2006/relationships/hyperlink" Target="https://eulearn.europa.eu/ilp/pages/description.jsf" TargetMode="External"/><Relationship Id="rId126" Type="http://schemas.openxmlformats.org/officeDocument/2006/relationships/hyperlink" Target="https://eulearn.europa.eu/ils/data/course/LEX__Enviornmental_Law_Green_Deal__68408323.jpg" TargetMode="External"/><Relationship Id="rId147" Type="http://schemas.openxmlformats.org/officeDocument/2006/relationships/hyperlink" Target="https://eulearn.europa.eu/ilp/pages/description.jsf" TargetMode="External"/><Relationship Id="rId168" Type="http://schemas.openxmlformats.org/officeDocument/2006/relationships/hyperlink" Target="https://eulearn.europa.eu/ils/data/course/eMISS_Mission_rules_and_MISS_application_104595295.png" TargetMode="External"/><Relationship Id="rId8" Type="http://schemas.openxmlformats.org/officeDocument/2006/relationships/hyperlink" Target="https://eulearn.europa.eu/ilp/pages/catalogsearch.jsf?catalogId=115172&amp;fq%2B=subTreeIds:%221%2F0%2F115172%2F%22&amp;fq=%7B!tag%3DsubTreeIds%7D%20subTreeIds:(2%2F0%2F115172%2F34288577%2F)&amp;fq=%7B!tag%3DsubTreeIdsDirect%7D%20subTreeIdsDirect:(3%2F0%2F115172%2F34286060%2F80327107%2F)&amp;sidebarExpanded=true&amp;q=%7B!q.op%3DAND%7D%20*:*&amp;rows=10" TargetMode="External"/><Relationship Id="rId51" Type="http://schemas.openxmlformats.org/officeDocument/2006/relationships/hyperlink" Target="https://eulearn.europa.eu/ils/data/course/WORK_Let_s_talk_ethics_640x365_37106235_106692516.jpg" TargetMode="External"/><Relationship Id="rId72" Type="http://schemas.openxmlformats.org/officeDocument/2006/relationships/hyperlink" Target="https://eulearn.europa.eu/ils/data/course/Mental_health_First_Aid_95955956.png" TargetMode="External"/><Relationship Id="rId93" Type="http://schemas.openxmlformats.org/officeDocument/2006/relationships/hyperlink" Target="https://eulearn.europa.eu/ils/data/course/EU_learn_JMA_Perspectives_650x365_63927169.jpg" TargetMode="External"/><Relationship Id="rId98" Type="http://schemas.openxmlformats.org/officeDocument/2006/relationships/hyperlink" Target="https://eulearn.europa.eu/ilp/pages/description.jsf" TargetMode="External"/><Relationship Id="rId121" Type="http://schemas.openxmlformats.org/officeDocument/2006/relationships/hyperlink" Target="https://eulearn.europa.eu/ilp/pages/description.jsf" TargetMode="External"/><Relationship Id="rId142" Type="http://schemas.openxmlformats.org/officeDocument/2006/relationships/hyperlink" Target="https://eulearn.europa.eu/ils/data/course/EU_learn_Develop_personal_brand_650x365_110232425.png" TargetMode="External"/><Relationship Id="rId163" Type="http://schemas.openxmlformats.org/officeDocument/2006/relationships/hyperlink" Target="https://eulearn.europa.eu/ilp/pages/description.jsf" TargetMode="External"/><Relationship Id="rId184" Type="http://schemas.openxmlformats.org/officeDocument/2006/relationships/hyperlink" Target="https://eulearn.europa.eu/ilp/pages/description.jsf" TargetMode="External"/><Relationship Id="rId189" Type="http://schemas.openxmlformats.org/officeDocument/2006/relationships/hyperlink" Target="https://eulearn.europa.eu/ils/data/course/EU_learn_MMF_course_650x365_109467574.png" TargetMode="External"/><Relationship Id="rId3" Type="http://schemas.openxmlformats.org/officeDocument/2006/relationships/hyperlink" Target="https://eulearn.europa.eu/ilp/pages/description.jsf" TargetMode="External"/><Relationship Id="rId25" Type="http://schemas.openxmlformats.org/officeDocument/2006/relationships/hyperlink" Target="https://eulearn.europa.eu/ilp/pages/description.jsf" TargetMode="External"/><Relationship Id="rId46" Type="http://schemas.openxmlformats.org/officeDocument/2006/relationships/hyperlink" Target="https://eulearn.europa.eu/ils/data/course/EU_learn_Staff_Regulations_650x365_02.04.2025_107750574.png" TargetMode="External"/><Relationship Id="rId67" Type="http://schemas.openxmlformats.org/officeDocument/2006/relationships/hyperlink" Target="https://eulearn.europa.eu/ils/data/tutorial/EU_learn_Learn_MEP_650x365_101850138.png" TargetMode="External"/><Relationship Id="rId116" Type="http://schemas.openxmlformats.org/officeDocument/2006/relationships/hyperlink" Target="https://eulearn.europa.eu/ils/data/course/LEX_EU_Law_for_Non_Lawyers_An_Introduction_to_the_EUs_sources_of_law_640x365_36332398_77551242.jpg" TargetMode="External"/><Relationship Id="rId137" Type="http://schemas.openxmlformats.org/officeDocument/2006/relationships/hyperlink" Target="https://eulearn.europa.eu/ilp/pages/description.jsf" TargetMode="External"/><Relationship Id="rId158" Type="http://schemas.openxmlformats.org/officeDocument/2006/relationships/hyperlink" Target="https://eulearn.europa.eu/ils/data/client_design/european_parliament/global/images/course_template_description_image_default.png" TargetMode="External"/><Relationship Id="rId20" Type="http://schemas.openxmlformats.org/officeDocument/2006/relationships/hyperlink" Target="https://eulearn.europa.eu/ilp/pages/catalogsearch.jsf?catalogId=115172&amp;fq%2B=subTreeIds:%221%2F0%2F115172%2F%22&amp;fq=%7B!tag%3DsubTreeIds%7D%20subTreeIds:(2%2F0%2F115172%2F34288577%2F)&amp;fq=%7B!tag%3DsubTreeIdsDirect%7D%20subTreeIdsDirect:(3%2F0%2F115172%2F34288781%2F34288788%2F)&amp;sidebarExpanded=true&amp;q=%7B!q.op%3DAND%7D%20*:*&amp;rows=9" TargetMode="External"/><Relationship Id="rId41" Type="http://schemas.openxmlformats.org/officeDocument/2006/relationships/hyperlink" Target="https://eulearn.europa.eu/ils/data/course/B2S_Training_logo_99210747.png" TargetMode="External"/><Relationship Id="rId62" Type="http://schemas.openxmlformats.org/officeDocument/2006/relationships/hyperlink" Target="https://eulearn.europa.eu/ils/data/course/EU_learn_JMA_Exploration_650x365_63881592.jpg" TargetMode="External"/><Relationship Id="rId83" Type="http://schemas.openxmlformats.org/officeDocument/2006/relationships/hyperlink" Target="https://eulearn.europa.eu/ilp/pages/catalogsearch.jsf?catalogId=34288649" TargetMode="External"/><Relationship Id="rId88" Type="http://schemas.openxmlformats.org/officeDocument/2006/relationships/hyperlink" Target="https://eulearn.europa.eu/ils/data/course/How_to_plan_and_lead_a_productive_meeting_650x365_98688928.png" TargetMode="External"/><Relationship Id="rId111" Type="http://schemas.openxmlformats.org/officeDocument/2006/relationships/hyperlink" Target="https://eulearn.europa.eu/ilp/pages/description.jsf" TargetMode="External"/><Relationship Id="rId132" Type="http://schemas.openxmlformats.org/officeDocument/2006/relationships/hyperlink" Target="https://eulearn.europa.eu/ils/data/course/LEX_EU_Law_and_Policy_in_the_Area_of_Asylum_640x365_57326496.jpg" TargetMode="External"/><Relationship Id="rId153" Type="http://schemas.openxmlformats.org/officeDocument/2006/relationships/hyperlink" Target="https://eulearn.europa.eu/ilp/pages/description.jsf" TargetMode="External"/><Relationship Id="rId174" Type="http://schemas.openxmlformats.org/officeDocument/2006/relationships/hyperlink" Target="https://eulearn.europa.eu/ilp/pages/description.jsf" TargetMode="External"/><Relationship Id="rId179" Type="http://schemas.openxmlformats.org/officeDocument/2006/relationships/hyperlink" Target="https://eulearn.europa.eu/ils/data/program/logo_EP_Fin_Aca_gauche_1_93519722_98830233.png" TargetMode="External"/><Relationship Id="rId195" Type="http://schemas.openxmlformats.org/officeDocument/2006/relationships/comments" Target="../comments2.xml"/><Relationship Id="rId190" Type="http://schemas.openxmlformats.org/officeDocument/2006/relationships/hyperlink" Target="https://eulearn.europa.eu/ilp/pages/description.jsf" TargetMode="External"/><Relationship Id="rId15" Type="http://schemas.openxmlformats.org/officeDocument/2006/relationships/hyperlink" Target="https://eulearn.europa.eu/ilp/pages/catalogsearch.jsf?catalogId=0&amp;sidebarExpanded=true&amp;q=%7B!q.op%3DAND%7D%20*:*&amp;rows=2&amp;fq=%7B!tag%3DsubTreeIdsDirect%7D%20subTreeIdsDirect:(3%2F0%2F115172%2F34290092%2F100535939%2F)" TargetMode="External"/><Relationship Id="rId36" Type="http://schemas.openxmlformats.org/officeDocument/2006/relationships/hyperlink" Target="https://eulearn.europa.eu/ilp/pages/description.jsf" TargetMode="External"/><Relationship Id="rId57" Type="http://schemas.openxmlformats.org/officeDocument/2006/relationships/hyperlink" Target="https://eulearn.europa.eu/ils/data/course/White_Logo_with_Tagline_72404144_75091855.jpg" TargetMode="External"/><Relationship Id="rId106" Type="http://schemas.openxmlformats.org/officeDocument/2006/relationships/hyperlink" Target="https://eulearn.europa.eu/ils/data/course/10_things_you_need_to_know_74573671.png" TargetMode="External"/><Relationship Id="rId127" Type="http://schemas.openxmlformats.org/officeDocument/2006/relationships/hyperlink" Target="https://eulearn.europa.eu/ilp/pages/description.jsf" TargetMode="External"/><Relationship Id="rId10" Type="http://schemas.openxmlformats.org/officeDocument/2006/relationships/hyperlink" Target="https://eulearn.europa.eu/ilp/pages/catalogsearch.jsf?catalogId=115172&amp;fq%2B=subTreeIds:%221%2F0%2F115172%2F%22&amp;fq=%7B!tag%3DsubTreeIds%7D%20subTreeIds:(2%2F0%2F115172%2F34288577%2F)&amp;fq=%7B!tag%3DsubTreeIdsDirect%7D%20subTreeIdsDirect:(3%2F0%2F115172%2F34286060%2F36000577%2F)&amp;sidebarExpanded=true&amp;q=%7B!q.op%3DAND%7D%20*:*&amp;rows=3" TargetMode="External"/><Relationship Id="rId31" Type="http://schemas.openxmlformats.org/officeDocument/2006/relationships/hyperlink" Target="https://eulearn.europa.eu/ilp/pages/description.jsf" TargetMode="External"/><Relationship Id="rId52" Type="http://schemas.openxmlformats.org/officeDocument/2006/relationships/hyperlink" Target="https://eulearn.europa.eu/ils/data/course/EU_learn_EP_role_play_650x365_91503920.png" TargetMode="External"/><Relationship Id="rId73" Type="http://schemas.openxmlformats.org/officeDocument/2006/relationships/hyperlink" Target="https://eulearn.europa.eu/ils/data/course/Resilience_at_Work_thumb_650x365_88056299.png" TargetMode="External"/><Relationship Id="rId78" Type="http://schemas.openxmlformats.org/officeDocument/2006/relationships/hyperlink" Target="https://eulearn.europa.eu/ils/data/ckeditor_uploads/ep_talk_blue_face_rewind_main_template_90339278.png" TargetMode="External"/><Relationship Id="rId94" Type="http://schemas.openxmlformats.org/officeDocument/2006/relationships/hyperlink" Target="https://eulearn.europa.eu/ils/data/course/EU_learn_JMA_Perspectives_650x365_63927169.jpg" TargetMode="External"/><Relationship Id="rId99" Type="http://schemas.openxmlformats.org/officeDocument/2006/relationships/hyperlink" Target="https://eulearn.europa.eu/ilp/pages/description.jsf" TargetMode="External"/><Relationship Id="rId101" Type="http://schemas.openxmlformats.org/officeDocument/2006/relationships/hyperlink" Target="https://eulearn.europa.eu/ilp/pages/description.jsf" TargetMode="External"/><Relationship Id="rId122" Type="http://schemas.openxmlformats.org/officeDocument/2006/relationships/hyperlink" Target="https://eulearn.europa.eu/ils/data/course/EU_Food_Law_106470112.jpg" TargetMode="External"/><Relationship Id="rId143" Type="http://schemas.openxmlformats.org/officeDocument/2006/relationships/hyperlink" Target="https://eulearn.europa.eu/ilp/pages/description.jsf" TargetMode="External"/><Relationship Id="rId148" Type="http://schemas.openxmlformats.org/officeDocument/2006/relationships/hyperlink" Target="https://eulearn.europa.eu/ils/data/course/public_speaking_reading_a_speech_98839391.png" TargetMode="External"/><Relationship Id="rId164" Type="http://schemas.openxmlformats.org/officeDocument/2006/relationships/hyperlink" Target="https://eulearn.europa.eu/ils/data/course/EU_learn_brainstorming_techniques_650x365_107223191.png" TargetMode="External"/><Relationship Id="rId169" Type="http://schemas.openxmlformats.org/officeDocument/2006/relationships/hyperlink" Target="https://eulearn.europa.eu/ilp/pages/description.jsf" TargetMode="External"/><Relationship Id="rId185" Type="http://schemas.openxmlformats.org/officeDocument/2006/relationships/hyperlink" Target="https://eulearn.europa.eu/ils/data/course/EU_learn_thumb_Diversity_inclusion_650x365_88132879.png" TargetMode="External"/><Relationship Id="rId4" Type="http://schemas.openxmlformats.org/officeDocument/2006/relationships/hyperlink" Target="https://eulearn.europa.eu/ilp/pages/catalogsearch.jsf?catalogId=34288614&amp;sidebarExpanded=true&amp;q=*:*&amp;rows=7" TargetMode="External"/><Relationship Id="rId9" Type="http://schemas.openxmlformats.org/officeDocument/2006/relationships/hyperlink" Target="https://eulearn.europa.eu/ilp/pages/description.jsf" TargetMode="External"/><Relationship Id="rId180" Type="http://schemas.openxmlformats.org/officeDocument/2006/relationships/hyperlink" Target="https://eulearn.europa.eu/ilp/pages/description.jsf" TargetMode="External"/><Relationship Id="rId26" Type="http://schemas.openxmlformats.org/officeDocument/2006/relationships/hyperlink" Target="https://eulearn.europa.eu/ilp/pages/description.jsf" TargetMode="External"/><Relationship Id="rId47" Type="http://schemas.openxmlformats.org/officeDocument/2006/relationships/hyperlink" Target="https://eulearn.europa.eu/ilp/pages/catalogsearch.jsf?catalogId=115172&amp;fq%2B=subTreeIds:%221%2F0%2F115172%2F%22&amp;fq=%7B!tag%3DsubTreeIds%7D%20subTreeIds:(2%2F0%2F115172%2F34288577%2F)&amp;fq=%7B!tag%3DsubTreeIdsDirect%7D%20subTreeIdsDirect:(3%2F0%2F115172%2F34288813%2F34290065%2F)&amp;fq=%7B!tag%3DlocationIds%7D%20locationIds:(0%2F115631%2F)&amp;sidebarExpanded=true&amp;q=%7B!q.op%3DAND%7D%20all%20clear&amp;rows=2" TargetMode="External"/><Relationship Id="rId68" Type="http://schemas.openxmlformats.org/officeDocument/2006/relationships/hyperlink" Target="https://eulearn.europa.eu/ils/data/course/ep_induction_programme_650x365__002__100092045.png" TargetMode="External"/><Relationship Id="rId89" Type="http://schemas.openxmlformats.org/officeDocument/2006/relationships/hyperlink" Target="https://eulearn.europa.eu/ils/data/program/logo_EP_Fin_Aca_gauche_1_93519722_98830233.png" TargetMode="External"/><Relationship Id="rId112" Type="http://schemas.openxmlformats.org/officeDocument/2006/relationships/hyperlink" Target="https://eulearn.europa.eu/ils/data/course/LEX_Drafting_legislation_640x365_39178194_78410575.jpg" TargetMode="External"/><Relationship Id="rId133" Type="http://schemas.openxmlformats.org/officeDocument/2006/relationships/hyperlink" Target="https://eulearn.europa.eu/ilp/pages/description.jsf" TargetMode="External"/><Relationship Id="rId154" Type="http://schemas.openxmlformats.org/officeDocument/2006/relationships/hyperlink" Target="https://eulearn.europa.eu/ils/data/course/brand_guidelines_93851484.png" TargetMode="External"/><Relationship Id="rId175" Type="http://schemas.openxmlformats.org/officeDocument/2006/relationships/hyperlink" Target="https://eulearn.europa.eu/ils/data/course/PowerVisuals_thumb_650x3652_89137204.png" TargetMode="External"/><Relationship Id="rId196" Type="http://schemas.microsoft.com/office/2017/10/relationships/threadedComment" Target="../threadedComments/threadedComment2.xml"/><Relationship Id="rId16" Type="http://schemas.openxmlformats.org/officeDocument/2006/relationships/hyperlink" Target="https://eulearn.europa.eu/ilp/pages/description.jsf" TargetMode="External"/><Relationship Id="rId37" Type="http://schemas.openxmlformats.org/officeDocument/2006/relationships/hyperlink" Target="https://eulearn.europa.eu/ilp/pages/description.jsf" TargetMode="External"/><Relationship Id="rId58" Type="http://schemas.openxmlformats.org/officeDocument/2006/relationships/hyperlink" Target="https://eulearn.europa.eu/ils/data/course/EU_learn_JMA_Our_House_650x365_63881929.jpg" TargetMode="External"/><Relationship Id="rId79" Type="http://schemas.openxmlformats.org/officeDocument/2006/relationships/hyperlink" Target="https://eulearn.europa.eu/ilp/pages/catalogsearch.jsf?catalogId=0&amp;sidebarExpanded=true&amp;q=%7B!q.op%3DAND%7D%20document%20management&amp;rows=10&amp;fq=%7B!tag%3DsubTreeIdsDirect%7D%20subTreeIdsDirect:(3%2F0%2F115172%2F34288813%2F34290081%2F)" TargetMode="External"/><Relationship Id="rId102" Type="http://schemas.openxmlformats.org/officeDocument/2006/relationships/hyperlink" Target="https://eulearn.europa.eu/ils/data/course/LEX_Rules_of_Procedure_and_Beyond_640x365_57244569.jpg" TargetMode="External"/><Relationship Id="rId123" Type="http://schemas.openxmlformats.org/officeDocument/2006/relationships/hyperlink" Target="https://eulearn.europa.eu/ilp/pages/description.jsf" TargetMode="External"/><Relationship Id="rId144" Type="http://schemas.openxmlformats.org/officeDocument/2006/relationships/hyperlink" Target="https://eulearn.europa.eu/ils/data/course/public_speaker_98919503.png" TargetMode="External"/><Relationship Id="rId90" Type="http://schemas.openxmlformats.org/officeDocument/2006/relationships/hyperlink" Target="https://eulearn.europa.eu/ils/data/course/EU_learn_Data_Management_650x365_102342831.png" TargetMode="External"/><Relationship Id="rId165" Type="http://schemas.openxmlformats.org/officeDocument/2006/relationships/hyperlink" Target="https://eulearn.europa.eu/ilp/pages/description.jsf" TargetMode="External"/><Relationship Id="rId186" Type="http://schemas.openxmlformats.org/officeDocument/2006/relationships/hyperlink" Target="https://eulearn.europa.eu/ils/data/program/EU_learn_Digigtal_Accessibility_learning_path_650x365_111111558.png" TargetMode="External"/><Relationship Id="rId27" Type="http://schemas.openxmlformats.org/officeDocument/2006/relationships/hyperlink" Target="https://eulearn.europa.eu/ilp/pages/description.jsf" TargetMode="External"/><Relationship Id="rId48" Type="http://schemas.openxmlformats.org/officeDocument/2006/relationships/hyperlink" Target="https://eulearn.europa.eu/ils/data/course/banner_euci_98752600.png" TargetMode="External"/><Relationship Id="rId69" Type="http://schemas.openxmlformats.org/officeDocument/2006/relationships/hyperlink" Target="https://eulearn.europa.eu/ils/data/program/LP_Newcommer_ilustration_78416183.PNG" TargetMode="External"/><Relationship Id="rId113" Type="http://schemas.openxmlformats.org/officeDocument/2006/relationships/hyperlink" Target="https://eulearn.europa.eu/ilp/pages/description.jsf" TargetMode="External"/><Relationship Id="rId134" Type="http://schemas.openxmlformats.org/officeDocument/2006/relationships/hyperlink" Target="https://eulearn.europa.eu/ils/data/course/Capture_93494217.PNG" TargetMode="External"/><Relationship Id="rId80" Type="http://schemas.openxmlformats.org/officeDocument/2006/relationships/hyperlink" Target="https://eulearn.europa.eu/ils/data/course/IT_GEDA_online_course_650x365_36422001.jpg" TargetMode="External"/><Relationship Id="rId155" Type="http://schemas.openxmlformats.org/officeDocument/2006/relationships/hyperlink" Target="https://eulearn.europa.eu/ilp/pages/description.jsf" TargetMode="External"/><Relationship Id="rId176" Type="http://schemas.openxmlformats.org/officeDocument/2006/relationships/hyperlink" Target="https://eulearn.europa.eu/ilp/pages/description.jsf" TargetMode="External"/><Relationship Id="rId197" Type="http://schemas.microsoft.com/office/2019/04/relationships/documenttask" Target="../documenttasks/documenttask2.xml"/><Relationship Id="rId17" Type="http://schemas.openxmlformats.org/officeDocument/2006/relationships/hyperlink" Target="https://eulearn.europa.eu/ilp/pages/description.jsf" TargetMode="External"/><Relationship Id="rId38" Type="http://schemas.openxmlformats.org/officeDocument/2006/relationships/hyperlink" Target="https://eulearn.europa.eu/ils/data/course/EU_Learn_How_to_prepare_for_internal_interview_108299500.png" TargetMode="External"/><Relationship Id="rId59" Type="http://schemas.openxmlformats.org/officeDocument/2006/relationships/hyperlink" Target="https://eulearn.europa.eu/ils/data/course/EU_learn_JMA_Your_Story_650x365_63927431.jpg" TargetMode="External"/><Relationship Id="rId103" Type="http://schemas.openxmlformats.org/officeDocument/2006/relationships/hyperlink" Target="https://eulearn.europa.eu/ilp/pages/description.jsf" TargetMode="External"/><Relationship Id="rId124" Type="http://schemas.openxmlformats.org/officeDocument/2006/relationships/hyperlink" Target="https://eulearn.europa.eu/ils/data/course/LEX_EU_Public_Health_106281916.jpg" TargetMode="External"/><Relationship Id="rId70" Type="http://schemas.openxmlformats.org/officeDocument/2006/relationships/hyperlink" Target="https://eulearn.europa.eu/ils/data/course/EU_learn_Representation_650x365_87390653.png" TargetMode="External"/><Relationship Id="rId91" Type="http://schemas.openxmlformats.org/officeDocument/2006/relationships/hyperlink" Target="https://eulearn.europa.eu/ils/data/program/logo_EP_Fin_Aca_gauche_1_93519722_98830233.png" TargetMode="External"/><Relationship Id="rId145" Type="http://schemas.openxmlformats.org/officeDocument/2006/relationships/hyperlink" Target="https://eulearn.europa.eu/ilp/pages/description.jsf" TargetMode="External"/><Relationship Id="rId166" Type="http://schemas.openxmlformats.org/officeDocument/2006/relationships/hyperlink" Target="https://eulearn.europa.eu/ils/data/course/Train_the_Trainer_postits_94737584.jpg" TargetMode="External"/><Relationship Id="rId187" Type="http://schemas.openxmlformats.org/officeDocument/2006/relationships/hyperlink" Target="https://eulearn.europa.eu/ilp/pages/description.jsf" TargetMode="External"/><Relationship Id="rId1" Type="http://schemas.openxmlformats.org/officeDocument/2006/relationships/hyperlink" Target="https://eulearn.europa.eu/ilp/pages/description.jsf" TargetMode="External"/><Relationship Id="rId28" Type="http://schemas.openxmlformats.org/officeDocument/2006/relationships/hyperlink" Target="https://eulearn.europa.eu/ilp/pages/description.jsf" TargetMode="External"/><Relationship Id="rId49" Type="http://schemas.openxmlformats.org/officeDocument/2006/relationships/hyperlink" Target="https://eulearn.europa.eu/ilp/pages/description.jsf" TargetMode="External"/><Relationship Id="rId114" Type="http://schemas.openxmlformats.org/officeDocument/2006/relationships/hyperlink" Target="https://eulearn.europa.eu/ils/data/course/EU_Delegated_and_Implementing_Acts_at_a_glance_90707046.png" TargetMode="External"/><Relationship Id="rId60" Type="http://schemas.openxmlformats.org/officeDocument/2006/relationships/hyperlink" Target="https://eulearn.europa.eu/ils/data/course/EU_learn_JMA_Amplitude_650x365_63522297.jpg" TargetMode="External"/><Relationship Id="rId81" Type="http://schemas.openxmlformats.org/officeDocument/2006/relationships/hyperlink" Target="https://eulearn.europa.eu/ilp/pages/catalogsearch.jsf?catalogId=34288636" TargetMode="External"/><Relationship Id="rId135" Type="http://schemas.openxmlformats.org/officeDocument/2006/relationships/hyperlink" Target="https://eulearn.europa.eu/ilp/pages/description.jsf" TargetMode="External"/><Relationship Id="rId156" Type="http://schemas.openxmlformats.org/officeDocument/2006/relationships/hyperlink" Target="https://eulearn.europa.eu/ils/data/course/Online_workshop_facilitation_tools__flow__and_best_practices_95959586.png" TargetMode="External"/><Relationship Id="rId177" Type="http://schemas.openxmlformats.org/officeDocument/2006/relationships/hyperlink" Target="https://eulearn.europa.eu/ils/data/program/logo_EP_Fin_Aca_gauche_1_93519722_98830233.png" TargetMode="External"/><Relationship Id="rId18" Type="http://schemas.openxmlformats.org/officeDocument/2006/relationships/hyperlink" Target="https://eulearn.europa.eu/ilp/pages/catalogsearch.jsf?catalogId=0&amp;sidebarExpanded=true&amp;q=%7B!q.op%3DAND%7D%20evacuation%20volunteers&amp;rows=3" TargetMode="External"/><Relationship Id="rId39" Type="http://schemas.openxmlformats.org/officeDocument/2006/relationships/hyperlink" Target="https://eulearn.europa.eu/ils/data/course/Kick_start_competition_prep_Image_81343338_98509988.png" TargetMode="External"/><Relationship Id="rId50" Type="http://schemas.openxmlformats.org/officeDocument/2006/relationships/hyperlink" Target="https://eulearn.europa.eu/ilp/pages/catalogsearch.jsf?catalogId=0&amp;sidebarExpanded=true&amp;q=%7B!q.op%3DAND%7D%20*:*&amp;rows=10&amp;fq=%7B!tag%3DsubTreeIdsDirect%7D%20subTreeIdsDirect:(3%2F0%2F115172%2F34290092%2F100536060%2F)" TargetMode="External"/><Relationship Id="rId104" Type="http://schemas.openxmlformats.org/officeDocument/2006/relationships/hyperlink" Target="https://eulearn.europa.eu/ils/data/course/EU_learn_Powers_of_Scrutiny_650x365_97642434.png" TargetMode="External"/><Relationship Id="rId125" Type="http://schemas.openxmlformats.org/officeDocument/2006/relationships/hyperlink" Target="https://eulearn.europa.eu/ilp/pages/description.jsf" TargetMode="External"/><Relationship Id="rId146" Type="http://schemas.openxmlformats.org/officeDocument/2006/relationships/hyperlink" Target="https://eulearn.europa.eu/ils/data/course/My_presentation_skills_in_virtual_settings_640x365_51342528_78702904_94765412.jpg" TargetMode="External"/><Relationship Id="rId167" Type="http://schemas.openxmlformats.org/officeDocument/2006/relationships/hyperlink" Target="https://eulearn.europa.eu/ilp/pages/catalogsearch.jsf?catalogId=0&amp;sidebarExpanded=true&amp;q=%7B!q.op%3DAND%7D%20mission&amp;rows=2&amp;fq=%7B!tag%3DsubTreeIdsDirect%7D%20subTreeIdsDirect:(3%2F0%2F115172%2F34288813%2F34290081%2F)" TargetMode="External"/><Relationship Id="rId188" Type="http://schemas.openxmlformats.org/officeDocument/2006/relationships/hyperlink" Target="https://eulearn.europa.eu/ilp/pages/description.jsf"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753B-7106-462F-8067-7550056FE118}">
  <dimension ref="A1:M534"/>
  <sheetViews>
    <sheetView topLeftCell="D1" zoomScale="70" zoomScaleNormal="70" workbookViewId="0">
      <selection activeCell="J5" sqref="J5"/>
    </sheetView>
  </sheetViews>
  <sheetFormatPr defaultRowHeight="15" customHeight="1"/>
  <cols>
    <col min="1" max="1" width="24.5703125" customWidth="1"/>
    <col min="2" max="4" width="49.140625" customWidth="1"/>
    <col min="5" max="5" width="42.5703125" customWidth="1"/>
    <col min="6" max="6" width="21.42578125" customWidth="1"/>
    <col min="7" max="7" width="12.5703125" customWidth="1"/>
    <col min="8" max="8" width="12.7109375" customWidth="1"/>
    <col min="9" max="9" width="22.42578125" customWidth="1"/>
    <col min="10" max="10" width="22.85546875" customWidth="1"/>
    <col min="11" max="11" width="22.42578125" customWidth="1"/>
    <col min="12" max="12" width="20.7109375" customWidth="1"/>
  </cols>
  <sheetData>
    <row r="1" spans="1:13" ht="15" customHeight="1">
      <c r="A1" t="s">
        <v>0</v>
      </c>
      <c r="B1" t="s">
        <v>1</v>
      </c>
      <c r="C1" t="s">
        <v>2</v>
      </c>
      <c r="D1" t="s">
        <v>3</v>
      </c>
      <c r="E1" t="s">
        <v>4</v>
      </c>
      <c r="F1" t="s">
        <v>5</v>
      </c>
      <c r="G1" t="s">
        <v>6</v>
      </c>
      <c r="H1" t="s">
        <v>7</v>
      </c>
      <c r="I1" t="s">
        <v>8</v>
      </c>
      <c r="J1" t="s">
        <v>9</v>
      </c>
      <c r="K1" t="s">
        <v>10</v>
      </c>
      <c r="L1" t="s">
        <v>11</v>
      </c>
      <c r="M1" t="s">
        <v>12</v>
      </c>
    </row>
    <row r="2" spans="1:13" ht="15" customHeight="1">
      <c r="A2" t="s">
        <v>13</v>
      </c>
      <c r="B2" t="str">
        <f>Table2[[#This Row],[Object identification code]]&amp;" "&amp;Table2[[#This Row],[Full catalogue path]]&amp;" "&amp;Table2[[#This Row],[Object name]]</f>
        <v>063081-EP-0006-EN-GB learn.EP catalogue APA Induction: Mandatory online course</v>
      </c>
      <c r="C2" t="str">
        <f>Table2[[#This Row],[Object identification code]]&amp;" "&amp;Table2[[#This Row],[Full catalogue path]]</f>
        <v>063081-EP-0006-EN-GB learn.EP catalogue</v>
      </c>
      <c r="D2" t="s">
        <v>14</v>
      </c>
      <c r="E2" t="s">
        <v>15</v>
      </c>
      <c r="F2" t="s">
        <v>16</v>
      </c>
      <c r="I2" t="s">
        <v>17</v>
      </c>
      <c r="K2" s="1">
        <v>46056</v>
      </c>
      <c r="L2" t="e">
        <f>VLOOKUP(Table2[[#This Row],[Helper colum]],Table1[],1,FALSE)</f>
        <v>#N/A</v>
      </c>
      <c r="M2" t="e">
        <f>VLOOKUP(Table2[[#This Row],[Column1]],#REF!,1,FALSE)</f>
        <v>#REF!</v>
      </c>
    </row>
    <row r="3" spans="1:13" ht="15" customHeight="1">
      <c r="A3" t="s">
        <v>18</v>
      </c>
      <c r="B3" t="str">
        <f>Table2[[#This Row],[Object identification code]]&amp;" "&amp;Table2[[#This Row],[Full catalogue path]]&amp;" "&amp;Table2[[#This Row],[Object name]]</f>
        <v>049920-LUX GEN Career Development Career Walk Luxembourg</v>
      </c>
      <c r="C3" t="str">
        <f>Table2[[#This Row],[Object identification code]]&amp;" "&amp;Table2[[#This Row],[Full catalogue path]]</f>
        <v>049920-LUX GEN Career Development</v>
      </c>
      <c r="D3" t="s">
        <v>19</v>
      </c>
      <c r="E3" t="s">
        <v>20</v>
      </c>
      <c r="F3" t="s">
        <v>21</v>
      </c>
      <c r="G3" t="s">
        <v>22</v>
      </c>
      <c r="H3">
        <v>22</v>
      </c>
      <c r="I3" s="2">
        <v>45923.375</v>
      </c>
      <c r="J3" s="2">
        <v>45923.541666666664</v>
      </c>
      <c r="K3" s="1">
        <v>46027</v>
      </c>
      <c r="L3" t="e">
        <f>VLOOKUP(Table2[[#This Row],[Helper colum]],Table1[],1,FALSE)</f>
        <v>#N/A</v>
      </c>
      <c r="M3" t="e">
        <f>VLOOKUP(Table2[[#This Row],[Column1]],#REF!,1,FALSE)</f>
        <v>#REF!</v>
      </c>
    </row>
    <row r="4" spans="1:13" ht="15" customHeight="1">
      <c r="A4" t="s">
        <v>23</v>
      </c>
      <c r="B4" t="str">
        <f>Table2[[#This Row],[Object identification code]]&amp;" "&amp;Table2[[#This Row],[Full catalogue path]]&amp;" "&amp;Table2[[#This Row],[Object name]]</f>
        <v>029166-EPSO Career Development EPSO - General Introduction to the Assessment Centre (ORCE) - CoR</v>
      </c>
      <c r="C4" t="str">
        <f>Table2[[#This Row],[Object identification code]]&amp;" "&amp;Table2[[#This Row],[Full catalogue path]]</f>
        <v>029166-EPSO Career Development</v>
      </c>
      <c r="D4" t="s">
        <v>19</v>
      </c>
      <c r="E4" t="s">
        <v>24</v>
      </c>
      <c r="F4" t="s">
        <v>21</v>
      </c>
      <c r="G4" t="s">
        <v>25</v>
      </c>
      <c r="I4" s="2">
        <v>45842.375</v>
      </c>
      <c r="J4" s="2">
        <v>45842.520833333336</v>
      </c>
      <c r="K4" s="1">
        <v>45832</v>
      </c>
      <c r="L4" t="e">
        <f>VLOOKUP(Table2[[#This Row],[Helper colum]],Table1[],1,FALSE)</f>
        <v>#N/A</v>
      </c>
      <c r="M4" t="e">
        <f>VLOOKUP(Table2[[#This Row],[Column1]],#REF!,1,FALSE)</f>
        <v>#REF!</v>
      </c>
    </row>
    <row r="5" spans="1:13" ht="15" customHeight="1">
      <c r="A5" t="s">
        <v>26</v>
      </c>
      <c r="B5" t="str">
        <f>Table2[[#This Row],[Object identification code]]&amp;" "&amp;Table2[[#This Row],[Full catalogue path]]&amp;" "&amp;Table2[[#This Row],[Object name]]</f>
        <v>029249-EPSO Career Development EPSO - Situational competency-based interview (SCBI) - CoR</v>
      </c>
      <c r="C5" t="str">
        <f>Table2[[#This Row],[Object identification code]]&amp;" "&amp;Table2[[#This Row],[Full catalogue path]]</f>
        <v>029249-EPSO Career Development</v>
      </c>
      <c r="D5" t="s">
        <v>19</v>
      </c>
      <c r="E5" t="s">
        <v>27</v>
      </c>
      <c r="F5" t="s">
        <v>21</v>
      </c>
      <c r="G5" t="s">
        <v>25</v>
      </c>
      <c r="I5" s="2">
        <v>45540.375</v>
      </c>
      <c r="J5" s="2">
        <v>45540.729166666664</v>
      </c>
      <c r="K5" s="1">
        <v>45749</v>
      </c>
      <c r="L5" t="e">
        <f>VLOOKUP(Table2[[#This Row],[Helper colum]],Table1[],1,FALSE)</f>
        <v>#N/A</v>
      </c>
      <c r="M5" t="e">
        <f>VLOOKUP(Table2[[#This Row],[Column1]],#REF!,1,FALSE)</f>
        <v>#REF!</v>
      </c>
    </row>
    <row r="6" spans="1:13" ht="15" customHeight="1">
      <c r="A6" t="s">
        <v>28</v>
      </c>
      <c r="B6" t="str">
        <f>Table2[[#This Row],[Object identification code]]&amp;" "&amp;Table2[[#This Row],[Full catalogue path]]&amp;" "&amp;Table2[[#This Row],[Object name]]</f>
        <v>059621-EP Career Development Entry-Level Participatory Leadership Training</v>
      </c>
      <c r="C6" t="str">
        <f>Table2[[#This Row],[Object identification code]]&amp;" "&amp;Table2[[#This Row],[Full catalogue path]]</f>
        <v>059621-EP Career Development</v>
      </c>
      <c r="D6" t="s">
        <v>19</v>
      </c>
      <c r="E6" t="s">
        <v>29</v>
      </c>
      <c r="F6" t="s">
        <v>21</v>
      </c>
      <c r="G6" t="s">
        <v>22</v>
      </c>
      <c r="H6">
        <v>47</v>
      </c>
      <c r="I6" s="2">
        <v>46343.375</v>
      </c>
      <c r="J6" s="2">
        <v>46345.708333333336</v>
      </c>
      <c r="K6" s="1">
        <v>46056</v>
      </c>
      <c r="L6" t="e">
        <f>VLOOKUP(Table2[[#This Row],[Helper colum]],Table1[],1,FALSE)</f>
        <v>#N/A</v>
      </c>
      <c r="M6" t="e">
        <f>VLOOKUP(Table2[[#This Row],[Column1]],#REF!,1,FALSE)</f>
        <v>#REF!</v>
      </c>
    </row>
    <row r="7" spans="1:13" ht="15" customHeight="1">
      <c r="A7" t="s">
        <v>30</v>
      </c>
      <c r="B7" t="str">
        <f>Table2[[#This Row],[Object identification code]]&amp;" "&amp;Table2[[#This Row],[Full catalogue path]]&amp;" "&amp;Table2[[#This Row],[Object name]]</f>
        <v>070071-EP Career Development Entry-Level Participatory Leadership Training (Luxembourg)</v>
      </c>
      <c r="C7" t="str">
        <f>Table2[[#This Row],[Object identification code]]&amp;" "&amp;Table2[[#This Row],[Full catalogue path]]</f>
        <v>070071-EP Career Development</v>
      </c>
      <c r="D7" t="s">
        <v>19</v>
      </c>
      <c r="E7" t="s">
        <v>31</v>
      </c>
      <c r="F7" t="s">
        <v>21</v>
      </c>
      <c r="G7" t="s">
        <v>22</v>
      </c>
      <c r="H7">
        <v>28</v>
      </c>
      <c r="I7" s="2">
        <v>46140.375</v>
      </c>
      <c r="J7" s="2">
        <v>46142.708333333336</v>
      </c>
      <c r="K7" s="1">
        <v>46038</v>
      </c>
      <c r="L7" t="e">
        <f>VLOOKUP(Table2[[#This Row],[Helper colum]],Table1[],1,FALSE)</f>
        <v>#N/A</v>
      </c>
      <c r="M7" t="e">
        <f>VLOOKUP(Table2[[#This Row],[Column1]],#REF!,1,FALSE)</f>
        <v>#REF!</v>
      </c>
    </row>
    <row r="8" spans="1:13" ht="15" customHeight="1">
      <c r="A8" t="s">
        <v>32</v>
      </c>
      <c r="B8" t="str">
        <f>Table2[[#This Row],[Object identification code]]&amp;" "&amp;Table2[[#This Row],[Full catalogue path]]&amp;" "&amp;Table2[[#This Row],[Object name]]</f>
        <v>057530-EP Career Development How to prepare for an internal interview</v>
      </c>
      <c r="C8" t="str">
        <f>Table2[[#This Row],[Object identification code]]&amp;" "&amp;Table2[[#This Row],[Full catalogue path]]</f>
        <v>057530-EP Career Development</v>
      </c>
      <c r="D8" t="s">
        <v>19</v>
      </c>
      <c r="E8" t="s">
        <v>33</v>
      </c>
      <c r="F8" t="s">
        <v>21</v>
      </c>
      <c r="G8" t="s">
        <v>22</v>
      </c>
      <c r="H8">
        <v>48</v>
      </c>
      <c r="I8" s="2">
        <v>46083.375</v>
      </c>
      <c r="J8" s="2">
        <v>46097.520833333336</v>
      </c>
      <c r="K8" s="1">
        <v>46056</v>
      </c>
      <c r="L8" t="e">
        <f>VLOOKUP(Table2[[#This Row],[Helper colum]],Table1[],1,FALSE)</f>
        <v>#N/A</v>
      </c>
      <c r="M8" t="e">
        <f>VLOOKUP(Table2[[#This Row],[Column1]],#REF!,1,FALSE)</f>
        <v>#REF!</v>
      </c>
    </row>
    <row r="9" spans="1:13" ht="15" customHeight="1">
      <c r="A9" t="s">
        <v>34</v>
      </c>
      <c r="B9" t="str">
        <f>Table2[[#This Row],[Object identification code]]&amp;" "&amp;Table2[[#This Row],[Full catalogue path]]&amp;" "&amp;Table2[[#This Row],[Object name]]</f>
        <v>057000-EP Career Development Individual internal coaching</v>
      </c>
      <c r="C9" t="str">
        <f>Table2[[#This Row],[Object identification code]]&amp;" "&amp;Table2[[#This Row],[Full catalogue path]]</f>
        <v>057000-EP Career Development</v>
      </c>
      <c r="D9" t="s">
        <v>19</v>
      </c>
      <c r="E9" t="s">
        <v>35</v>
      </c>
      <c r="F9" t="s">
        <v>21</v>
      </c>
      <c r="G9" t="s">
        <v>22</v>
      </c>
      <c r="H9">
        <v>58</v>
      </c>
      <c r="I9" s="2">
        <v>46027.333333333336</v>
      </c>
      <c r="J9" s="2">
        <v>46387.75</v>
      </c>
      <c r="K9" s="1">
        <v>46055</v>
      </c>
      <c r="L9" t="e">
        <f>VLOOKUP(Table2[[#This Row],[Helper colum]],Table1[],1,FALSE)</f>
        <v>#N/A</v>
      </c>
      <c r="M9" t="e">
        <f>VLOOKUP(Table2[[#This Row],[Column1]],#REF!,1,FALSE)</f>
        <v>#REF!</v>
      </c>
    </row>
    <row r="10" spans="1:13" ht="15" customHeight="1">
      <c r="A10" t="s">
        <v>36</v>
      </c>
      <c r="B10" t="str">
        <f>Table2[[#This Row],[Object identification code]]&amp;" "&amp;Table2[[#This Row],[Full catalogue path]]&amp;" "&amp;Table2[[#This Row],[Object name]]</f>
        <v>EP_004800 Career Development Internal Trainers - Learning Path</v>
      </c>
      <c r="C10" t="str">
        <f>Table2[[#This Row],[Object identification code]]&amp;" "&amp;Table2[[#This Row],[Full catalogue path]]</f>
        <v>EP_004800 Career Development</v>
      </c>
      <c r="D10" t="s">
        <v>19</v>
      </c>
      <c r="E10" t="s">
        <v>37</v>
      </c>
      <c r="F10" t="s">
        <v>38</v>
      </c>
      <c r="K10" s="1">
        <v>46055</v>
      </c>
      <c r="L10" t="e">
        <f>VLOOKUP(Table2[[#This Row],[Helper colum]],Table1[],1,FALSE)</f>
        <v>#N/A</v>
      </c>
      <c r="M10" t="e">
        <f>VLOOKUP(Table2[[#This Row],[Column1]],#REF!,1,FALSE)</f>
        <v>#REF!</v>
      </c>
    </row>
    <row r="11" spans="1:13" ht="15" customHeight="1">
      <c r="A11" t="s">
        <v>39</v>
      </c>
      <c r="B11" t="str">
        <f>Table2[[#This Row],[Object identification code]]&amp;" "&amp;Table2[[#This Row],[Full catalogue path]]&amp;" "&amp;Table2[[#This Row],[Object name]]</f>
        <v>071483-EP Career Development Kick-start your competition preparation</v>
      </c>
      <c r="C11" t="str">
        <f>Table2[[#This Row],[Object identification code]]&amp;" "&amp;Table2[[#This Row],[Full catalogue path]]</f>
        <v>071483-EP Career Development</v>
      </c>
      <c r="D11" t="s">
        <v>19</v>
      </c>
      <c r="E11" t="s">
        <v>40</v>
      </c>
      <c r="F11" t="s">
        <v>21</v>
      </c>
      <c r="G11" t="s">
        <v>22</v>
      </c>
      <c r="H11">
        <v>63</v>
      </c>
      <c r="I11" s="2">
        <v>45946.395833333336</v>
      </c>
      <c r="J11" s="2">
        <v>45946.708333333336</v>
      </c>
      <c r="K11" s="1">
        <v>46056</v>
      </c>
      <c r="L11" t="e">
        <f>VLOOKUP(Table2[[#This Row],[Helper colum]],Table1[],1,FALSE)</f>
        <v>#N/A</v>
      </c>
      <c r="M11" t="e">
        <f>VLOOKUP(Table2[[#This Row],[Column1]],#REF!,1,FALSE)</f>
        <v>#REF!</v>
      </c>
    </row>
    <row r="12" spans="1:13" ht="15" customHeight="1">
      <c r="A12" t="s">
        <v>41</v>
      </c>
      <c r="B12" t="str">
        <f>Table2[[#This Row],[Object identification code]]&amp;" "&amp;Table2[[#This Row],[Full catalogue path]]&amp;" "&amp;Table2[[#This Row],[Object name]]</f>
        <v>023472-EP Career Development Module 1 - How to develop professionally</v>
      </c>
      <c r="C12" t="str">
        <f>Table2[[#This Row],[Object identification code]]&amp;" "&amp;Table2[[#This Row],[Full catalogue path]]</f>
        <v>023472-EP Career Development</v>
      </c>
      <c r="D12" t="s">
        <v>19</v>
      </c>
      <c r="E12" t="s">
        <v>42</v>
      </c>
      <c r="F12" t="s">
        <v>21</v>
      </c>
      <c r="G12" t="s">
        <v>22</v>
      </c>
      <c r="H12">
        <v>116</v>
      </c>
      <c r="I12" s="2">
        <v>45964.395833333336</v>
      </c>
      <c r="J12" s="2">
        <v>45964.520833333336</v>
      </c>
      <c r="K12" s="1">
        <v>46056</v>
      </c>
      <c r="L12" t="e">
        <f>VLOOKUP(Table2[[#This Row],[Helper colum]],Table1[],1,FALSE)</f>
        <v>#N/A</v>
      </c>
      <c r="M12" t="e">
        <f>VLOOKUP(Table2[[#This Row],[Column1]],#REF!,1,FALSE)</f>
        <v>#REF!</v>
      </c>
    </row>
    <row r="13" spans="1:13" ht="15" customHeight="1">
      <c r="A13" t="s">
        <v>43</v>
      </c>
      <c r="B13" t="str">
        <f>Table2[[#This Row],[Object identification code]]&amp;" "&amp;Table2[[#This Row],[Full catalogue path]]&amp;" "&amp;Table2[[#This Row],[Object name]]</f>
        <v xml:space="preserve">023474-EP Career Development Module 2 - How to develop professionally </v>
      </c>
      <c r="C13" t="str">
        <f>Table2[[#This Row],[Object identification code]]&amp;" "&amp;Table2[[#This Row],[Full catalogue path]]</f>
        <v>023474-EP Career Development</v>
      </c>
      <c r="D13" t="s">
        <v>19</v>
      </c>
      <c r="E13" t="s">
        <v>44</v>
      </c>
      <c r="F13" t="s">
        <v>21</v>
      </c>
      <c r="G13" t="s">
        <v>22</v>
      </c>
      <c r="H13">
        <v>47</v>
      </c>
      <c r="I13" s="2">
        <v>45971.395833333336</v>
      </c>
      <c r="J13" s="2">
        <v>45971.520833333336</v>
      </c>
      <c r="K13" s="1">
        <v>46045</v>
      </c>
      <c r="L13" t="e">
        <f>VLOOKUP(Table2[[#This Row],[Helper colum]],Table1[],1,FALSE)</f>
        <v>#N/A</v>
      </c>
      <c r="M13" t="e">
        <f>VLOOKUP(Table2[[#This Row],[Column1]],#REF!,1,FALSE)</f>
        <v>#REF!</v>
      </c>
    </row>
    <row r="14" spans="1:13" ht="15" customHeight="1">
      <c r="A14" t="s">
        <v>45</v>
      </c>
      <c r="B14" t="str">
        <f>Table2[[#This Row],[Object identification code]]&amp;" "&amp;Table2[[#This Row],[Full catalogue path]]&amp;" "&amp;Table2[[#This Row],[Object name]]</f>
        <v xml:space="preserve">023475-EP Career Development Module 3 - How to develop professionally </v>
      </c>
      <c r="C14" t="str">
        <f>Table2[[#This Row],[Object identification code]]&amp;" "&amp;Table2[[#This Row],[Full catalogue path]]</f>
        <v>023475-EP Career Development</v>
      </c>
      <c r="D14" t="s">
        <v>19</v>
      </c>
      <c r="E14" t="s">
        <v>46</v>
      </c>
      <c r="F14" t="s">
        <v>21</v>
      </c>
      <c r="G14" t="s">
        <v>22</v>
      </c>
      <c r="H14">
        <v>37</v>
      </c>
      <c r="I14" s="2">
        <v>45972.395833333336</v>
      </c>
      <c r="J14" s="2">
        <v>45972.520833333336</v>
      </c>
      <c r="K14" s="1">
        <v>46045</v>
      </c>
      <c r="L14" t="e">
        <f>VLOOKUP(Table2[[#This Row],[Helper colum]],Table1[],1,FALSE)</f>
        <v>#N/A</v>
      </c>
      <c r="M14" t="e">
        <f>VLOOKUP(Table2[[#This Row],[Column1]],#REF!,1,FALSE)</f>
        <v>#REF!</v>
      </c>
    </row>
    <row r="15" spans="1:13" ht="15" customHeight="1">
      <c r="A15" t="s">
        <v>47</v>
      </c>
      <c r="B15" t="str">
        <f>Table2[[#This Row],[Object identification code]]&amp;" "&amp;Table2[[#This Row],[Full catalogue path]]&amp;" "&amp;Table2[[#This Row],[Object name]]</f>
        <v xml:space="preserve">023476-EP Career Development Module 4 - How to develop professionally </v>
      </c>
      <c r="C15" t="str">
        <f>Table2[[#This Row],[Object identification code]]&amp;" "&amp;Table2[[#This Row],[Full catalogue path]]</f>
        <v>023476-EP Career Development</v>
      </c>
      <c r="D15" t="s">
        <v>19</v>
      </c>
      <c r="E15" t="s">
        <v>48</v>
      </c>
      <c r="F15" t="s">
        <v>21</v>
      </c>
      <c r="G15" t="s">
        <v>22</v>
      </c>
      <c r="H15">
        <v>29</v>
      </c>
      <c r="I15" s="2">
        <v>45996.395833333336</v>
      </c>
      <c r="J15" s="2">
        <v>45996.520833333336</v>
      </c>
      <c r="K15" s="1">
        <v>46045</v>
      </c>
      <c r="L15" t="e">
        <f>VLOOKUP(Table2[[#This Row],[Helper colum]],Table1[],1,FALSE)</f>
        <v>#N/A</v>
      </c>
      <c r="M15" t="e">
        <f>VLOOKUP(Table2[[#This Row],[Column1]],#REF!,1,FALSE)</f>
        <v>#REF!</v>
      </c>
    </row>
    <row r="16" spans="1:13" ht="15" customHeight="1">
      <c r="A16" t="s">
        <v>49</v>
      </c>
      <c r="B16" t="str">
        <f>Table2[[#This Row],[Object identification code]]&amp;" "&amp;Table2[[#This Row],[Full catalogue path]]&amp;" "&amp;Table2[[#This Row],[Object name]]</f>
        <v xml:space="preserve">061520-EP Career Development Participatory Leadership Advanced Practice Days </v>
      </c>
      <c r="C16" t="str">
        <f>Table2[[#This Row],[Object identification code]]&amp;" "&amp;Table2[[#This Row],[Full catalogue path]]</f>
        <v>061520-EP Career Development</v>
      </c>
      <c r="D16" t="s">
        <v>19</v>
      </c>
      <c r="E16" t="s">
        <v>50</v>
      </c>
      <c r="F16" t="s">
        <v>21</v>
      </c>
      <c r="G16" t="s">
        <v>22</v>
      </c>
      <c r="H16">
        <v>48</v>
      </c>
      <c r="I16" s="2">
        <v>45441.375</v>
      </c>
      <c r="J16" s="2">
        <v>45441.708333333336</v>
      </c>
      <c r="K16" s="1">
        <v>46036</v>
      </c>
      <c r="L16" t="e">
        <f>VLOOKUP(Table2[[#This Row],[Helper colum]],Table1[],1,FALSE)</f>
        <v>#N/A</v>
      </c>
      <c r="M16" t="e">
        <f>VLOOKUP(Table2[[#This Row],[Column1]],#REF!,1,FALSE)</f>
        <v>#REF!</v>
      </c>
    </row>
    <row r="17" spans="1:13" ht="15" customHeight="1">
      <c r="A17" t="s">
        <v>51</v>
      </c>
      <c r="B17" t="str">
        <f>Table2[[#This Row],[Object identification code]]&amp;" "&amp;Table2[[#This Row],[Full catalogue path]]&amp;" "&amp;Table2[[#This Row],[Object name]]</f>
        <v>065101-EP Career Development Peer learning: prepare for your next job in the EP</v>
      </c>
      <c r="C17" t="str">
        <f>Table2[[#This Row],[Object identification code]]&amp;" "&amp;Table2[[#This Row],[Full catalogue path]]</f>
        <v>065101-EP Career Development</v>
      </c>
      <c r="D17" t="s">
        <v>19</v>
      </c>
      <c r="E17" t="s">
        <v>52</v>
      </c>
      <c r="F17" t="s">
        <v>21</v>
      </c>
      <c r="G17" t="s">
        <v>22</v>
      </c>
      <c r="H17">
        <v>70</v>
      </c>
      <c r="I17" s="2">
        <v>45981.583333333336</v>
      </c>
      <c r="J17" s="2">
        <v>45981.708333333336</v>
      </c>
      <c r="K17" s="1">
        <v>46045</v>
      </c>
      <c r="L17" t="e">
        <f>VLOOKUP(Table2[[#This Row],[Helper colum]],Table1[],1,FALSE)</f>
        <v>#N/A</v>
      </c>
      <c r="M17" t="e">
        <f>VLOOKUP(Table2[[#This Row],[Column1]],#REF!,1,FALSE)</f>
        <v>#REF!</v>
      </c>
    </row>
    <row r="18" spans="1:13" ht="15" customHeight="1">
      <c r="A18" t="s">
        <v>53</v>
      </c>
      <c r="B18" t="str">
        <f>Table2[[#This Row],[Object identification code]]&amp;" "&amp;Table2[[#This Row],[Full catalogue path]]&amp;" "&amp;Table2[[#This Row],[Object name]]</f>
        <v>056843-EP Career Development &gt; Project management ENGAGE - PM exam preparation</v>
      </c>
      <c r="C18" t="str">
        <f>Table2[[#This Row],[Object identification code]]&amp;" "&amp;Table2[[#This Row],[Full catalogue path]]</f>
        <v>056843-EP Career Development &gt; Project management</v>
      </c>
      <c r="D18" t="s">
        <v>54</v>
      </c>
      <c r="E18" t="s">
        <v>55</v>
      </c>
      <c r="F18" t="s">
        <v>21</v>
      </c>
      <c r="G18" t="s">
        <v>22</v>
      </c>
      <c r="H18">
        <v>18</v>
      </c>
      <c r="I18" s="2">
        <v>46077.4375</v>
      </c>
      <c r="J18" s="2">
        <v>46077.5</v>
      </c>
      <c r="K18" s="1">
        <v>46038</v>
      </c>
      <c r="L18" t="e">
        <f>VLOOKUP(Table2[[#This Row],[Helper colum]],Table1[],1,FALSE)</f>
        <v>#N/A</v>
      </c>
      <c r="M18" t="e">
        <f>VLOOKUP(Table2[[#This Row],[Column1]],#REF!,1,FALSE)</f>
        <v>#REF!</v>
      </c>
    </row>
    <row r="19" spans="1:13" ht="15" customHeight="1">
      <c r="A19" t="s">
        <v>56</v>
      </c>
      <c r="B19" t="str">
        <f>Table2[[#This Row],[Object identification code]]&amp;" "&amp;Table2[[#This Row],[Full catalogue path]]&amp;" "&amp;Table2[[#This Row],[Object name]]</f>
        <v>061781-EP Career Development &gt; Project management ENGAGE 2.0 for Managers</v>
      </c>
      <c r="C19" t="str">
        <f>Table2[[#This Row],[Object identification code]]&amp;" "&amp;Table2[[#This Row],[Full catalogue path]]</f>
        <v>061781-EP Career Development &gt; Project management</v>
      </c>
      <c r="D19" t="s">
        <v>54</v>
      </c>
      <c r="E19" t="s">
        <v>57</v>
      </c>
      <c r="F19" t="s">
        <v>21</v>
      </c>
      <c r="G19" t="s">
        <v>22</v>
      </c>
      <c r="H19">
        <v>28</v>
      </c>
      <c r="K19" s="1">
        <v>46037</v>
      </c>
      <c r="L19" t="e">
        <f>VLOOKUP(Table2[[#This Row],[Helper colum]],Table1[],1,FALSE)</f>
        <v>#N/A</v>
      </c>
      <c r="M19" t="e">
        <f>VLOOKUP(Table2[[#This Row],[Column1]],#REF!,1,FALSE)</f>
        <v>#REF!</v>
      </c>
    </row>
    <row r="20" spans="1:13" ht="15" customHeight="1">
      <c r="A20" t="s">
        <v>58</v>
      </c>
      <c r="B20" t="str">
        <f>Table2[[#This Row],[Object identification code]]&amp;" "&amp;Table2[[#This Row],[Full catalogue path]]&amp;" "&amp;Table2[[#This Row],[Object name]]</f>
        <v>065048-EP Career Development &gt; Project management ENGAGE-PgM E3 - Programme Management Essentials</v>
      </c>
      <c r="C20" t="str">
        <f>Table2[[#This Row],[Object identification code]]&amp;" "&amp;Table2[[#This Row],[Full catalogue path]]</f>
        <v>065048-EP Career Development &gt; Project management</v>
      </c>
      <c r="D20" t="s">
        <v>54</v>
      </c>
      <c r="E20" t="s">
        <v>59</v>
      </c>
      <c r="F20" t="s">
        <v>21</v>
      </c>
      <c r="G20" t="s">
        <v>22</v>
      </c>
      <c r="H20">
        <v>20</v>
      </c>
      <c r="I20" s="2">
        <v>46090.375</v>
      </c>
      <c r="J20" s="2">
        <v>46091.520833333336</v>
      </c>
      <c r="K20" s="1">
        <v>46056</v>
      </c>
      <c r="L20" t="e">
        <f>VLOOKUP(Table2[[#This Row],[Helper colum]],Table1[],1,FALSE)</f>
        <v>#N/A</v>
      </c>
      <c r="M20" t="e">
        <f>VLOOKUP(Table2[[#This Row],[Column1]],#REF!,1,FALSE)</f>
        <v>#REF!</v>
      </c>
    </row>
    <row r="21" spans="1:13" ht="15" customHeight="1">
      <c r="A21" t="s">
        <v>60</v>
      </c>
      <c r="B21" t="str">
        <f>Table2[[#This Row],[Object identification code]]&amp;" "&amp;Table2[[#This Row],[Full catalogue path]]&amp;" "&amp;Table2[[#This Row],[Object name]]</f>
        <v xml:space="preserve">052072-EP Career Development &gt; Project management EP_ENGAGE-PM.Certification-Exam </v>
      </c>
      <c r="C21" t="str">
        <f>Table2[[#This Row],[Object identification code]]&amp;" "&amp;Table2[[#This Row],[Full catalogue path]]</f>
        <v>052072-EP Career Development &gt; Project management</v>
      </c>
      <c r="D21" t="s">
        <v>54</v>
      </c>
      <c r="E21" t="s">
        <v>61</v>
      </c>
      <c r="F21" t="s">
        <v>21</v>
      </c>
      <c r="G21" t="s">
        <v>22</v>
      </c>
      <c r="H21">
        <v>17</v>
      </c>
      <c r="I21" s="2">
        <v>46084.427083333336</v>
      </c>
      <c r="J21" s="2">
        <v>46084.479166666664</v>
      </c>
      <c r="K21" s="1">
        <v>46038</v>
      </c>
      <c r="L21" t="e">
        <f>VLOOKUP(Table2[[#This Row],[Helper colum]],Table1[],1,FALSE)</f>
        <v>#N/A</v>
      </c>
      <c r="M21" t="e">
        <f>VLOOKUP(Table2[[#This Row],[Column1]],#REF!,1,FALSE)</f>
        <v>#REF!</v>
      </c>
    </row>
    <row r="22" spans="1:13" ht="15" customHeight="1">
      <c r="A22" t="s">
        <v>62</v>
      </c>
      <c r="B22" t="str">
        <f>Table2[[#This Row],[Object identification code]]&amp;" "&amp;Table2[[#This Row],[Full catalogue path]]&amp;" "&amp;Table2[[#This Row],[Object name]]</f>
        <v>035165-EP Career Development &gt; Project management Introduction to Project Management Concepts</v>
      </c>
      <c r="C22" t="str">
        <f>Table2[[#This Row],[Object identification code]]&amp;" "&amp;Table2[[#This Row],[Full catalogue path]]</f>
        <v>035165-EP Career Development &gt; Project management</v>
      </c>
      <c r="D22" t="s">
        <v>54</v>
      </c>
      <c r="E22" t="s">
        <v>63</v>
      </c>
      <c r="F22" t="s">
        <v>21</v>
      </c>
      <c r="G22" t="s">
        <v>22</v>
      </c>
      <c r="H22">
        <v>203</v>
      </c>
      <c r="K22" s="1">
        <v>46052</v>
      </c>
      <c r="L22" t="e">
        <f>VLOOKUP(Table2[[#This Row],[Helper colum]],Table1[],1,FALSE)</f>
        <v>#N/A</v>
      </c>
      <c r="M22" t="e">
        <f>VLOOKUP(Table2[[#This Row],[Column1]],#REF!,1,FALSE)</f>
        <v>#REF!</v>
      </c>
    </row>
    <row r="23" spans="1:13" ht="15" customHeight="1">
      <c r="A23" t="s">
        <v>64</v>
      </c>
      <c r="B23" t="str">
        <f>Table2[[#This Row],[Object identification code]]&amp;" "&amp;Table2[[#This Row],[Full catalogue path]]&amp;" "&amp;Table2[[#This Row],[Object name]]</f>
        <v>063004-EP Career Development &gt; Project management Project Management - Artefacts, Tools &amp; Techniques</v>
      </c>
      <c r="C23" t="str">
        <f>Table2[[#This Row],[Object identification code]]&amp;" "&amp;Table2[[#This Row],[Full catalogue path]]</f>
        <v>063004-EP Career Development &gt; Project management</v>
      </c>
      <c r="D23" t="s">
        <v>54</v>
      </c>
      <c r="E23" t="s">
        <v>65</v>
      </c>
      <c r="F23" t="s">
        <v>21</v>
      </c>
      <c r="G23" t="s">
        <v>22</v>
      </c>
      <c r="H23">
        <v>15</v>
      </c>
      <c r="I23" s="2">
        <v>46062.375</v>
      </c>
      <c r="J23" s="2">
        <v>46063.708333333336</v>
      </c>
      <c r="K23" s="1">
        <v>46055</v>
      </c>
      <c r="L23" t="e">
        <f>VLOOKUP(Table2[[#This Row],[Helper colum]],Table1[],1,FALSE)</f>
        <v>#N/A</v>
      </c>
      <c r="M23" t="e">
        <f>VLOOKUP(Table2[[#This Row],[Column1]],#REF!,1,FALSE)</f>
        <v>#REF!</v>
      </c>
    </row>
    <row r="24" spans="1:13" ht="15" customHeight="1">
      <c r="A24" t="s">
        <v>66</v>
      </c>
      <c r="B24" t="str">
        <f>Table2[[#This Row],[Object identification code]]&amp;" "&amp;Table2[[#This Row],[Full catalogue path]]&amp;" "&amp;Table2[[#This Row],[Object name]]</f>
        <v>055741-EP Career Development &gt; Project management Project Management - Artefacts, Tools &amp; Techniques</v>
      </c>
      <c r="C24" t="str">
        <f>Table2[[#This Row],[Object identification code]]&amp;" "&amp;Table2[[#This Row],[Full catalogue path]]</f>
        <v>055741-EP Career Development &gt; Project management</v>
      </c>
      <c r="D24" t="s">
        <v>54</v>
      </c>
      <c r="E24" t="s">
        <v>65</v>
      </c>
      <c r="F24" t="s">
        <v>21</v>
      </c>
      <c r="G24" t="s">
        <v>22</v>
      </c>
      <c r="H24">
        <v>58</v>
      </c>
      <c r="I24" s="2">
        <v>45721.375</v>
      </c>
      <c r="J24" s="2">
        <v>45722.708333333336</v>
      </c>
      <c r="K24" s="1">
        <v>46041</v>
      </c>
      <c r="L24" t="e">
        <f>VLOOKUP(Table2[[#This Row],[Helper colum]],Table1[],1,FALSE)</f>
        <v>#N/A</v>
      </c>
      <c r="M24" t="e">
        <f>VLOOKUP(Table2[[#This Row],[Column1]],#REF!,1,FALSE)</f>
        <v>#REF!</v>
      </c>
    </row>
    <row r="25" spans="1:13" ht="15" customHeight="1">
      <c r="A25" t="s">
        <v>67</v>
      </c>
      <c r="B25" t="str">
        <f>Table2[[#This Row],[Object identification code]]&amp;" "&amp;Table2[[#This Row],[Full catalogue path]]&amp;" "&amp;Table2[[#This Row],[Object name]]</f>
        <v>055740-EP Career Development &gt; Project management Project Management - Methodology &amp; Guidelines</v>
      </c>
      <c r="C25" t="str">
        <f>Table2[[#This Row],[Object identification code]]&amp;" "&amp;Table2[[#This Row],[Full catalogue path]]</f>
        <v>055740-EP Career Development &gt; Project management</v>
      </c>
      <c r="D25" t="s">
        <v>54</v>
      </c>
      <c r="E25" t="s">
        <v>68</v>
      </c>
      <c r="F25" t="s">
        <v>21</v>
      </c>
      <c r="G25" t="s">
        <v>22</v>
      </c>
      <c r="H25">
        <v>79</v>
      </c>
      <c r="I25" s="2">
        <v>46058.375</v>
      </c>
      <c r="J25" s="2">
        <v>46058.708333333336</v>
      </c>
      <c r="K25" s="1">
        <v>46056</v>
      </c>
      <c r="L25" t="e">
        <f>VLOOKUP(Table2[[#This Row],[Helper colum]],Table1[],1,FALSE)</f>
        <v>#N/A</v>
      </c>
      <c r="M25" t="e">
        <f>VLOOKUP(Table2[[#This Row],[Column1]],#REF!,1,FALSE)</f>
        <v>#REF!</v>
      </c>
    </row>
    <row r="26" spans="1:13" ht="15" customHeight="1">
      <c r="A26" t="s">
        <v>69</v>
      </c>
      <c r="B26" t="str">
        <f>Table2[[#This Row],[Object identification code]]&amp;" "&amp;Table2[[#This Row],[Full catalogue path]]&amp;" "&amp;Table2[[#This Row],[Object name]]</f>
        <v xml:space="preserve">048760-EP Career Development &gt; Project management Project Management - Methodology &amp; Guidelines </v>
      </c>
      <c r="C26" t="str">
        <f>Table2[[#This Row],[Object identification code]]&amp;" "&amp;Table2[[#This Row],[Full catalogue path]]</f>
        <v>048760-EP Career Development &gt; Project management</v>
      </c>
      <c r="D26" t="s">
        <v>54</v>
      </c>
      <c r="E26" t="s">
        <v>70</v>
      </c>
      <c r="F26" t="s">
        <v>21</v>
      </c>
      <c r="G26" t="s">
        <v>22</v>
      </c>
      <c r="H26">
        <v>38</v>
      </c>
      <c r="I26" s="2">
        <v>46058.375</v>
      </c>
      <c r="J26" s="2">
        <v>46058.708333333336</v>
      </c>
      <c r="K26" s="1">
        <v>46042</v>
      </c>
      <c r="L26" t="e">
        <f>VLOOKUP(Table2[[#This Row],[Helper colum]],Table1[],1,FALSE)</f>
        <v>#N/A</v>
      </c>
      <c r="M26" t="e">
        <f>VLOOKUP(Table2[[#This Row],[Column1]],#REF!,1,FALSE)</f>
        <v>#REF!</v>
      </c>
    </row>
    <row r="27" spans="1:13" ht="15" customHeight="1">
      <c r="A27" t="s">
        <v>71</v>
      </c>
      <c r="B27" t="str">
        <f>Table2[[#This Row],[Object identification code]]&amp;" "&amp;Table2[[#This Row],[Full catalogue path]]&amp;" "&amp;Table2[[#This Row],[Object name]]</f>
        <v>058606-EP Coaching Individual external coaching</v>
      </c>
      <c r="C27" t="str">
        <f>Table2[[#This Row],[Object identification code]]&amp;" "&amp;Table2[[#This Row],[Full catalogue path]]</f>
        <v>058606-EP Coaching</v>
      </c>
      <c r="D27" t="s">
        <v>72</v>
      </c>
      <c r="E27" t="s">
        <v>73</v>
      </c>
      <c r="F27" t="s">
        <v>21</v>
      </c>
      <c r="G27" t="s">
        <v>22</v>
      </c>
      <c r="H27">
        <v>30</v>
      </c>
      <c r="I27" s="2">
        <v>46023.333333333336</v>
      </c>
      <c r="J27" s="2">
        <v>46387.75</v>
      </c>
      <c r="K27" s="1">
        <v>46056</v>
      </c>
      <c r="L27" t="e">
        <f>VLOOKUP(Table2[[#This Row],[Helper colum]],Table1[],1,FALSE)</f>
        <v>#N/A</v>
      </c>
      <c r="M27" t="e">
        <f>VLOOKUP(Table2[[#This Row],[Column1]],#REF!,1,FALSE)</f>
        <v>#REF!</v>
      </c>
    </row>
    <row r="28" spans="1:13" ht="15" customHeight="1">
      <c r="A28" t="s">
        <v>34</v>
      </c>
      <c r="B28" t="str">
        <f>Table2[[#This Row],[Object identification code]]&amp;" "&amp;Table2[[#This Row],[Full catalogue path]]&amp;" "&amp;Table2[[#This Row],[Object name]]</f>
        <v>057000-EP Coaching Individual internal coaching</v>
      </c>
      <c r="C28" t="str">
        <f>Table2[[#This Row],[Object identification code]]&amp;" "&amp;Table2[[#This Row],[Full catalogue path]]</f>
        <v>057000-EP Coaching</v>
      </c>
      <c r="D28" t="s">
        <v>72</v>
      </c>
      <c r="E28" t="s">
        <v>35</v>
      </c>
      <c r="F28" t="s">
        <v>21</v>
      </c>
      <c r="G28" t="s">
        <v>22</v>
      </c>
      <c r="H28">
        <v>58</v>
      </c>
      <c r="I28" s="2">
        <v>46027.333333333336</v>
      </c>
      <c r="J28" s="2">
        <v>46387.75</v>
      </c>
      <c r="K28" s="1">
        <v>46055</v>
      </c>
      <c r="L28" t="e">
        <f>VLOOKUP(Table2[[#This Row],[Helper colum]],Table1[],1,FALSE)</f>
        <v>#N/A</v>
      </c>
      <c r="M28" t="e">
        <f>VLOOKUP(Table2[[#This Row],[Column1]],#REF!,1,FALSE)</f>
        <v>#REF!</v>
      </c>
    </row>
    <row r="29" spans="1:13" ht="15" customHeight="1">
      <c r="B29" t="str">
        <f>Table2[[#This Row],[Object identification code]]&amp;" "&amp;Table2[[#This Row],[Full catalogue path]]&amp;" "&amp;Table2[[#This Row],[Object name]]</f>
        <v xml:space="preserve"> Collection per EP competence EP Competency Dictionary</v>
      </c>
      <c r="C29" t="str">
        <f>Table2[[#This Row],[Object identification code]]&amp;" "&amp;Table2[[#This Row],[Full catalogue path]]</f>
        <v xml:space="preserve"> Collection per EP competence</v>
      </c>
      <c r="D29" t="s">
        <v>74</v>
      </c>
      <c r="E29" t="s">
        <v>75</v>
      </c>
      <c r="F29" t="s">
        <v>76</v>
      </c>
      <c r="L29" t="e">
        <f>VLOOKUP(Table2[[#This Row],[Helper colum]],Table1[],1,FALSE)</f>
        <v>#N/A</v>
      </c>
      <c r="M29" t="e">
        <f>VLOOKUP(Table2[[#This Row],[Column1]],#REF!,1,FALSE)</f>
        <v>#REF!</v>
      </c>
    </row>
    <row r="30" spans="1:13" ht="15" customHeight="1">
      <c r="A30" t="s">
        <v>77</v>
      </c>
      <c r="B30" t="str">
        <f>Table2[[#This Row],[Object identification code]]&amp;" "&amp;Table2[[#This Row],[Full catalogue path]]&amp;" "&amp;Table2[[#This Row],[Object name]]</f>
        <v>EP_004619 Collection per EP competence &gt; Family Specific Provide policy advisory</v>
      </c>
      <c r="C30" t="str">
        <f>Table2[[#This Row],[Object identification code]]&amp;" "&amp;Table2[[#This Row],[Full catalogue path]]</f>
        <v>EP_004619 Collection per EP competence &gt; Family Specific</v>
      </c>
      <c r="D30" t="s">
        <v>78</v>
      </c>
      <c r="E30" t="s">
        <v>79</v>
      </c>
      <c r="F30" t="s">
        <v>38</v>
      </c>
      <c r="K30" s="1">
        <v>45971</v>
      </c>
      <c r="L30" t="e">
        <f>VLOOKUP(Table2[[#This Row],[Helper colum]],Table1[],1,FALSE)</f>
        <v>#N/A</v>
      </c>
      <c r="M30" t="e">
        <f>VLOOKUP(Table2[[#This Row],[Column1]],#REF!,1,FALSE)</f>
        <v>#REF!</v>
      </c>
    </row>
    <row r="31" spans="1:13" ht="15" customHeight="1">
      <c r="A31" t="s">
        <v>80</v>
      </c>
      <c r="B31" t="str">
        <f>Table2[[#This Row],[Object identification code]]&amp;" "&amp;Table2[[#This Row],[Full catalogue path]]&amp;" "&amp;Table2[[#This Row],[Object name]]</f>
        <v>EP_002435 Collection per EP competence &gt; Family Specific &gt; Information Technology  Execute ICT governance, risk, and compliance</v>
      </c>
      <c r="C31" t="str">
        <f>Table2[[#This Row],[Object identification code]]&amp;" "&amp;Table2[[#This Row],[Full catalogue path]]</f>
        <v xml:space="preserve">EP_002435 Collection per EP competence &gt; Family Specific &gt; Information Technology </v>
      </c>
      <c r="D31" t="s">
        <v>81</v>
      </c>
      <c r="E31" t="s">
        <v>82</v>
      </c>
      <c r="F31" t="s">
        <v>38</v>
      </c>
      <c r="K31" s="1">
        <v>46052</v>
      </c>
      <c r="L31" t="e">
        <f>VLOOKUP(Table2[[#This Row],[Helper colum]],Table1[],1,FALSE)</f>
        <v>#N/A</v>
      </c>
      <c r="M31" t="e">
        <f>VLOOKUP(Table2[[#This Row],[Column1]],#REF!,1,FALSE)</f>
        <v>#REF!</v>
      </c>
    </row>
    <row r="32" spans="1:13" ht="15" customHeight="1">
      <c r="A32" t="s">
        <v>83</v>
      </c>
      <c r="B32" t="str">
        <f>Table2[[#This Row],[Object identification code]]&amp;" "&amp;Table2[[#This Row],[Full catalogue path]]&amp;" "&amp;Table2[[#This Row],[Object name]]</f>
        <v>EP_002439 Collection per EP competence &gt; Family Specific &gt; Information Technology  Manage ICT relationship and engagement</v>
      </c>
      <c r="C32" t="str">
        <f>Table2[[#This Row],[Object identification code]]&amp;" "&amp;Table2[[#This Row],[Full catalogue path]]</f>
        <v xml:space="preserve">EP_002439 Collection per EP competence &gt; Family Specific &gt; Information Technology </v>
      </c>
      <c r="D32" t="s">
        <v>81</v>
      </c>
      <c r="E32" t="s">
        <v>84</v>
      </c>
      <c r="F32" t="s">
        <v>38</v>
      </c>
      <c r="K32" s="1">
        <v>46052</v>
      </c>
      <c r="L32" t="e">
        <f>VLOOKUP(Table2[[#This Row],[Helper colum]],Table1[],1,FALSE)</f>
        <v>#N/A</v>
      </c>
      <c r="M32" t="e">
        <f>VLOOKUP(Table2[[#This Row],[Column1]],#REF!,1,FALSE)</f>
        <v>#REF!</v>
      </c>
    </row>
    <row r="33" spans="1:13" ht="15" customHeight="1">
      <c r="A33" t="s">
        <v>85</v>
      </c>
      <c r="B33" t="str">
        <f>Table2[[#This Row],[Object identification code]]&amp;" "&amp;Table2[[#This Row],[Full catalogue path]]&amp;" "&amp;Table2[[#This Row],[Object name]]</f>
        <v>EP_002437 Collection per EP competence &gt; Family Specific &gt; Information Technology  Manage ICT systems and networks</v>
      </c>
      <c r="C33" t="str">
        <f>Table2[[#This Row],[Object identification code]]&amp;" "&amp;Table2[[#This Row],[Full catalogue path]]</f>
        <v xml:space="preserve">EP_002437 Collection per EP competence &gt; Family Specific &gt; Information Technology </v>
      </c>
      <c r="D33" t="s">
        <v>81</v>
      </c>
      <c r="E33" t="s">
        <v>86</v>
      </c>
      <c r="F33" t="s">
        <v>38</v>
      </c>
      <c r="K33" s="1">
        <v>45688</v>
      </c>
      <c r="L33" t="e">
        <f>VLOOKUP(Table2[[#This Row],[Helper colum]],Table1[],1,FALSE)</f>
        <v>#N/A</v>
      </c>
      <c r="M33" t="e">
        <f>VLOOKUP(Table2[[#This Row],[Column1]],#REF!,1,FALSE)</f>
        <v>#REF!</v>
      </c>
    </row>
    <row r="34" spans="1:13" ht="15" customHeight="1">
      <c r="A34" t="s">
        <v>87</v>
      </c>
      <c r="B34" t="str">
        <f>Table2[[#This Row],[Object identification code]]&amp;" "&amp;Table2[[#This Row],[Full catalogue path]]&amp;" "&amp;Table2[[#This Row],[Object name]]</f>
        <v>EP_002428 Collection per EP competence &gt; Family Specific &gt; Information Technology  Manage IT assets</v>
      </c>
      <c r="C34" t="str">
        <f>Table2[[#This Row],[Object identification code]]&amp;" "&amp;Table2[[#This Row],[Full catalogue path]]</f>
        <v xml:space="preserve">EP_002428 Collection per EP competence &gt; Family Specific &gt; Information Technology </v>
      </c>
      <c r="D34" t="s">
        <v>81</v>
      </c>
      <c r="E34" t="s">
        <v>88</v>
      </c>
      <c r="F34" t="s">
        <v>38</v>
      </c>
      <c r="K34" s="1">
        <v>46036</v>
      </c>
      <c r="L34" t="e">
        <f>VLOOKUP(Table2[[#This Row],[Helper colum]],Table1[],1,FALSE)</f>
        <v>#N/A</v>
      </c>
      <c r="M34" t="e">
        <f>VLOOKUP(Table2[[#This Row],[Column1]],#REF!,1,FALSE)</f>
        <v>#REF!</v>
      </c>
    </row>
    <row r="35" spans="1:13" ht="15" customHeight="1">
      <c r="A35" t="s">
        <v>89</v>
      </c>
      <c r="B35" t="str">
        <f>Table2[[#This Row],[Object identification code]]&amp;" "&amp;Table2[[#This Row],[Full catalogue path]]&amp;" "&amp;Table2[[#This Row],[Object name]]</f>
        <v>EP_002430 Collection per EP competence &gt; Family Specific &gt; Information Technology  Manage cybersecurity</v>
      </c>
      <c r="C35" t="str">
        <f>Table2[[#This Row],[Object identification code]]&amp;" "&amp;Table2[[#This Row],[Full catalogue path]]</f>
        <v xml:space="preserve">EP_002430 Collection per EP competence &gt; Family Specific &gt; Information Technology </v>
      </c>
      <c r="D35" t="s">
        <v>81</v>
      </c>
      <c r="E35" t="s">
        <v>90</v>
      </c>
      <c r="F35" t="s">
        <v>38</v>
      </c>
      <c r="K35" s="1">
        <v>46052</v>
      </c>
      <c r="L35" t="e">
        <f>VLOOKUP(Table2[[#This Row],[Helper colum]],Table1[],1,FALSE)</f>
        <v>#N/A</v>
      </c>
      <c r="M35" t="e">
        <f>VLOOKUP(Table2[[#This Row],[Column1]],#REF!,1,FALSE)</f>
        <v>#REF!</v>
      </c>
    </row>
    <row r="36" spans="1:13" ht="15" customHeight="1">
      <c r="A36" t="s">
        <v>91</v>
      </c>
      <c r="B36" t="str">
        <f>Table2[[#This Row],[Object identification code]]&amp;" "&amp;Table2[[#This Row],[Full catalogue path]]&amp;" "&amp;Table2[[#This Row],[Object name]]</f>
        <v>EP_002433 Collection per EP competence &gt; Family Specific &gt; Information Technology  Manage data</v>
      </c>
      <c r="C36" t="str">
        <f>Table2[[#This Row],[Object identification code]]&amp;" "&amp;Table2[[#This Row],[Full catalogue path]]</f>
        <v xml:space="preserve">EP_002433 Collection per EP competence &gt; Family Specific &gt; Information Technology </v>
      </c>
      <c r="D36" t="s">
        <v>81</v>
      </c>
      <c r="E36" t="s">
        <v>92</v>
      </c>
      <c r="F36" t="s">
        <v>38</v>
      </c>
      <c r="K36" s="1">
        <v>46038</v>
      </c>
      <c r="L36" t="e">
        <f>VLOOKUP(Table2[[#This Row],[Helper colum]],Table1[],1,FALSE)</f>
        <v>#N/A</v>
      </c>
      <c r="M36" t="e">
        <f>VLOOKUP(Table2[[#This Row],[Column1]],#REF!,1,FALSE)</f>
        <v>#REF!</v>
      </c>
    </row>
    <row r="37" spans="1:13" ht="15" customHeight="1">
      <c r="A37" t="s">
        <v>93</v>
      </c>
      <c r="B37" t="str">
        <f>Table2[[#This Row],[Object identification code]]&amp;" "&amp;Table2[[#This Row],[Full catalogue path]]&amp;" "&amp;Table2[[#This Row],[Object name]]</f>
        <v>EP_002427 Collection per EP competence &gt; Family Specific &gt; Information Technology  Manage enterprise architecture</v>
      </c>
      <c r="C37" t="str">
        <f>Table2[[#This Row],[Object identification code]]&amp;" "&amp;Table2[[#This Row],[Full catalogue path]]</f>
        <v xml:space="preserve">EP_002427 Collection per EP competence &gt; Family Specific &gt; Information Technology </v>
      </c>
      <c r="D37" t="s">
        <v>81</v>
      </c>
      <c r="E37" t="s">
        <v>94</v>
      </c>
      <c r="F37" t="s">
        <v>38</v>
      </c>
      <c r="K37" s="1">
        <v>46048</v>
      </c>
      <c r="L37" t="e">
        <f>VLOOKUP(Table2[[#This Row],[Helper colum]],Table1[],1,FALSE)</f>
        <v>#N/A</v>
      </c>
      <c r="M37" t="e">
        <f>VLOOKUP(Table2[[#This Row],[Column1]],#REF!,1,FALSE)</f>
        <v>#REF!</v>
      </c>
    </row>
    <row r="38" spans="1:13" ht="15" customHeight="1">
      <c r="A38" t="s">
        <v>95</v>
      </c>
      <c r="B38" t="str">
        <f>Table2[[#This Row],[Object identification code]]&amp;" "&amp;Table2[[#This Row],[Full catalogue path]]&amp;" "&amp;Table2[[#This Row],[Object name]]</f>
        <v>EP_002429 Collection per EP competence &gt; Family Specific &gt; Information Technology  Manage software &amp; applications</v>
      </c>
      <c r="C38" t="str">
        <f>Table2[[#This Row],[Object identification code]]&amp;" "&amp;Table2[[#This Row],[Full catalogue path]]</f>
        <v xml:space="preserve">EP_002429 Collection per EP competence &gt; Family Specific &gt; Information Technology </v>
      </c>
      <c r="D38" t="s">
        <v>81</v>
      </c>
      <c r="E38" t="s">
        <v>96</v>
      </c>
      <c r="F38" t="s">
        <v>38</v>
      </c>
      <c r="K38" s="1">
        <v>45986</v>
      </c>
      <c r="L38" t="e">
        <f>VLOOKUP(Table2[[#This Row],[Helper colum]],Table1[],1,FALSE)</f>
        <v>#N/A</v>
      </c>
      <c r="M38" t="e">
        <f>VLOOKUP(Table2[[#This Row],[Column1]],#REF!,1,FALSE)</f>
        <v>#REF!</v>
      </c>
    </row>
    <row r="39" spans="1:13" ht="15" customHeight="1">
      <c r="A39" t="s">
        <v>97</v>
      </c>
      <c r="B39" t="str">
        <f>Table2[[#This Row],[Object identification code]]&amp;" "&amp;Table2[[#This Row],[Full catalogue path]]&amp;" "&amp;Table2[[#This Row],[Object name]]</f>
        <v>EP_002486 Collection per EP competence &gt; Family Specific &gt; Information Technology  Manage vendors</v>
      </c>
      <c r="C39" t="str">
        <f>Table2[[#This Row],[Object identification code]]&amp;" "&amp;Table2[[#This Row],[Full catalogue path]]</f>
        <v xml:space="preserve">EP_002486 Collection per EP competence &gt; Family Specific &gt; Information Technology </v>
      </c>
      <c r="D39" t="s">
        <v>81</v>
      </c>
      <c r="E39" t="s">
        <v>98</v>
      </c>
      <c r="F39" t="s">
        <v>38</v>
      </c>
      <c r="K39" s="1">
        <v>45803</v>
      </c>
      <c r="L39" t="e">
        <f>VLOOKUP(Table2[[#This Row],[Helper colum]],Table1[],1,FALSE)</f>
        <v>#N/A</v>
      </c>
      <c r="M39" t="e">
        <f>VLOOKUP(Table2[[#This Row],[Column1]],#REF!,1,FALSE)</f>
        <v>#REF!</v>
      </c>
    </row>
    <row r="40" spans="1:13" ht="15" customHeight="1">
      <c r="A40" t="s">
        <v>99</v>
      </c>
      <c r="B40" t="str">
        <f>Table2[[#This Row],[Object identification code]]&amp;" "&amp;Table2[[#This Row],[Full catalogue path]]&amp;" "&amp;Table2[[#This Row],[Object name]]</f>
        <v>EP_002436 Collection per EP competence &gt; Family Specific &gt; Linguistic Localise, transcreate &amp; adapt</v>
      </c>
      <c r="C40" t="str">
        <f>Table2[[#This Row],[Object identification code]]&amp;" "&amp;Table2[[#This Row],[Full catalogue path]]</f>
        <v>EP_002436 Collection per EP competence &gt; Family Specific &gt; Linguistic</v>
      </c>
      <c r="D40" t="s">
        <v>100</v>
      </c>
      <c r="E40" t="s">
        <v>101</v>
      </c>
      <c r="F40" t="s">
        <v>38</v>
      </c>
      <c r="K40" s="1">
        <v>45569</v>
      </c>
      <c r="L40" t="e">
        <f>VLOOKUP(Table2[[#This Row],[Helper colum]],Table1[],1,FALSE)</f>
        <v>#N/A</v>
      </c>
      <c r="M40" t="e">
        <f>VLOOKUP(Table2[[#This Row],[Column1]],#REF!,1,FALSE)</f>
        <v>#REF!</v>
      </c>
    </row>
    <row r="41" spans="1:13" ht="15" customHeight="1">
      <c r="A41" t="s">
        <v>102</v>
      </c>
      <c r="B41" t="str">
        <f>Table2[[#This Row],[Object identification code]]&amp;" "&amp;Table2[[#This Row],[Full catalogue path]]&amp;" "&amp;Table2[[#This Row],[Object name]]</f>
        <v>EP_002431 Collection per EP competence &gt; Family Specific &gt; Linguistic Manage LING-TECH</v>
      </c>
      <c r="C41" t="str">
        <f>Table2[[#This Row],[Object identification code]]&amp;" "&amp;Table2[[#This Row],[Full catalogue path]]</f>
        <v>EP_002431 Collection per EP competence &gt; Family Specific &gt; Linguistic</v>
      </c>
      <c r="D41" t="s">
        <v>100</v>
      </c>
      <c r="E41" t="s">
        <v>103</v>
      </c>
      <c r="F41" t="s">
        <v>38</v>
      </c>
      <c r="K41" s="1">
        <v>45512</v>
      </c>
      <c r="L41" t="e">
        <f>VLOOKUP(Table2[[#This Row],[Helper colum]],Table1[],1,FALSE)</f>
        <v>#N/A</v>
      </c>
      <c r="M41" t="e">
        <f>VLOOKUP(Table2[[#This Row],[Column1]],#REF!,1,FALSE)</f>
        <v>#REF!</v>
      </c>
    </row>
    <row r="42" spans="1:13" ht="15" customHeight="1">
      <c r="A42" t="s">
        <v>104</v>
      </c>
      <c r="B42" t="str">
        <f>Table2[[#This Row],[Object identification code]]&amp;" "&amp;Table2[[#This Row],[Full catalogue path]]&amp;" "&amp;Table2[[#This Row],[Object name]]</f>
        <v>EP_002434 Collection per EP competence &gt; Family Specific &gt; Linguistic Translate effectively</v>
      </c>
      <c r="C42" t="str">
        <f>Table2[[#This Row],[Object identification code]]&amp;" "&amp;Table2[[#This Row],[Full catalogue path]]</f>
        <v>EP_002434 Collection per EP competence &gt; Family Specific &gt; Linguistic</v>
      </c>
      <c r="D42" t="s">
        <v>100</v>
      </c>
      <c r="E42" t="s">
        <v>105</v>
      </c>
      <c r="F42" t="s">
        <v>38</v>
      </c>
      <c r="K42" s="1">
        <v>45964</v>
      </c>
      <c r="L42" t="e">
        <f>VLOOKUP(Table2[[#This Row],[Helper colum]],Table1[],1,FALSE)</f>
        <v>#N/A</v>
      </c>
      <c r="M42" t="e">
        <f>VLOOKUP(Table2[[#This Row],[Column1]],#REF!,1,FALSE)</f>
        <v>#REF!</v>
      </c>
    </row>
    <row r="43" spans="1:13" ht="15" customHeight="1">
      <c r="A43" t="s">
        <v>77</v>
      </c>
      <c r="B43" t="str">
        <f>Table2[[#This Row],[Object identification code]]&amp;" "&amp;Table2[[#This Row],[Full catalogue path]]&amp;" "&amp;Table2[[#This Row],[Object name]]</f>
        <v>EP_004619 Collection per EP competence &gt; Family Specific &gt; Parliamentary Provide policy advisory</v>
      </c>
      <c r="C43" t="str">
        <f>Table2[[#This Row],[Object identification code]]&amp;" "&amp;Table2[[#This Row],[Full catalogue path]]</f>
        <v>EP_004619 Collection per EP competence &gt; Family Specific &gt; Parliamentary</v>
      </c>
      <c r="D43" t="s">
        <v>106</v>
      </c>
      <c r="E43" t="s">
        <v>79</v>
      </c>
      <c r="F43" t="s">
        <v>38</v>
      </c>
      <c r="K43" s="1">
        <v>45971</v>
      </c>
      <c r="L43" t="e">
        <f>VLOOKUP(Table2[[#This Row],[Helper colum]],Table1[],1,FALSE)</f>
        <v>#N/A</v>
      </c>
      <c r="M43" t="e">
        <f>VLOOKUP(Table2[[#This Row],[Column1]],#REF!,1,FALSE)</f>
        <v>#REF!</v>
      </c>
    </row>
    <row r="44" spans="1:13" ht="15" customHeight="1">
      <c r="A44" t="s">
        <v>107</v>
      </c>
      <c r="B44" t="str">
        <f>Table2[[#This Row],[Object identification code]]&amp;" "&amp;Table2[[#This Row],[Full catalogue path]]&amp;" "&amp;Table2[[#This Row],[Object name]]</f>
        <v>EP_002487 Collection per EP competence &gt; Managerial  &gt; Developmental Cultivate culture of continuous learning</v>
      </c>
      <c r="C44" t="str">
        <f>Table2[[#This Row],[Object identification code]]&amp;" "&amp;Table2[[#This Row],[Full catalogue path]]</f>
        <v>EP_002487 Collection per EP competence &gt; Managerial  &gt; Developmental</v>
      </c>
      <c r="D44" t="s">
        <v>108</v>
      </c>
      <c r="E44" t="s">
        <v>109</v>
      </c>
      <c r="F44" t="s">
        <v>38</v>
      </c>
      <c r="K44" s="1">
        <v>46000</v>
      </c>
      <c r="L44" t="e">
        <f>VLOOKUP(Table2[[#This Row],[Helper colum]],Table1[],1,FALSE)</f>
        <v>#N/A</v>
      </c>
      <c r="M44" t="e">
        <f>VLOOKUP(Table2[[#This Row],[Column1]],#REF!,1,FALSE)</f>
        <v>#REF!</v>
      </c>
    </row>
    <row r="45" spans="1:13" ht="15" customHeight="1">
      <c r="A45" t="s">
        <v>110</v>
      </c>
      <c r="B45" t="str">
        <f>Table2[[#This Row],[Object identification code]]&amp;" "&amp;Table2[[#This Row],[Full catalogue path]]&amp;" "&amp;Table2[[#This Row],[Object name]]</f>
        <v>EP_002438 Collection per EP competence &gt; Managerial  &gt; Developmental Develop yourself</v>
      </c>
      <c r="C45" t="str">
        <f>Table2[[#This Row],[Object identification code]]&amp;" "&amp;Table2[[#This Row],[Full catalogue path]]</f>
        <v>EP_002438 Collection per EP competence &gt; Managerial  &gt; Developmental</v>
      </c>
      <c r="D45" t="s">
        <v>108</v>
      </c>
      <c r="E45" t="s">
        <v>111</v>
      </c>
      <c r="F45" t="s">
        <v>38</v>
      </c>
      <c r="K45" s="1">
        <v>45910</v>
      </c>
      <c r="L45" t="e">
        <f>VLOOKUP(Table2[[#This Row],[Helper colum]],Table1[],1,FALSE)</f>
        <v>#N/A</v>
      </c>
      <c r="M45" t="e">
        <f>VLOOKUP(Table2[[#This Row],[Column1]],#REF!,1,FALSE)</f>
        <v>#REF!</v>
      </c>
    </row>
    <row r="46" spans="1:13" ht="15" customHeight="1">
      <c r="A46" t="s">
        <v>112</v>
      </c>
      <c r="B46" t="str">
        <f>Table2[[#This Row],[Object identification code]]&amp;" "&amp;Table2[[#This Row],[Full catalogue path]]&amp;" "&amp;Table2[[#This Row],[Object name]]</f>
        <v>EP_002499 Collection per EP competence &gt; Managerial  &gt; Developmental Value others</v>
      </c>
      <c r="C46" t="str">
        <f>Table2[[#This Row],[Object identification code]]&amp;" "&amp;Table2[[#This Row],[Full catalogue path]]</f>
        <v>EP_002499 Collection per EP competence &gt; Managerial  &gt; Developmental</v>
      </c>
      <c r="D46" t="s">
        <v>108</v>
      </c>
      <c r="E46" t="s">
        <v>113</v>
      </c>
      <c r="F46" t="s">
        <v>38</v>
      </c>
      <c r="K46" s="1">
        <v>45665</v>
      </c>
      <c r="L46" t="e">
        <f>VLOOKUP(Table2[[#This Row],[Helper colum]],Table1[],1,FALSE)</f>
        <v>#N/A</v>
      </c>
      <c r="M46" t="e">
        <f>VLOOKUP(Table2[[#This Row],[Column1]],#REF!,1,FALSE)</f>
        <v>#REF!</v>
      </c>
    </row>
    <row r="47" spans="1:13" ht="15" customHeight="1">
      <c r="A47" t="s">
        <v>114</v>
      </c>
      <c r="B47" t="str">
        <f>Table2[[#This Row],[Object identification code]]&amp;" "&amp;Table2[[#This Row],[Full catalogue path]]&amp;" "&amp;Table2[[#This Row],[Object name]]</f>
        <v>EP_002484 Collection per EP competence &gt; Managerial  &gt; Facilitative Hold team together</v>
      </c>
      <c r="C47" t="str">
        <f>Table2[[#This Row],[Object identification code]]&amp;" "&amp;Table2[[#This Row],[Full catalogue path]]</f>
        <v>EP_002484 Collection per EP competence &gt; Managerial  &gt; Facilitative</v>
      </c>
      <c r="D47" t="s">
        <v>115</v>
      </c>
      <c r="E47" t="s">
        <v>116</v>
      </c>
      <c r="F47" t="s">
        <v>38</v>
      </c>
      <c r="K47" s="1">
        <v>46007</v>
      </c>
      <c r="L47" t="e">
        <f>VLOOKUP(Table2[[#This Row],[Helper colum]],Table1[],1,FALSE)</f>
        <v>#N/A</v>
      </c>
      <c r="M47" t="e">
        <f>VLOOKUP(Table2[[#This Row],[Column1]],#REF!,1,FALSE)</f>
        <v>#REF!</v>
      </c>
    </row>
    <row r="48" spans="1:13" ht="15" customHeight="1">
      <c r="A48" t="s">
        <v>117</v>
      </c>
      <c r="B48" t="str">
        <f>Table2[[#This Row],[Object identification code]]&amp;" "&amp;Table2[[#This Row],[Full catalogue path]]&amp;" "&amp;Table2[[#This Row],[Object name]]</f>
        <v>EP_002425 Collection per EP competence &gt; Managerial  &gt; Facilitative Manage resources in a changing environment</v>
      </c>
      <c r="C48" t="str">
        <f>Table2[[#This Row],[Object identification code]]&amp;" "&amp;Table2[[#This Row],[Full catalogue path]]</f>
        <v>EP_002425 Collection per EP competence &gt; Managerial  &gt; Facilitative</v>
      </c>
      <c r="D48" t="s">
        <v>115</v>
      </c>
      <c r="E48" t="s">
        <v>118</v>
      </c>
      <c r="F48" t="s">
        <v>38</v>
      </c>
      <c r="K48" s="1">
        <v>46002</v>
      </c>
      <c r="L48" t="e">
        <f>VLOOKUP(Table2[[#This Row],[Helper colum]],Table1[],1,FALSE)</f>
        <v>#N/A</v>
      </c>
      <c r="M48" t="e">
        <f>VLOOKUP(Table2[[#This Row],[Column1]],#REF!,1,FALSE)</f>
        <v>#REF!</v>
      </c>
    </row>
    <row r="49" spans="1:13" ht="15" customHeight="1">
      <c r="A49" t="s">
        <v>119</v>
      </c>
      <c r="B49" t="str">
        <f>Table2[[#This Row],[Object identification code]]&amp;" "&amp;Table2[[#This Row],[Full catalogue path]]&amp;" "&amp;Table2[[#This Row],[Object name]]</f>
        <v>EP_002432 Collection per EP competence &gt; Managerial  &gt; Facilitative Work towards shared vision</v>
      </c>
      <c r="C49" t="str">
        <f>Table2[[#This Row],[Object identification code]]&amp;" "&amp;Table2[[#This Row],[Full catalogue path]]</f>
        <v>EP_002432 Collection per EP competence &gt; Managerial  &gt; Facilitative</v>
      </c>
      <c r="D49" t="s">
        <v>115</v>
      </c>
      <c r="E49" t="s">
        <v>120</v>
      </c>
      <c r="F49" t="s">
        <v>38</v>
      </c>
      <c r="K49" s="1">
        <v>45771</v>
      </c>
      <c r="L49" t="e">
        <f>VLOOKUP(Table2[[#This Row],[Helper colum]],Table1[],1,FALSE)</f>
        <v>#N/A</v>
      </c>
      <c r="M49" t="e">
        <f>VLOOKUP(Table2[[#This Row],[Column1]],#REF!,1,FALSE)</f>
        <v>#REF!</v>
      </c>
    </row>
    <row r="50" spans="1:13" ht="15" customHeight="1">
      <c r="A50" t="s">
        <v>121</v>
      </c>
      <c r="B50" t="str">
        <f>Table2[[#This Row],[Object identification code]]&amp;" "&amp;Table2[[#This Row],[Full catalogue path]]&amp;" "&amp;Table2[[#This Row],[Object name]]</f>
        <v>EP_002400 Collection per EP competence &gt; Managerial  &gt; Strategic Act strategically</v>
      </c>
      <c r="C50" t="str">
        <f>Table2[[#This Row],[Object identification code]]&amp;" "&amp;Table2[[#This Row],[Full catalogue path]]</f>
        <v>EP_002400 Collection per EP competence &gt; Managerial  &gt; Strategic</v>
      </c>
      <c r="D50" t="s">
        <v>122</v>
      </c>
      <c r="E50" t="s">
        <v>123</v>
      </c>
      <c r="F50" t="s">
        <v>38</v>
      </c>
      <c r="K50" s="1">
        <v>46030</v>
      </c>
      <c r="L50" t="e">
        <f>VLOOKUP(Table2[[#This Row],[Helper colum]],Table1[],1,FALSE)</f>
        <v>#N/A</v>
      </c>
      <c r="M50" t="e">
        <f>VLOOKUP(Table2[[#This Row],[Column1]],#REF!,1,FALSE)</f>
        <v>#REF!</v>
      </c>
    </row>
    <row r="51" spans="1:13" ht="15" customHeight="1">
      <c r="A51" t="s">
        <v>124</v>
      </c>
      <c r="B51" t="str">
        <f>Table2[[#This Row],[Object identification code]]&amp;" "&amp;Table2[[#This Row],[Full catalogue path]]&amp;" "&amp;Table2[[#This Row],[Object name]]</f>
        <v>EP_002420 Collection per EP competence &gt; Managerial  &gt; Strategic Respond to change</v>
      </c>
      <c r="C51" t="str">
        <f>Table2[[#This Row],[Object identification code]]&amp;" "&amp;Table2[[#This Row],[Full catalogue path]]</f>
        <v>EP_002420 Collection per EP competence &gt; Managerial  &gt; Strategic</v>
      </c>
      <c r="D51" t="s">
        <v>122</v>
      </c>
      <c r="E51" t="s">
        <v>125</v>
      </c>
      <c r="F51" t="s">
        <v>38</v>
      </c>
      <c r="K51" s="1">
        <v>45894</v>
      </c>
      <c r="L51" t="e">
        <f>VLOOKUP(Table2[[#This Row],[Helper colum]],Table1[],1,FALSE)</f>
        <v>#N/A</v>
      </c>
      <c r="M51" t="e">
        <f>VLOOKUP(Table2[[#This Row],[Column1]],#REF!,1,FALSE)</f>
        <v>#REF!</v>
      </c>
    </row>
    <row r="52" spans="1:13" ht="15" customHeight="1">
      <c r="A52" t="s">
        <v>126</v>
      </c>
      <c r="B52" t="str">
        <f>Table2[[#This Row],[Object identification code]]&amp;" "&amp;Table2[[#This Row],[Full catalogue path]]&amp;" "&amp;Table2[[#This Row],[Object name]]</f>
        <v>EP_002423 Collection per EP competence &gt; Managerial  &gt; Strategic Sustain momentum</v>
      </c>
      <c r="C52" t="str">
        <f>Table2[[#This Row],[Object identification code]]&amp;" "&amp;Table2[[#This Row],[Full catalogue path]]</f>
        <v>EP_002423 Collection per EP competence &gt; Managerial  &gt; Strategic</v>
      </c>
      <c r="D52" t="s">
        <v>122</v>
      </c>
      <c r="E52" t="s">
        <v>127</v>
      </c>
      <c r="F52" t="s">
        <v>38</v>
      </c>
      <c r="K52" s="1">
        <v>45749</v>
      </c>
      <c r="L52" t="e">
        <f>VLOOKUP(Table2[[#This Row],[Helper colum]],Table1[],1,FALSE)</f>
        <v>#N/A</v>
      </c>
      <c r="M52" t="e">
        <f>VLOOKUP(Table2[[#This Row],[Column1]],#REF!,1,FALSE)</f>
        <v>#REF!</v>
      </c>
    </row>
    <row r="53" spans="1:13" ht="15" customHeight="1">
      <c r="A53" t="s">
        <v>128</v>
      </c>
      <c r="B53" t="str">
        <f>Table2[[#This Row],[Object identification code]]&amp;" "&amp;Table2[[#This Row],[Full catalogue path]]&amp;" "&amp;Table2[[#This Row],[Object name]]</f>
        <v>EP_004419 Collection per EP competence &gt; Transversal &gt; Core Be result-oriented</v>
      </c>
      <c r="C53" t="str">
        <f>Table2[[#This Row],[Object identification code]]&amp;" "&amp;Table2[[#This Row],[Full catalogue path]]</f>
        <v>EP_004419 Collection per EP competence &gt; Transversal &gt; Core</v>
      </c>
      <c r="D53" t="s">
        <v>129</v>
      </c>
      <c r="E53" t="s">
        <v>130</v>
      </c>
      <c r="F53" t="s">
        <v>38</v>
      </c>
      <c r="K53" s="1">
        <v>46043</v>
      </c>
      <c r="L53" t="e">
        <f>VLOOKUP(Table2[[#This Row],[Helper colum]],Table1[],1,FALSE)</f>
        <v>#N/A</v>
      </c>
      <c r="M53" t="e">
        <f>VLOOKUP(Table2[[#This Row],[Column1]],#REF!,1,FALSE)</f>
        <v>#REF!</v>
      </c>
    </row>
    <row r="54" spans="1:13" ht="15" customHeight="1">
      <c r="A54" t="s">
        <v>131</v>
      </c>
      <c r="B54" t="str">
        <f>Table2[[#This Row],[Object identification code]]&amp;" "&amp;Table2[[#This Row],[Full catalogue path]]&amp;" "&amp;Table2[[#This Row],[Object name]]</f>
        <v>EP_004442 Collection per EP competence &gt; Transversal &gt; Core Demonstrate team spirit and cooperation</v>
      </c>
      <c r="C54" t="str">
        <f>Table2[[#This Row],[Object identification code]]&amp;" "&amp;Table2[[#This Row],[Full catalogue path]]</f>
        <v>EP_004442 Collection per EP competence &gt; Transversal &gt; Core</v>
      </c>
      <c r="D54" t="s">
        <v>129</v>
      </c>
      <c r="E54" t="s">
        <v>132</v>
      </c>
      <c r="F54" t="s">
        <v>38</v>
      </c>
      <c r="K54" s="1">
        <v>45894</v>
      </c>
      <c r="L54" t="e">
        <f>VLOOKUP(Table2[[#This Row],[Helper colum]],Table1[],1,FALSE)</f>
        <v>#N/A</v>
      </c>
      <c r="M54" t="e">
        <f>VLOOKUP(Table2[[#This Row],[Column1]],#REF!,1,FALSE)</f>
        <v>#REF!</v>
      </c>
    </row>
    <row r="55" spans="1:13" ht="15" customHeight="1">
      <c r="A55" t="s">
        <v>133</v>
      </c>
      <c r="B55" t="str">
        <f>Table2[[#This Row],[Object identification code]]&amp;" "&amp;Table2[[#This Row],[Full catalogue path]]&amp;" "&amp;Table2[[#This Row],[Object name]]</f>
        <v>EP_004399 Collection per EP competence &gt; Transversal &gt; Core Improve continuously</v>
      </c>
      <c r="C55" t="str">
        <f>Table2[[#This Row],[Object identification code]]&amp;" "&amp;Table2[[#This Row],[Full catalogue path]]</f>
        <v>EP_004399 Collection per EP competence &gt; Transversal &gt; Core</v>
      </c>
      <c r="D55" t="s">
        <v>129</v>
      </c>
      <c r="E55" t="s">
        <v>134</v>
      </c>
      <c r="F55" t="s">
        <v>38</v>
      </c>
      <c r="K55" s="1">
        <v>45894</v>
      </c>
      <c r="L55" t="e">
        <f>VLOOKUP(Table2[[#This Row],[Helper colum]],Table1[],1,FALSE)</f>
        <v>#N/A</v>
      </c>
      <c r="M55" t="e">
        <f>VLOOKUP(Table2[[#This Row],[Column1]],#REF!,1,FALSE)</f>
        <v>#REF!</v>
      </c>
    </row>
    <row r="56" spans="1:13" ht="15" customHeight="1">
      <c r="A56" t="s">
        <v>135</v>
      </c>
      <c r="B56" t="str">
        <f>Table2[[#This Row],[Object identification code]]&amp;" "&amp;Table2[[#This Row],[Full catalogue path]]&amp;" "&amp;Table2[[#This Row],[Object name]]</f>
        <v>EP_004420 Collection per EP competence &gt; Transversal &gt; Core Show flexibility</v>
      </c>
      <c r="C56" t="str">
        <f>Table2[[#This Row],[Object identification code]]&amp;" "&amp;Table2[[#This Row],[Full catalogue path]]</f>
        <v>EP_004420 Collection per EP competence &gt; Transversal &gt; Core</v>
      </c>
      <c r="D56" t="s">
        <v>129</v>
      </c>
      <c r="E56" t="s">
        <v>136</v>
      </c>
      <c r="F56" t="s">
        <v>38</v>
      </c>
      <c r="K56" s="1">
        <v>45894</v>
      </c>
      <c r="L56" t="e">
        <f>VLOOKUP(Table2[[#This Row],[Helper colum]],Table1[],1,FALSE)</f>
        <v>#N/A</v>
      </c>
      <c r="M56" t="e">
        <f>VLOOKUP(Table2[[#This Row],[Column1]],#REF!,1,FALSE)</f>
        <v>#REF!</v>
      </c>
    </row>
    <row r="57" spans="1:13" ht="15" customHeight="1">
      <c r="A57" t="s">
        <v>137</v>
      </c>
      <c r="B57" t="str">
        <f>Table2[[#This Row],[Object identification code]]&amp;" "&amp;Table2[[#This Row],[Full catalogue path]]&amp;" "&amp;Table2[[#This Row],[Object name]]</f>
        <v>EP_004422 Collection per EP competence &gt; Transversal &gt; Core Show integrity</v>
      </c>
      <c r="C57" t="str">
        <f>Table2[[#This Row],[Object identification code]]&amp;" "&amp;Table2[[#This Row],[Full catalogue path]]</f>
        <v>EP_004422 Collection per EP competence &gt; Transversal &gt; Core</v>
      </c>
      <c r="D57" t="s">
        <v>129</v>
      </c>
      <c r="E57" t="s">
        <v>138</v>
      </c>
      <c r="F57" t="s">
        <v>38</v>
      </c>
      <c r="K57" s="1">
        <v>45894</v>
      </c>
      <c r="L57" t="e">
        <f>VLOOKUP(Table2[[#This Row],[Helper colum]],Table1[],1,FALSE)</f>
        <v>#N/A</v>
      </c>
      <c r="M57" t="e">
        <f>VLOOKUP(Table2[[#This Row],[Column1]],#REF!,1,FALSE)</f>
        <v>#REF!</v>
      </c>
    </row>
    <row r="58" spans="1:13" ht="15" customHeight="1">
      <c r="A58" t="s">
        <v>139</v>
      </c>
      <c r="B58" t="str">
        <f>Table2[[#This Row],[Object identification code]]&amp;" "&amp;Table2[[#This Row],[Full catalogue path]]&amp;" "&amp;Table2[[#This Row],[Object name]]</f>
        <v>EP_002481 Collection per EP competence &gt; Transversal &gt; Digital Be digitally safe, savvy and social</v>
      </c>
      <c r="C58" t="str">
        <f>Table2[[#This Row],[Object identification code]]&amp;" "&amp;Table2[[#This Row],[Full catalogue path]]</f>
        <v>EP_002481 Collection per EP competence &gt; Transversal &gt; Digital</v>
      </c>
      <c r="D58" t="s">
        <v>140</v>
      </c>
      <c r="E58" t="s">
        <v>141</v>
      </c>
      <c r="F58" t="s">
        <v>38</v>
      </c>
      <c r="K58" s="1">
        <v>45995</v>
      </c>
      <c r="L58" t="e">
        <f>VLOOKUP(Table2[[#This Row],[Helper colum]],Table1[],1,FALSE)</f>
        <v>#N/A</v>
      </c>
      <c r="M58" t="e">
        <f>VLOOKUP(Table2[[#This Row],[Column1]],#REF!,1,FALSE)</f>
        <v>#REF!</v>
      </c>
    </row>
    <row r="59" spans="1:13" ht="14.65">
      <c r="A59" t="s">
        <v>142</v>
      </c>
      <c r="B59" t="str">
        <f>Table2[[#This Row],[Object identification code]]&amp;" "&amp;Table2[[#This Row],[Full catalogue path]]&amp;" "&amp;Table2[[#This Row],[Object name]]</f>
        <v>EP_002424 Collection per EP competence &gt; Transversal &gt; Digital Navigate data and information</v>
      </c>
      <c r="C59" t="str">
        <f>Table2[[#This Row],[Object identification code]]&amp;" "&amp;Table2[[#This Row],[Full catalogue path]]</f>
        <v>EP_002424 Collection per EP competence &gt; Transversal &gt; Digital</v>
      </c>
      <c r="D59" t="s">
        <v>140</v>
      </c>
      <c r="E59" t="s">
        <v>143</v>
      </c>
      <c r="F59" t="s">
        <v>38</v>
      </c>
      <c r="K59" s="1">
        <v>46038</v>
      </c>
      <c r="L59" t="e">
        <f>VLOOKUP(Table2[[#This Row],[Helper colum]],Table1[],1,FALSE)</f>
        <v>#N/A</v>
      </c>
      <c r="M59" t="e">
        <f>VLOOKUP(Table2[[#This Row],[Column1]],#REF!,1,FALSE)</f>
        <v>#REF!</v>
      </c>
    </row>
    <row r="60" spans="1:13" ht="14.65">
      <c r="A60" t="s">
        <v>144</v>
      </c>
      <c r="B60" t="str">
        <f>Table2[[#This Row],[Object identification code]]&amp;" "&amp;Table2[[#This Row],[Full catalogue path]]&amp;" "&amp;Table2[[#This Row],[Object name]]</f>
        <v>EP_002426 Collection per EP competence &gt; Transversal &gt; Digital Navigate digital ecosystems</v>
      </c>
      <c r="C60" t="str">
        <f>Table2[[#This Row],[Object identification code]]&amp;" "&amp;Table2[[#This Row],[Full catalogue path]]</f>
        <v>EP_002426 Collection per EP competence &gt; Transversal &gt; Digital</v>
      </c>
      <c r="D60" t="s">
        <v>140</v>
      </c>
      <c r="E60" t="s">
        <v>145</v>
      </c>
      <c r="F60" t="s">
        <v>38</v>
      </c>
      <c r="K60" s="1">
        <v>45533</v>
      </c>
      <c r="L60" t="e">
        <f>VLOOKUP(Table2[[#This Row],[Helper colum]],Table1[],1,FALSE)</f>
        <v>#N/A</v>
      </c>
      <c r="M60" t="e">
        <f>VLOOKUP(Table2[[#This Row],[Column1]],#REF!,1,FALSE)</f>
        <v>#REF!</v>
      </c>
    </row>
    <row r="61" spans="1:13" ht="14.65">
      <c r="A61" t="s">
        <v>146</v>
      </c>
      <c r="B61" t="str">
        <f>Table2[[#This Row],[Object identification code]]&amp;" "&amp;Table2[[#This Row],[Full catalogue path]]&amp;" "&amp;Table2[[#This Row],[Object name]]</f>
        <v>EP_002482 Collection per EP competence &gt; Transversal &gt; Digital Work with digital content</v>
      </c>
      <c r="C61" t="str">
        <f>Table2[[#This Row],[Object identification code]]&amp;" "&amp;Table2[[#This Row],[Full catalogue path]]</f>
        <v>EP_002482 Collection per EP competence &gt; Transversal &gt; Digital</v>
      </c>
      <c r="D61" t="s">
        <v>140</v>
      </c>
      <c r="E61" t="s">
        <v>147</v>
      </c>
      <c r="F61" t="s">
        <v>38</v>
      </c>
      <c r="K61" s="1">
        <v>45915</v>
      </c>
      <c r="L61" t="e">
        <f>VLOOKUP(Table2[[#This Row],[Helper colum]],Table1[],1,FALSE)</f>
        <v>#N/A</v>
      </c>
      <c r="M61" t="e">
        <f>VLOOKUP(Table2[[#This Row],[Column1]],#REF!,1,FALSE)</f>
        <v>#REF!</v>
      </c>
    </row>
    <row r="62" spans="1:13" ht="14.65">
      <c r="A62" t="s">
        <v>148</v>
      </c>
      <c r="B62" t="str">
        <f>Table2[[#This Row],[Object identification code]]&amp;" "&amp;Table2[[#This Row],[Full catalogue path]]&amp;" "&amp;Table2[[#This Row],[Object name]]</f>
        <v>EP_004441 Collection per EP competence &gt; Transversal &gt; Interpersonal Be aware of self and others</v>
      </c>
      <c r="C62" t="str">
        <f>Table2[[#This Row],[Object identification code]]&amp;" "&amp;Table2[[#This Row],[Full catalogue path]]</f>
        <v>EP_004441 Collection per EP competence &gt; Transversal &gt; Interpersonal</v>
      </c>
      <c r="D62" t="s">
        <v>149</v>
      </c>
      <c r="E62" t="s">
        <v>150</v>
      </c>
      <c r="F62" t="s">
        <v>38</v>
      </c>
      <c r="K62" s="1">
        <v>46047</v>
      </c>
      <c r="L62" t="e">
        <f>VLOOKUP(Table2[[#This Row],[Helper colum]],Table1[],1,FALSE)</f>
        <v>#N/A</v>
      </c>
      <c r="M62" t="e">
        <f>VLOOKUP(Table2[[#This Row],[Column1]],#REF!,1,FALSE)</f>
        <v>#REF!</v>
      </c>
    </row>
    <row r="63" spans="1:13" ht="14.65">
      <c r="A63" t="s">
        <v>151</v>
      </c>
      <c r="B63" t="str">
        <f>Table2[[#This Row],[Object identification code]]&amp;" "&amp;Table2[[#This Row],[Full catalogue path]]&amp;" "&amp;Table2[[#This Row],[Object name]]</f>
        <v>EP_003999 Collection per EP competence &gt; Transversal &gt; Interpersonal Communicate effectively</v>
      </c>
      <c r="C63" t="str">
        <f>Table2[[#This Row],[Object identification code]]&amp;" "&amp;Table2[[#This Row],[Full catalogue path]]</f>
        <v>EP_003999 Collection per EP competence &gt; Transversal &gt; Interpersonal</v>
      </c>
      <c r="D63" t="s">
        <v>149</v>
      </c>
      <c r="E63" t="s">
        <v>152</v>
      </c>
      <c r="F63" t="s">
        <v>38</v>
      </c>
      <c r="K63" s="1">
        <v>45995</v>
      </c>
      <c r="L63" t="e">
        <f>VLOOKUP(Table2[[#This Row],[Helper colum]],Table1[],1,FALSE)</f>
        <v>#N/A</v>
      </c>
      <c r="M63" t="e">
        <f>VLOOKUP(Table2[[#This Row],[Column1]],#REF!,1,FALSE)</f>
        <v>#REF!</v>
      </c>
    </row>
    <row r="64" spans="1:13" ht="14.65">
      <c r="A64" t="s">
        <v>153</v>
      </c>
      <c r="B64" t="str">
        <f>Table2[[#This Row],[Object identification code]]&amp;" "&amp;Table2[[#This Row],[Full catalogue path]]&amp;" "&amp;Table2[[#This Row],[Object name]]</f>
        <v>EP_002422 Collection per EP competence &gt; Transversal &gt; Interpersonal Demonstrate diplomatic sensitivity</v>
      </c>
      <c r="C64" t="str">
        <f>Table2[[#This Row],[Object identification code]]&amp;" "&amp;Table2[[#This Row],[Full catalogue path]]</f>
        <v>EP_002422 Collection per EP competence &gt; Transversal &gt; Interpersonal</v>
      </c>
      <c r="D64" t="s">
        <v>149</v>
      </c>
      <c r="E64" t="s">
        <v>154</v>
      </c>
      <c r="F64" t="s">
        <v>38</v>
      </c>
      <c r="K64" s="1">
        <v>45774</v>
      </c>
      <c r="L64" t="e">
        <f>VLOOKUP(Table2[[#This Row],[Helper colum]],Table1[],1,FALSE)</f>
        <v>#N/A</v>
      </c>
      <c r="M64" t="e">
        <f>VLOOKUP(Table2[[#This Row],[Column1]],#REF!,1,FALSE)</f>
        <v>#REF!</v>
      </c>
    </row>
    <row r="65" spans="1:13" ht="14.65">
      <c r="A65" t="s">
        <v>155</v>
      </c>
      <c r="B65" t="str">
        <f>Table2[[#This Row],[Object identification code]]&amp;" "&amp;Table2[[#This Row],[Full catalogue path]]&amp;" "&amp;Table2[[#This Row],[Object name]]</f>
        <v>EP_004461 Collection per EP competence &gt; Transversal &gt; Interpersonal Develop relationships</v>
      </c>
      <c r="C65" t="str">
        <f>Table2[[#This Row],[Object identification code]]&amp;" "&amp;Table2[[#This Row],[Full catalogue path]]</f>
        <v>EP_004461 Collection per EP competence &gt; Transversal &gt; Interpersonal</v>
      </c>
      <c r="D65" t="s">
        <v>149</v>
      </c>
      <c r="E65" t="s">
        <v>156</v>
      </c>
      <c r="F65" t="s">
        <v>38</v>
      </c>
      <c r="K65" s="1">
        <v>46051</v>
      </c>
      <c r="L65" t="e">
        <f>VLOOKUP(Table2[[#This Row],[Helper colum]],Table1[],1,FALSE)</f>
        <v>#N/A</v>
      </c>
      <c r="M65" t="e">
        <f>VLOOKUP(Table2[[#This Row],[Column1]],#REF!,1,FALSE)</f>
        <v>#REF!</v>
      </c>
    </row>
    <row r="66" spans="1:13" ht="14.65">
      <c r="A66" t="s">
        <v>157</v>
      </c>
      <c r="B66" t="str">
        <f>Table2[[#This Row],[Object identification code]]&amp;" "&amp;Table2[[#This Row],[Full catalogue path]]&amp;" "&amp;Table2[[#This Row],[Object name]]</f>
        <v>EP_004479 Collection per EP competence &gt; Transversal &gt; Interpersonal Embrace diversity, equity, inclusion and belonging (DEIB)</v>
      </c>
      <c r="C66" t="str">
        <f>Table2[[#This Row],[Object identification code]]&amp;" "&amp;Table2[[#This Row],[Full catalogue path]]</f>
        <v>EP_004479 Collection per EP competence &gt; Transversal &gt; Interpersonal</v>
      </c>
      <c r="D66" t="s">
        <v>149</v>
      </c>
      <c r="E66" t="s">
        <v>158</v>
      </c>
      <c r="F66" t="s">
        <v>38</v>
      </c>
      <c r="K66" s="1">
        <v>45862</v>
      </c>
      <c r="L66" t="e">
        <f>VLOOKUP(Table2[[#This Row],[Helper colum]],Table1[],1,FALSE)</f>
        <v>#N/A</v>
      </c>
      <c r="M66" t="e">
        <f>VLOOKUP(Table2[[#This Row],[Column1]],#REF!,1,FALSE)</f>
        <v>#REF!</v>
      </c>
    </row>
    <row r="67" spans="1:13" ht="14.65">
      <c r="A67" t="s">
        <v>159</v>
      </c>
      <c r="B67" t="str">
        <f>Table2[[#This Row],[Object identification code]]&amp;" "&amp;Table2[[#This Row],[Full catalogue path]]&amp;" "&amp;Table2[[#This Row],[Object name]]</f>
        <v>EP_004439 Collection per EP competence &gt; Transversal &gt; Interpersonal Master languages</v>
      </c>
      <c r="C67" t="str">
        <f>Table2[[#This Row],[Object identification code]]&amp;" "&amp;Table2[[#This Row],[Full catalogue path]]</f>
        <v>EP_004439 Collection per EP competence &gt; Transversal &gt; Interpersonal</v>
      </c>
      <c r="D67" t="s">
        <v>149</v>
      </c>
      <c r="E67" t="s">
        <v>160</v>
      </c>
      <c r="F67" t="s">
        <v>38</v>
      </c>
      <c r="K67" s="1">
        <v>45771</v>
      </c>
      <c r="L67" t="e">
        <f>VLOOKUP(Table2[[#This Row],[Helper colum]],Table1[],1,FALSE)</f>
        <v>#N/A</v>
      </c>
      <c r="M67" t="e">
        <f>VLOOKUP(Table2[[#This Row],[Column1]],#REF!,1,FALSE)</f>
        <v>#REF!</v>
      </c>
    </row>
    <row r="68" spans="1:13" ht="14.65">
      <c r="A68" t="s">
        <v>161</v>
      </c>
      <c r="B68" t="str">
        <f>Table2[[#This Row],[Object identification code]]&amp;" "&amp;Table2[[#This Row],[Full catalogue path]]&amp;" "&amp;Table2[[#This Row],[Object name]]</f>
        <v>EP_004499 Collection per EP competence &gt; Transversal &gt; Operational Draft impactfully</v>
      </c>
      <c r="C68" t="str">
        <f>Table2[[#This Row],[Object identification code]]&amp;" "&amp;Table2[[#This Row],[Full catalogue path]]</f>
        <v>EP_004499 Collection per EP competence &gt; Transversal &gt; Operational</v>
      </c>
      <c r="D68" t="s">
        <v>162</v>
      </c>
      <c r="E68" t="s">
        <v>163</v>
      </c>
      <c r="F68" t="s">
        <v>38</v>
      </c>
      <c r="K68" s="1">
        <v>46051</v>
      </c>
      <c r="L68" t="e">
        <f>VLOOKUP(Table2[[#This Row],[Helper colum]],Table1[],1,FALSE)</f>
        <v>#N/A</v>
      </c>
      <c r="M68" t="e">
        <f>VLOOKUP(Table2[[#This Row],[Column1]],#REF!,1,FALSE)</f>
        <v>#REF!</v>
      </c>
    </row>
    <row r="69" spans="1:13" ht="14.65">
      <c r="A69" t="s">
        <v>164</v>
      </c>
      <c r="B69" t="str">
        <f>Table2[[#This Row],[Object identification code]]&amp;" "&amp;Table2[[#This Row],[Full catalogue path]]&amp;" "&amp;Table2[[#This Row],[Object name]]</f>
        <v>EP_004561 Collection per EP competence &gt; Transversal &gt; Operational Manage documents</v>
      </c>
      <c r="C69" t="str">
        <f>Table2[[#This Row],[Object identification code]]&amp;" "&amp;Table2[[#This Row],[Full catalogue path]]</f>
        <v>EP_004561 Collection per EP competence &gt; Transversal &gt; Operational</v>
      </c>
      <c r="D69" t="s">
        <v>162</v>
      </c>
      <c r="E69" t="s">
        <v>165</v>
      </c>
      <c r="F69" t="s">
        <v>38</v>
      </c>
      <c r="K69" s="1">
        <v>45866</v>
      </c>
      <c r="L69" t="e">
        <f>VLOOKUP(Table2[[#This Row],[Helper colum]],Table1[],1,FALSE)</f>
        <v>#N/A</v>
      </c>
      <c r="M69" t="e">
        <f>VLOOKUP(Table2[[#This Row],[Column1]],#REF!,1,FALSE)</f>
        <v>#REF!</v>
      </c>
    </row>
    <row r="70" spans="1:13" ht="14.65">
      <c r="A70" t="s">
        <v>166</v>
      </c>
      <c r="B70" t="str">
        <f>Table2[[#This Row],[Object identification code]]&amp;" "&amp;Table2[[#This Row],[Full catalogue path]]&amp;" "&amp;Table2[[#This Row],[Object name]]</f>
        <v>EP_005440 Collection per EP competence &gt; Transversal &gt; Operational Manage events</v>
      </c>
      <c r="C70" t="str">
        <f>Table2[[#This Row],[Object identification code]]&amp;" "&amp;Table2[[#This Row],[Full catalogue path]]</f>
        <v>EP_005440 Collection per EP competence &gt; Transversal &gt; Operational</v>
      </c>
      <c r="D70" t="s">
        <v>162</v>
      </c>
      <c r="E70" t="s">
        <v>167</v>
      </c>
      <c r="F70" t="s">
        <v>38</v>
      </c>
      <c r="K70" s="1">
        <v>45898</v>
      </c>
      <c r="L70" t="e">
        <f>VLOOKUP(Table2[[#This Row],[Helper colum]],Table1[],1,FALSE)</f>
        <v>#N/A</v>
      </c>
      <c r="M70" t="e">
        <f>VLOOKUP(Table2[[#This Row],[Column1]],#REF!,1,FALSE)</f>
        <v>#REF!</v>
      </c>
    </row>
    <row r="71" spans="1:13" ht="14.65">
      <c r="A71" t="s">
        <v>168</v>
      </c>
      <c r="B71" t="str">
        <f>Table2[[#This Row],[Object identification code]]&amp;" "&amp;Table2[[#This Row],[Full catalogue path]]&amp;" "&amp;Table2[[#This Row],[Object name]]</f>
        <v>EP_005442 Collection per EP competence &gt; Transversal &gt; Operational Manage financial transactions</v>
      </c>
      <c r="C71" t="str">
        <f>Table2[[#This Row],[Object identification code]]&amp;" "&amp;Table2[[#This Row],[Full catalogue path]]</f>
        <v>EP_005442 Collection per EP competence &gt; Transversal &gt; Operational</v>
      </c>
      <c r="D71" t="s">
        <v>162</v>
      </c>
      <c r="E71" t="s">
        <v>169</v>
      </c>
      <c r="F71" t="s">
        <v>38</v>
      </c>
      <c r="K71" s="1">
        <v>46035</v>
      </c>
      <c r="L71" t="e">
        <f>VLOOKUP(Table2[[#This Row],[Helper colum]],Table1[],1,FALSE)</f>
        <v>#N/A</v>
      </c>
      <c r="M71" t="e">
        <f>VLOOKUP(Table2[[#This Row],[Column1]],#REF!,1,FALSE)</f>
        <v>#REF!</v>
      </c>
    </row>
    <row r="72" spans="1:13" ht="14.65">
      <c r="A72" t="s">
        <v>170</v>
      </c>
      <c r="B72" t="str">
        <f>Table2[[#This Row],[Object identification code]]&amp;" "&amp;Table2[[#This Row],[Full catalogue path]]&amp;" "&amp;Table2[[#This Row],[Object name]]</f>
        <v>EP_004560 Collection per EP competence &gt; Transversal &gt; Operational Present impactfully</v>
      </c>
      <c r="C72" t="str">
        <f>Table2[[#This Row],[Object identification code]]&amp;" "&amp;Table2[[#This Row],[Full catalogue path]]</f>
        <v>EP_004560 Collection per EP competence &gt; Transversal &gt; Operational</v>
      </c>
      <c r="D72" t="s">
        <v>162</v>
      </c>
      <c r="E72" t="s">
        <v>171</v>
      </c>
      <c r="F72" t="s">
        <v>38</v>
      </c>
      <c r="K72" s="1">
        <v>46038</v>
      </c>
      <c r="L72" t="e">
        <f>VLOOKUP(Table2[[#This Row],[Helper colum]],Table1[],1,FALSE)</f>
        <v>#N/A</v>
      </c>
      <c r="M72" t="e">
        <f>VLOOKUP(Table2[[#This Row],[Column1]],#REF!,1,FALSE)</f>
        <v>#REF!</v>
      </c>
    </row>
    <row r="73" spans="1:13" ht="14.65">
      <c r="A73" t="s">
        <v>172</v>
      </c>
      <c r="B73" t="str">
        <f>Table2[[#This Row],[Object identification code]]&amp;" "&amp;Table2[[#This Row],[Full catalogue path]]&amp;" "&amp;Table2[[#This Row],[Object name]]</f>
        <v>EP_002480 Collection per EP competence &gt; Transversal &gt; Systemic Align objectives strategically</v>
      </c>
      <c r="C73" t="str">
        <f>Table2[[#This Row],[Object identification code]]&amp;" "&amp;Table2[[#This Row],[Full catalogue path]]</f>
        <v>EP_002480 Collection per EP competence &gt; Transversal &gt; Systemic</v>
      </c>
      <c r="D73" t="s">
        <v>173</v>
      </c>
      <c r="E73" t="s">
        <v>174</v>
      </c>
      <c r="F73" t="s">
        <v>38</v>
      </c>
      <c r="L73" t="e">
        <f>VLOOKUP(Table2[[#This Row],[Helper colum]],Table1[],1,FALSE)</f>
        <v>#N/A</v>
      </c>
      <c r="M73" t="e">
        <f>VLOOKUP(Table2[[#This Row],[Column1]],#REF!,1,FALSE)</f>
        <v>#REF!</v>
      </c>
    </row>
    <row r="74" spans="1:13" ht="14.65">
      <c r="A74" t="s">
        <v>175</v>
      </c>
      <c r="B74" t="str">
        <f>Table2[[#This Row],[Object identification code]]&amp;" "&amp;Table2[[#This Row],[Full catalogue path]]&amp;" "&amp;Table2[[#This Row],[Object name]]</f>
        <v>EP_004380 Collection per EP competence &gt; Transversal &gt; Systemic Demonstrate intrapreneurship spirit</v>
      </c>
      <c r="C74" t="str">
        <f>Table2[[#This Row],[Object identification code]]&amp;" "&amp;Table2[[#This Row],[Full catalogue path]]</f>
        <v>EP_004380 Collection per EP competence &gt; Transversal &gt; Systemic</v>
      </c>
      <c r="D74" t="s">
        <v>173</v>
      </c>
      <c r="E74" t="s">
        <v>176</v>
      </c>
      <c r="F74" t="s">
        <v>38</v>
      </c>
      <c r="K74" s="1">
        <v>46027</v>
      </c>
      <c r="L74" t="e">
        <f>VLOOKUP(Table2[[#This Row],[Helper colum]],Table1[],1,FALSE)</f>
        <v>#N/A</v>
      </c>
      <c r="M74" t="e">
        <f>VLOOKUP(Table2[[#This Row],[Column1]],#REF!,1,FALSE)</f>
        <v>#REF!</v>
      </c>
    </row>
    <row r="75" spans="1:13" ht="14.65">
      <c r="A75" t="s">
        <v>177</v>
      </c>
      <c r="B75" t="str">
        <f>Table2[[#This Row],[Object identification code]]&amp;" "&amp;Table2[[#This Row],[Full catalogue path]]&amp;" "&amp;Table2[[#This Row],[Object name]]</f>
        <v>EP_002459 Collection per EP competence &gt; Transversal &gt; Systemic Demonstrate political sensitivity</v>
      </c>
      <c r="C75" t="str">
        <f>Table2[[#This Row],[Object identification code]]&amp;" "&amp;Table2[[#This Row],[Full catalogue path]]</f>
        <v>EP_002459 Collection per EP competence &gt; Transversal &gt; Systemic</v>
      </c>
      <c r="D75" t="s">
        <v>173</v>
      </c>
      <c r="E75" t="s">
        <v>178</v>
      </c>
      <c r="F75" t="s">
        <v>38</v>
      </c>
      <c r="K75" s="1">
        <v>45718</v>
      </c>
      <c r="L75" t="e">
        <f>VLOOKUP(Table2[[#This Row],[Helper colum]],Table1[],1,FALSE)</f>
        <v>#N/A</v>
      </c>
      <c r="M75" t="e">
        <f>VLOOKUP(Table2[[#This Row],[Column1]],#REF!,1,FALSE)</f>
        <v>#REF!</v>
      </c>
    </row>
    <row r="76" spans="1:13" ht="14.65">
      <c r="A76" t="s">
        <v>179</v>
      </c>
      <c r="B76" t="str">
        <f>Table2[[#This Row],[Object identification code]]&amp;" "&amp;Table2[[#This Row],[Full catalogue path]]&amp;" "&amp;Table2[[#This Row],[Object name]]</f>
        <v>EP_002679 Collection per EP competence &gt; Transversal &gt; Systemic Manage portfolio</v>
      </c>
      <c r="C76" t="str">
        <f>Table2[[#This Row],[Object identification code]]&amp;" "&amp;Table2[[#This Row],[Full catalogue path]]</f>
        <v>EP_002679 Collection per EP competence &gt; Transversal &gt; Systemic</v>
      </c>
      <c r="D76" t="s">
        <v>173</v>
      </c>
      <c r="E76" t="s">
        <v>180</v>
      </c>
      <c r="F76" t="s">
        <v>38</v>
      </c>
      <c r="K76" s="1">
        <v>46037</v>
      </c>
      <c r="L76" t="e">
        <f>VLOOKUP(Table2[[#This Row],[Helper colum]],Table1[],1,FALSE)</f>
        <v>#N/A</v>
      </c>
      <c r="M76" t="e">
        <f>VLOOKUP(Table2[[#This Row],[Column1]],#REF!,1,FALSE)</f>
        <v>#REF!</v>
      </c>
    </row>
    <row r="77" spans="1:13" ht="14.65">
      <c r="A77" t="s">
        <v>181</v>
      </c>
      <c r="B77" t="str">
        <f>Table2[[#This Row],[Object identification code]]&amp;" "&amp;Table2[[#This Row],[Full catalogue path]]&amp;" "&amp;Table2[[#This Row],[Object name]]</f>
        <v>EP_002579 Collection per EP competence &gt; Transversal &gt; Systemic Manage programme</v>
      </c>
      <c r="C77" t="str">
        <f>Table2[[#This Row],[Object identification code]]&amp;" "&amp;Table2[[#This Row],[Full catalogue path]]</f>
        <v>EP_002579 Collection per EP competence &gt; Transversal &gt; Systemic</v>
      </c>
      <c r="D77" t="s">
        <v>173</v>
      </c>
      <c r="E77" t="s">
        <v>182</v>
      </c>
      <c r="F77" t="s">
        <v>38</v>
      </c>
      <c r="K77" s="1">
        <v>45985</v>
      </c>
      <c r="L77" t="e">
        <f>VLOOKUP(Table2[[#This Row],[Helper colum]],Table1[],1,FALSE)</f>
        <v>#N/A</v>
      </c>
      <c r="M77" t="e">
        <f>VLOOKUP(Table2[[#This Row],[Column1]],#REF!,1,FALSE)</f>
        <v>#REF!</v>
      </c>
    </row>
    <row r="78" spans="1:13" ht="14.65">
      <c r="A78" t="s">
        <v>183</v>
      </c>
      <c r="B78" t="str">
        <f>Table2[[#This Row],[Object identification code]]&amp;" "&amp;Table2[[#This Row],[Full catalogue path]]&amp;" "&amp;Table2[[#This Row],[Object name]]</f>
        <v>EP_002483 Collection per EP competence &gt; Transversal &gt; Systemic Manage project</v>
      </c>
      <c r="C78" t="str">
        <f>Table2[[#This Row],[Object identification code]]&amp;" "&amp;Table2[[#This Row],[Full catalogue path]]</f>
        <v>EP_002483 Collection per EP competence &gt; Transversal &gt; Systemic</v>
      </c>
      <c r="D78" t="s">
        <v>173</v>
      </c>
      <c r="E78" t="s">
        <v>184</v>
      </c>
      <c r="F78" t="s">
        <v>38</v>
      </c>
      <c r="K78" s="1">
        <v>46029</v>
      </c>
      <c r="L78" t="e">
        <f>VLOOKUP(Table2[[#This Row],[Helper colum]],Table1[],1,FALSE)</f>
        <v>#N/A</v>
      </c>
      <c r="M78" t="e">
        <f>VLOOKUP(Table2[[#This Row],[Column1]],#REF!,1,FALSE)</f>
        <v>#REF!</v>
      </c>
    </row>
    <row r="79" spans="1:13" ht="14.65">
      <c r="A79" t="s">
        <v>185</v>
      </c>
      <c r="B79" t="str">
        <f>Table2[[#This Row],[Object identification code]]&amp;" "&amp;Table2[[#This Row],[Full catalogue path]]&amp;" "&amp;Table2[[#This Row],[Object name]]</f>
        <v>EP_004379 Collection per EP competence &gt; Transversal &gt; Systemic Think critically</v>
      </c>
      <c r="C79" t="str">
        <f>Table2[[#This Row],[Object identification code]]&amp;" "&amp;Table2[[#This Row],[Full catalogue path]]</f>
        <v>EP_004379 Collection per EP competence &gt; Transversal &gt; Systemic</v>
      </c>
      <c r="D79" t="s">
        <v>173</v>
      </c>
      <c r="E79" t="s">
        <v>186</v>
      </c>
      <c r="F79" t="s">
        <v>38</v>
      </c>
      <c r="K79" s="1">
        <v>45915</v>
      </c>
      <c r="L79" t="e">
        <f>VLOOKUP(Table2[[#This Row],[Helper colum]],Table1[],1,FALSE)</f>
        <v>#N/A</v>
      </c>
      <c r="M79" t="e">
        <f>VLOOKUP(Table2[[#This Row],[Column1]],#REF!,1,FALSE)</f>
        <v>#REF!</v>
      </c>
    </row>
    <row r="80" spans="1:13" ht="14.65">
      <c r="A80" t="s">
        <v>187</v>
      </c>
      <c r="B80" t="str">
        <f>Table2[[#This Row],[Object identification code]]&amp;" "&amp;Table2[[#This Row],[Full catalogue path]]&amp;" "&amp;Table2[[#This Row],[Object name]]</f>
        <v>EP_004520 Collection per EP competence &gt; Transversal &gt; Systemic Work systemically</v>
      </c>
      <c r="C80" t="str">
        <f>Table2[[#This Row],[Object identification code]]&amp;" "&amp;Table2[[#This Row],[Full catalogue path]]</f>
        <v>EP_004520 Collection per EP competence &gt; Transversal &gt; Systemic</v>
      </c>
      <c r="D80" t="s">
        <v>173</v>
      </c>
      <c r="E80" t="s">
        <v>188</v>
      </c>
      <c r="F80" t="s">
        <v>38</v>
      </c>
      <c r="K80" s="1">
        <v>45839</v>
      </c>
      <c r="L80" t="e">
        <f>VLOOKUP(Table2[[#This Row],[Helper colum]],Table1[],1,FALSE)</f>
        <v>#N/A</v>
      </c>
      <c r="M80" t="e">
        <f>VLOOKUP(Table2[[#This Row],[Column1]],#REF!,1,FALSE)</f>
        <v>#REF!</v>
      </c>
    </row>
    <row r="81" spans="1:13" ht="14.65">
      <c r="A81" t="s">
        <v>189</v>
      </c>
      <c r="B81" t="str">
        <f>Table2[[#This Row],[Object identification code]]&amp;" "&amp;Table2[[#This Row],[Full catalogue path]]&amp;" "&amp;Table2[[#This Row],[Object name]]</f>
        <v>038320-EP Communication competencies Back to school and university</v>
      </c>
      <c r="C81" t="str">
        <f>Table2[[#This Row],[Object identification code]]&amp;" "&amp;Table2[[#This Row],[Full catalogue path]]</f>
        <v>038320-EP Communication competencies</v>
      </c>
      <c r="D81" t="s">
        <v>190</v>
      </c>
      <c r="E81" t="s">
        <v>191</v>
      </c>
      <c r="F81" t="s">
        <v>21</v>
      </c>
      <c r="G81" t="s">
        <v>22</v>
      </c>
      <c r="H81">
        <v>48</v>
      </c>
      <c r="I81" s="2">
        <v>46196.375</v>
      </c>
      <c r="J81" s="2">
        <v>46196.541666666664</v>
      </c>
      <c r="K81" s="1">
        <v>46055</v>
      </c>
      <c r="L81" t="e">
        <f>VLOOKUP(Table2[[#This Row],[Helper colum]],Table1[],1,FALSE)</f>
        <v>#N/A</v>
      </c>
      <c r="M81" t="e">
        <f>VLOOKUP(Table2[[#This Row],[Column1]],#REF!,1,FALSE)</f>
        <v>#REF!</v>
      </c>
    </row>
    <row r="82" spans="1:13" ht="14.65">
      <c r="A82" t="s">
        <v>192</v>
      </c>
      <c r="B82" t="str">
        <f>Table2[[#This Row],[Object identification code]]&amp;" "&amp;Table2[[#This Row],[Full catalogue path]]&amp;" "&amp;Table2[[#This Row],[Object name]]</f>
        <v>065992-EP-0007-EN-GB Communication competencies Becoming a mentor</v>
      </c>
      <c r="C82" t="str">
        <f>Table2[[#This Row],[Object identification code]]&amp;" "&amp;Table2[[#This Row],[Full catalogue path]]</f>
        <v>065992-EP-0007-EN-GB Communication competencies</v>
      </c>
      <c r="D82" t="s">
        <v>190</v>
      </c>
      <c r="E82" t="s">
        <v>193</v>
      </c>
      <c r="F82" t="s">
        <v>16</v>
      </c>
      <c r="I82" s="2">
        <v>45932.375</v>
      </c>
      <c r="J82" s="2">
        <v>45932.708333333336</v>
      </c>
      <c r="K82" s="1">
        <v>45933</v>
      </c>
      <c r="L82" t="e">
        <f>VLOOKUP(Table2[[#This Row],[Helper colum]],Table1[],1,FALSE)</f>
        <v>#N/A</v>
      </c>
      <c r="M82" t="e">
        <f>VLOOKUP(Table2[[#This Row],[Column1]],#REF!,1,FALSE)</f>
        <v>#REF!</v>
      </c>
    </row>
    <row r="83" spans="1:13" ht="14.65">
      <c r="A83" t="s">
        <v>194</v>
      </c>
      <c r="B83" t="str">
        <f>Table2[[#This Row],[Object identification code]]&amp;" "&amp;Table2[[#This Row],[Full catalogue path]]&amp;" "&amp;Table2[[#This Row],[Object name]]</f>
        <v>069624-EP Communication competencies Brand Guidelines for the European Parliament's Administration</v>
      </c>
      <c r="C83" t="str">
        <f>Table2[[#This Row],[Object identification code]]&amp;" "&amp;Table2[[#This Row],[Full catalogue path]]</f>
        <v>069624-EP Communication competencies</v>
      </c>
      <c r="D83" t="s">
        <v>190</v>
      </c>
      <c r="E83" t="s">
        <v>195</v>
      </c>
      <c r="F83" t="s">
        <v>21</v>
      </c>
      <c r="G83" t="s">
        <v>25</v>
      </c>
      <c r="I83" s="2">
        <v>45667.333333333336</v>
      </c>
      <c r="J83" s="2">
        <v>47312.333333333336</v>
      </c>
      <c r="K83" s="1">
        <v>46052</v>
      </c>
      <c r="L83" t="e">
        <f>VLOOKUP(Table2[[#This Row],[Helper colum]],Table1[],1,FALSE)</f>
        <v>#N/A</v>
      </c>
      <c r="M83" t="e">
        <f>VLOOKUP(Table2[[#This Row],[Column1]],#REF!,1,FALSE)</f>
        <v>#REF!</v>
      </c>
    </row>
    <row r="84" spans="1:13" ht="14.65">
      <c r="A84" t="s">
        <v>196</v>
      </c>
      <c r="B84" t="str">
        <f>Table2[[#This Row],[Object identification code]]&amp;" "&amp;Table2[[#This Row],[Full catalogue path]]&amp;" "&amp;Table2[[#This Row],[Object name]]</f>
        <v>069175-EP Communication competencies Clear language essentials</v>
      </c>
      <c r="C84" t="str">
        <f>Table2[[#This Row],[Object identification code]]&amp;" "&amp;Table2[[#This Row],[Full catalogue path]]</f>
        <v>069175-EP Communication competencies</v>
      </c>
      <c r="D84" t="s">
        <v>190</v>
      </c>
      <c r="E84" t="s">
        <v>197</v>
      </c>
      <c r="F84" t="s">
        <v>21</v>
      </c>
      <c r="G84" t="s">
        <v>25</v>
      </c>
      <c r="I84" s="2">
        <v>45686.333333333336</v>
      </c>
      <c r="J84" s="2">
        <v>47330.333333333336</v>
      </c>
      <c r="K84" t="s">
        <v>198</v>
      </c>
      <c r="L84" t="e">
        <f>VLOOKUP(Table2[[#This Row],[Helper colum]],Table1[],1,FALSE)</f>
        <v>#N/A</v>
      </c>
      <c r="M84" t="e">
        <f>VLOOKUP(Table2[[#This Row],[Column1]],#REF!,1,FALSE)</f>
        <v>#REF!</v>
      </c>
    </row>
    <row r="85" spans="1:13" ht="14.65">
      <c r="A85" t="s">
        <v>199</v>
      </c>
      <c r="B85" t="str">
        <f>Table2[[#This Row],[Object identification code]]&amp;" "&amp;Table2[[#This Row],[Full catalogue path]]&amp;" "&amp;Table2[[#This Row],[Object name]]</f>
        <v>059822-EP Communication competencies Collective Story Harvesting – Stories of Application</v>
      </c>
      <c r="C85" t="str">
        <f>Table2[[#This Row],[Object identification code]]&amp;" "&amp;Table2[[#This Row],[Full catalogue path]]</f>
        <v>059822-EP Communication competencies</v>
      </c>
      <c r="D85" t="s">
        <v>190</v>
      </c>
      <c r="E85" t="s">
        <v>200</v>
      </c>
      <c r="F85" t="s">
        <v>21</v>
      </c>
      <c r="G85" t="s">
        <v>22</v>
      </c>
      <c r="H85">
        <v>38</v>
      </c>
      <c r="I85" s="2">
        <v>45372.583333333336</v>
      </c>
      <c r="J85" s="2">
        <v>45372.6875</v>
      </c>
      <c r="K85" s="1">
        <v>46049</v>
      </c>
      <c r="L85" t="e">
        <f>VLOOKUP(Table2[[#This Row],[Helper colum]],Table1[],1,FALSE)</f>
        <v>#N/A</v>
      </c>
      <c r="M85" t="e">
        <f>VLOOKUP(Table2[[#This Row],[Column1]],#REF!,1,FALSE)</f>
        <v>#REF!</v>
      </c>
    </row>
    <row r="86" spans="1:13" ht="14.65">
      <c r="A86" t="s">
        <v>201</v>
      </c>
      <c r="B86" t="str">
        <f>Table2[[#This Row],[Object identification code]]&amp;" "&amp;Table2[[#This Row],[Full catalogue path]]&amp;" "&amp;Table2[[#This Row],[Object name]]</f>
        <v>059800-EP Communication competencies Collective Storytelling Harvesting Design</v>
      </c>
      <c r="C86" t="str">
        <f>Table2[[#This Row],[Object identification code]]&amp;" "&amp;Table2[[#This Row],[Full catalogue path]]</f>
        <v>059800-EP Communication competencies</v>
      </c>
      <c r="D86" t="s">
        <v>190</v>
      </c>
      <c r="E86" t="s">
        <v>202</v>
      </c>
      <c r="F86" t="s">
        <v>21</v>
      </c>
      <c r="G86" t="s">
        <v>22</v>
      </c>
      <c r="H86">
        <v>20</v>
      </c>
      <c r="I86" s="2">
        <v>45372.395833333336</v>
      </c>
      <c r="J86" s="2">
        <v>45372.5</v>
      </c>
      <c r="K86" s="1">
        <v>45966</v>
      </c>
      <c r="L86" t="e">
        <f>VLOOKUP(Table2[[#This Row],[Helper colum]],Table1[],1,FALSE)</f>
        <v>#N/A</v>
      </c>
      <c r="M86" t="e">
        <f>VLOOKUP(Table2[[#This Row],[Column1]],#REF!,1,FALSE)</f>
        <v>#REF!</v>
      </c>
    </row>
    <row r="87" spans="1:13" ht="14.65">
      <c r="A87" t="s">
        <v>203</v>
      </c>
      <c r="B87" t="str">
        <f>Table2[[#This Row],[Object identification code]]&amp;" "&amp;Table2[[#This Row],[Full catalogue path]]&amp;" "&amp;Table2[[#This Row],[Object name]]</f>
        <v>070398-EP Communication competencies Conflict resolution</v>
      </c>
      <c r="C87" t="str">
        <f>Table2[[#This Row],[Object identification code]]&amp;" "&amp;Table2[[#This Row],[Full catalogue path]]</f>
        <v>070398-EP Communication competencies</v>
      </c>
      <c r="D87" t="s">
        <v>190</v>
      </c>
      <c r="E87" t="s">
        <v>204</v>
      </c>
      <c r="F87" t="s">
        <v>21</v>
      </c>
      <c r="G87" t="s">
        <v>25</v>
      </c>
      <c r="I87" s="2">
        <v>45729.333333333336</v>
      </c>
      <c r="J87" s="2">
        <v>47330.333333333336</v>
      </c>
      <c r="K87" t="s">
        <v>198</v>
      </c>
      <c r="L87" t="e">
        <f>VLOOKUP(Table2[[#This Row],[Helper colum]],Table1[],1,FALSE)</f>
        <v>#N/A</v>
      </c>
      <c r="M87" t="e">
        <f>VLOOKUP(Table2[[#This Row],[Column1]],#REF!,1,FALSE)</f>
        <v>#REF!</v>
      </c>
    </row>
    <row r="88" spans="1:13" ht="14.65">
      <c r="A88" t="s">
        <v>205</v>
      </c>
      <c r="B88" t="str">
        <f>Table2[[#This Row],[Object identification code]]&amp;" "&amp;Table2[[#This Row],[Full catalogue path]]&amp;" "&amp;Table2[[#This Row],[Object name]]</f>
        <v>057720-EP Communication competencies Continue the Conversation - a Circle Way Practice</v>
      </c>
      <c r="C88" t="str">
        <f>Table2[[#This Row],[Object identification code]]&amp;" "&amp;Table2[[#This Row],[Full catalogue path]]</f>
        <v>057720-EP Communication competencies</v>
      </c>
      <c r="D88" t="s">
        <v>190</v>
      </c>
      <c r="E88" t="s">
        <v>206</v>
      </c>
      <c r="F88" t="s">
        <v>21</v>
      </c>
      <c r="G88" t="s">
        <v>22</v>
      </c>
      <c r="H88">
        <v>6</v>
      </c>
      <c r="I88" s="2">
        <v>45371.395833333336</v>
      </c>
      <c r="J88" s="2">
        <v>45371.520833333336</v>
      </c>
      <c r="K88" s="1">
        <v>46034</v>
      </c>
      <c r="L88" t="e">
        <f>VLOOKUP(Table2[[#This Row],[Helper colum]],Table1[],1,FALSE)</f>
        <v>#N/A</v>
      </c>
      <c r="M88" t="e">
        <f>VLOOKUP(Table2[[#This Row],[Column1]],#REF!,1,FALSE)</f>
        <v>#REF!</v>
      </c>
    </row>
    <row r="89" spans="1:13" ht="14.65">
      <c r="A89" t="s">
        <v>207</v>
      </c>
      <c r="B89" t="str">
        <f>Table2[[#This Row],[Object identification code]]&amp;" "&amp;Table2[[#This Row],[Full catalogue path]]&amp;" "&amp;Table2[[#This Row],[Object name]]</f>
        <v>067601-EP Communication competencies Designing and delivering a team event</v>
      </c>
      <c r="C89" t="str">
        <f>Table2[[#This Row],[Object identification code]]&amp;" "&amp;Table2[[#This Row],[Full catalogue path]]</f>
        <v>067601-EP Communication competencies</v>
      </c>
      <c r="D89" t="s">
        <v>190</v>
      </c>
      <c r="E89" t="s">
        <v>208</v>
      </c>
      <c r="F89" t="s">
        <v>21</v>
      </c>
      <c r="G89" t="s">
        <v>22</v>
      </c>
      <c r="H89">
        <v>8</v>
      </c>
      <c r="I89" s="2">
        <v>45790.375</v>
      </c>
      <c r="J89" s="2">
        <v>45791.708333333336</v>
      </c>
      <c r="K89" s="1">
        <v>46037</v>
      </c>
      <c r="L89" t="e">
        <f>VLOOKUP(Table2[[#This Row],[Helper colum]],Table1[],1,FALSE)</f>
        <v>#N/A</v>
      </c>
      <c r="M89" t="e">
        <f>VLOOKUP(Table2[[#This Row],[Column1]],#REF!,1,FALSE)</f>
        <v>#REF!</v>
      </c>
    </row>
    <row r="90" spans="1:13" ht="14.65">
      <c r="A90" t="s">
        <v>209</v>
      </c>
      <c r="B90" t="str">
        <f>Table2[[#This Row],[Object identification code]]&amp;" "&amp;Table2[[#This Row],[Full catalogue path]]&amp;" "&amp;Table2[[#This Row],[Object name]]</f>
        <v>071969-EP Communication competencies Developing your personal brand</v>
      </c>
      <c r="C90" t="str">
        <f>Table2[[#This Row],[Object identification code]]&amp;" "&amp;Table2[[#This Row],[Full catalogue path]]</f>
        <v>071969-EP Communication competencies</v>
      </c>
      <c r="D90" t="s">
        <v>190</v>
      </c>
      <c r="E90" t="s">
        <v>210</v>
      </c>
      <c r="F90" t="s">
        <v>21</v>
      </c>
      <c r="G90" t="s">
        <v>22</v>
      </c>
      <c r="H90">
        <v>6</v>
      </c>
      <c r="I90" s="2">
        <v>45926.395833333336</v>
      </c>
      <c r="J90" s="2">
        <v>45926.520833333336</v>
      </c>
      <c r="K90" s="1">
        <v>46043</v>
      </c>
      <c r="L90" t="e">
        <f>VLOOKUP(Table2[[#This Row],[Helper colum]],Table1[],1,FALSE)</f>
        <v>#N/A</v>
      </c>
      <c r="M90" t="e">
        <f>VLOOKUP(Table2[[#This Row],[Column1]],#REF!,1,FALSE)</f>
        <v>#REF!</v>
      </c>
    </row>
    <row r="91" spans="1:13" ht="14.65">
      <c r="A91" t="s">
        <v>211</v>
      </c>
      <c r="B91" t="str">
        <f>Table2[[#This Row],[Object identification code]]&amp;" "&amp;Table2[[#This Row],[Full catalogue path]]&amp;" "&amp;Table2[[#This Row],[Object name]]</f>
        <v>072491-EP-0001-EN-GB Communication competencies Diplomatic protocol and etiquette</v>
      </c>
      <c r="C91" t="str">
        <f>Table2[[#This Row],[Object identification code]]&amp;" "&amp;Table2[[#This Row],[Full catalogue path]]</f>
        <v>072491-EP-0001-EN-GB Communication competencies</v>
      </c>
      <c r="D91" t="s">
        <v>190</v>
      </c>
      <c r="E91" t="s">
        <v>212</v>
      </c>
      <c r="F91" t="s">
        <v>16</v>
      </c>
      <c r="I91" s="2">
        <v>46002.395833333336</v>
      </c>
      <c r="J91" s="2">
        <v>46002.729166666664</v>
      </c>
      <c r="K91" s="1">
        <v>46048</v>
      </c>
      <c r="L91" t="e">
        <f>VLOOKUP(Table2[[#This Row],[Helper colum]],Table1[],1,FALSE)</f>
        <v>#N/A</v>
      </c>
      <c r="M91" t="e">
        <f>VLOOKUP(Table2[[#This Row],[Column1]],#REF!,1,FALSE)</f>
        <v>#REF!</v>
      </c>
    </row>
    <row r="92" spans="1:13" ht="14.65">
      <c r="A92" t="s">
        <v>213</v>
      </c>
      <c r="B92" t="str">
        <f>Table2[[#This Row],[Object identification code]]&amp;" "&amp;Table2[[#This Row],[Full catalogue path]]&amp;" "&amp;Table2[[#This Row],[Object name]]</f>
        <v>071122-EP Communication competencies Flow Game</v>
      </c>
      <c r="C92" t="str">
        <f>Table2[[#This Row],[Object identification code]]&amp;" "&amp;Table2[[#This Row],[Full catalogue path]]</f>
        <v>071122-EP Communication competencies</v>
      </c>
      <c r="D92" t="s">
        <v>190</v>
      </c>
      <c r="E92" t="s">
        <v>214</v>
      </c>
      <c r="F92" t="s">
        <v>21</v>
      </c>
      <c r="G92" t="s">
        <v>22</v>
      </c>
      <c r="H92">
        <v>11</v>
      </c>
      <c r="I92" s="2">
        <v>45827.583333333336</v>
      </c>
      <c r="J92" s="2">
        <v>45827.708333333336</v>
      </c>
      <c r="K92" s="1">
        <v>46043</v>
      </c>
      <c r="L92" t="e">
        <f>VLOOKUP(Table2[[#This Row],[Helper colum]],Table1[],1,FALSE)</f>
        <v>#N/A</v>
      </c>
      <c r="M92" t="e">
        <f>VLOOKUP(Table2[[#This Row],[Column1]],#REF!,1,FALSE)</f>
        <v>#REF!</v>
      </c>
    </row>
    <row r="93" spans="1:13" ht="14.65">
      <c r="A93" t="s">
        <v>215</v>
      </c>
      <c r="B93" t="str">
        <f>Table2[[#This Row],[Object identification code]]&amp;" "&amp;Table2[[#This Row],[Full catalogue path]]&amp;" "&amp;Table2[[#This Row],[Object name]]</f>
        <v>070083-EP Communication competencies Getting the most out of your feedback - umbrella</v>
      </c>
      <c r="C93" t="str">
        <f>Table2[[#This Row],[Object identification code]]&amp;" "&amp;Table2[[#This Row],[Full catalogue path]]</f>
        <v>070083-EP Communication competencies</v>
      </c>
      <c r="D93" t="s">
        <v>190</v>
      </c>
      <c r="E93" t="s">
        <v>216</v>
      </c>
      <c r="F93" t="s">
        <v>21</v>
      </c>
      <c r="G93" t="s">
        <v>25</v>
      </c>
      <c r="I93" s="2">
        <v>45729.333333333336</v>
      </c>
      <c r="J93" s="2">
        <v>47330.333333333336</v>
      </c>
      <c r="K93" t="s">
        <v>198</v>
      </c>
      <c r="L93" t="e">
        <f>VLOOKUP(Table2[[#This Row],[Helper colum]],Table1[],1,FALSE)</f>
        <v>#N/A</v>
      </c>
      <c r="M93" t="e">
        <f>VLOOKUP(Table2[[#This Row],[Column1]],#REF!,1,FALSE)</f>
        <v>#REF!</v>
      </c>
    </row>
    <row r="94" spans="1:13" ht="14.65">
      <c r="A94" t="s">
        <v>217</v>
      </c>
      <c r="B94" t="str">
        <f>Table2[[#This Row],[Object identification code]]&amp;" "&amp;Table2[[#This Row],[Full catalogue path]]&amp;" "&amp;Table2[[#This Row],[Object name]]</f>
        <v>062402-EP Communication competencies Guided tours of the European Parliament Contemporary Art Collection</v>
      </c>
      <c r="C94" t="str">
        <f>Table2[[#This Row],[Object identification code]]&amp;" "&amp;Table2[[#This Row],[Full catalogue path]]</f>
        <v>062402-EP Communication competencies</v>
      </c>
      <c r="D94" t="s">
        <v>190</v>
      </c>
      <c r="E94" t="s">
        <v>218</v>
      </c>
      <c r="F94" t="s">
        <v>21</v>
      </c>
      <c r="G94" t="s">
        <v>22</v>
      </c>
      <c r="H94">
        <v>20</v>
      </c>
      <c r="I94" s="2">
        <v>46100.5</v>
      </c>
      <c r="J94" s="2">
        <v>46100.53125</v>
      </c>
      <c r="K94" s="1">
        <v>46049</v>
      </c>
      <c r="L94" t="e">
        <f>VLOOKUP(Table2[[#This Row],[Helper colum]],Table1[],1,FALSE)</f>
        <v>#N/A</v>
      </c>
      <c r="M94" t="e">
        <f>VLOOKUP(Table2[[#This Row],[Column1]],#REF!,1,FALSE)</f>
        <v>#REF!</v>
      </c>
    </row>
    <row r="95" spans="1:13" ht="14.65">
      <c r="A95" t="s">
        <v>219</v>
      </c>
      <c r="B95" t="str">
        <f>Table2[[#This Row],[Object identification code]]&amp;" "&amp;Table2[[#This Row],[Full catalogue path]]&amp;" "&amp;Table2[[#This Row],[Object name]]</f>
        <v>070304-EP Communication competencies High impact data visualisation: from complex insights to engaging communication</v>
      </c>
      <c r="C95" t="str">
        <f>Table2[[#This Row],[Object identification code]]&amp;" "&amp;Table2[[#This Row],[Full catalogue path]]</f>
        <v>070304-EP Communication competencies</v>
      </c>
      <c r="D95" t="s">
        <v>190</v>
      </c>
      <c r="E95" t="s">
        <v>220</v>
      </c>
      <c r="F95" t="s">
        <v>21</v>
      </c>
      <c r="G95" t="s">
        <v>25</v>
      </c>
      <c r="I95" s="2">
        <v>45693.333333333336</v>
      </c>
      <c r="J95" s="2">
        <v>47330.333333333336</v>
      </c>
      <c r="K95" t="s">
        <v>198</v>
      </c>
      <c r="L95" t="e">
        <f>VLOOKUP(Table2[[#This Row],[Helper colum]],Table1[],1,FALSE)</f>
        <v>#N/A</v>
      </c>
      <c r="M95" t="e">
        <f>VLOOKUP(Table2[[#This Row],[Column1]],#REF!,1,FALSE)</f>
        <v>#REF!</v>
      </c>
    </row>
    <row r="96" spans="1:13" ht="14.65">
      <c r="A96" t="s">
        <v>221</v>
      </c>
      <c r="B96" t="str">
        <f>Table2[[#This Row],[Object identification code]]&amp;" "&amp;Table2[[#This Row],[Full catalogue path]]&amp;" "&amp;Table2[[#This Row],[Object name]]</f>
        <v xml:space="preserve">070473-EP Communication competencies How to self-organise a walk with your team </v>
      </c>
      <c r="C96" t="str">
        <f>Table2[[#This Row],[Object identification code]]&amp;" "&amp;Table2[[#This Row],[Full catalogue path]]</f>
        <v>070473-EP Communication competencies</v>
      </c>
      <c r="D96" t="s">
        <v>190</v>
      </c>
      <c r="E96" t="s">
        <v>222</v>
      </c>
      <c r="F96" t="s">
        <v>21</v>
      </c>
      <c r="G96" t="s">
        <v>25</v>
      </c>
      <c r="I96" s="2">
        <v>45789.5625</v>
      </c>
      <c r="J96" s="2">
        <v>45789.729166666664</v>
      </c>
      <c r="K96" s="1">
        <v>45790</v>
      </c>
      <c r="L96" t="e">
        <f>VLOOKUP(Table2[[#This Row],[Helper colum]],Table1[],1,FALSE)</f>
        <v>#N/A</v>
      </c>
      <c r="M96" t="e">
        <f>VLOOKUP(Table2[[#This Row],[Column1]],#REF!,1,FALSE)</f>
        <v>#REF!</v>
      </c>
    </row>
    <row r="97" spans="1:13" ht="14.65">
      <c r="A97" t="s">
        <v>223</v>
      </c>
      <c r="B97" t="str">
        <f>Table2[[#This Row],[Object identification code]]&amp;" "&amp;Table2[[#This Row],[Full catalogue path]]&amp;" "&amp;Table2[[#This Row],[Object name]]</f>
        <v>073002-EP TRAD-0001-EN-GB Communication competencies Iberian echoes in the EU – The linguistic legacy of Spanish and Portuguese after four decades as official EU languages (Online)</v>
      </c>
      <c r="C97" t="str">
        <f>Table2[[#This Row],[Object identification code]]&amp;" "&amp;Table2[[#This Row],[Full catalogue path]]</f>
        <v>073002-EP TRAD-0001-EN-GB Communication competencies</v>
      </c>
      <c r="D97" t="s">
        <v>190</v>
      </c>
      <c r="E97" t="s">
        <v>224</v>
      </c>
      <c r="F97" t="s">
        <v>16</v>
      </c>
      <c r="I97" s="2">
        <v>46051.583333333336</v>
      </c>
      <c r="J97" s="2">
        <v>46051.709027777775</v>
      </c>
      <c r="K97" s="1">
        <v>46055</v>
      </c>
      <c r="L97" t="e">
        <f>VLOOKUP(Table2[[#This Row],[Helper colum]],Table1[],1,FALSE)</f>
        <v>#N/A</v>
      </c>
      <c r="M97" t="e">
        <f>VLOOKUP(Table2[[#This Row],[Column1]],#REF!,1,FALSE)</f>
        <v>#REF!</v>
      </c>
    </row>
    <row r="98" spans="1:13" ht="14.65">
      <c r="A98" t="s">
        <v>225</v>
      </c>
      <c r="B98" t="str">
        <f>Table2[[#This Row],[Object identification code]]&amp;" "&amp;Table2[[#This Row],[Full catalogue path]]&amp;" "&amp;Table2[[#This Row],[Object name]]</f>
        <v>073003-EP TRAD-0001-EN-GB Communication competencies Iberian echoes in the EU – The linguistic legacy of Spanish and Portuguese after four decades as official EU languages (Onsite)</v>
      </c>
      <c r="C98" t="str">
        <f>Table2[[#This Row],[Object identification code]]&amp;" "&amp;Table2[[#This Row],[Full catalogue path]]</f>
        <v>073003-EP TRAD-0001-EN-GB Communication competencies</v>
      </c>
      <c r="D98" t="s">
        <v>190</v>
      </c>
      <c r="E98" t="s">
        <v>226</v>
      </c>
      <c r="F98" t="s">
        <v>16</v>
      </c>
      <c r="I98" s="2">
        <v>46051.583333333336</v>
      </c>
      <c r="J98" s="2">
        <v>46051.708333333336</v>
      </c>
      <c r="K98" s="1">
        <v>46055</v>
      </c>
      <c r="L98" t="e">
        <f>VLOOKUP(Table2[[#This Row],[Helper colum]],Table1[],1,FALSE)</f>
        <v>#N/A</v>
      </c>
      <c r="M98" t="e">
        <f>VLOOKUP(Table2[[#This Row],[Column1]],#REF!,1,FALSE)</f>
        <v>#REF!</v>
      </c>
    </row>
    <row r="99" spans="1:13" ht="14.65">
      <c r="A99" t="s">
        <v>227</v>
      </c>
      <c r="B99" t="str">
        <f>Table2[[#This Row],[Object identification code]]&amp;" "&amp;Table2[[#This Row],[Full catalogue path]]&amp;" "&amp;Table2[[#This Row],[Object name]]</f>
        <v>064464-EP Communication competencies Introduction to Diversity &amp; Inclusion at work</v>
      </c>
      <c r="C99" t="str">
        <f>Table2[[#This Row],[Object identification code]]&amp;" "&amp;Table2[[#This Row],[Full catalogue path]]</f>
        <v>064464-EP Communication competencies</v>
      </c>
      <c r="D99" t="s">
        <v>190</v>
      </c>
      <c r="E99" t="s">
        <v>228</v>
      </c>
      <c r="F99" t="s">
        <v>21</v>
      </c>
      <c r="G99" t="s">
        <v>22</v>
      </c>
      <c r="H99">
        <v>19</v>
      </c>
      <c r="I99" s="2">
        <v>46335.5625</v>
      </c>
      <c r="J99" s="2">
        <v>46335.708333333336</v>
      </c>
      <c r="K99" s="1">
        <v>46056</v>
      </c>
      <c r="L99" t="e">
        <f>VLOOKUP(Table2[[#This Row],[Helper colum]],Table1[],1,FALSE)</f>
        <v>#N/A</v>
      </c>
      <c r="M99" t="e">
        <f>VLOOKUP(Table2[[#This Row],[Column1]],#REF!,1,FALSE)</f>
        <v>#REF!</v>
      </c>
    </row>
    <row r="100" spans="1:13" ht="14.65">
      <c r="A100" t="s">
        <v>229</v>
      </c>
      <c r="B100" t="str">
        <f>Table2[[#This Row],[Object identification code]]&amp;" "&amp;Table2[[#This Row],[Full catalogue path]]&amp;" "&amp;Table2[[#This Row],[Object name]]</f>
        <v>EP_005399 Communication competencies Learning path to support walking events in the EP</v>
      </c>
      <c r="C100" t="str">
        <f>Table2[[#This Row],[Object identification code]]&amp;" "&amp;Table2[[#This Row],[Full catalogue path]]</f>
        <v>EP_005399 Communication competencies</v>
      </c>
      <c r="D100" t="s">
        <v>190</v>
      </c>
      <c r="E100" t="s">
        <v>230</v>
      </c>
      <c r="F100" t="s">
        <v>38</v>
      </c>
      <c r="K100" s="1">
        <v>46008</v>
      </c>
      <c r="L100" t="e">
        <f>VLOOKUP(Table2[[#This Row],[Helper colum]],Table1[],1,FALSE)</f>
        <v>#N/A</v>
      </c>
      <c r="M100" t="e">
        <f>VLOOKUP(Table2[[#This Row],[Column1]],#REF!,1,FALSE)</f>
        <v>#REF!</v>
      </c>
    </row>
    <row r="101" spans="1:13" ht="14.65">
      <c r="A101" t="s">
        <v>231</v>
      </c>
      <c r="B101" t="str">
        <f>Table2[[#This Row],[Object identification code]]&amp;" "&amp;Table2[[#This Row],[Full catalogue path]]&amp;" "&amp;Table2[[#This Row],[Object name]]</f>
        <v>EP_004440 Communication competencies Mentoring skills - learning pack</v>
      </c>
      <c r="C101" t="str">
        <f>Table2[[#This Row],[Object identification code]]&amp;" "&amp;Table2[[#This Row],[Full catalogue path]]</f>
        <v>EP_004440 Communication competencies</v>
      </c>
      <c r="D101" t="s">
        <v>190</v>
      </c>
      <c r="E101" t="s">
        <v>232</v>
      </c>
      <c r="F101" t="s">
        <v>38</v>
      </c>
      <c r="K101" s="1">
        <v>46050</v>
      </c>
      <c r="L101" t="e">
        <f>VLOOKUP(Table2[[#This Row],[Helper colum]],Table1[],1,FALSE)</f>
        <v>#N/A</v>
      </c>
      <c r="M101" t="e">
        <f>VLOOKUP(Table2[[#This Row],[Column1]],#REF!,1,FALSE)</f>
        <v>#REF!</v>
      </c>
    </row>
    <row r="102" spans="1:13" ht="14.65">
      <c r="A102" t="s">
        <v>233</v>
      </c>
      <c r="B102" t="str">
        <f>Table2[[#This Row],[Object identification code]]&amp;" "&amp;Table2[[#This Row],[Full catalogue path]]&amp;" "&amp;Table2[[#This Row],[Object name]]</f>
        <v>072920-EP TRAD-0001-EN-GB Communication competencies Multilingualism Talks – Multilingualism from a cognitive perspective</v>
      </c>
      <c r="C102" t="str">
        <f>Table2[[#This Row],[Object identification code]]&amp;" "&amp;Table2[[#This Row],[Full catalogue path]]</f>
        <v>072920-EP TRAD-0001-EN-GB Communication competencies</v>
      </c>
      <c r="D102" t="s">
        <v>190</v>
      </c>
      <c r="E102" t="s">
        <v>234</v>
      </c>
      <c r="F102" t="s">
        <v>16</v>
      </c>
      <c r="I102" s="2">
        <v>46037.708333333336</v>
      </c>
      <c r="J102" s="2">
        <v>46037.75</v>
      </c>
      <c r="K102" s="1">
        <v>46042</v>
      </c>
      <c r="L102" t="e">
        <f>VLOOKUP(Table2[[#This Row],[Helper colum]],Table1[],1,FALSE)</f>
        <v>#N/A</v>
      </c>
      <c r="M102" t="e">
        <f>VLOOKUP(Table2[[#This Row],[Column1]],#REF!,1,FALSE)</f>
        <v>#REF!</v>
      </c>
    </row>
    <row r="103" spans="1:13" ht="14.65">
      <c r="A103" t="s">
        <v>235</v>
      </c>
      <c r="B103" t="str">
        <f>Table2[[#This Row],[Object identification code]]&amp;" "&amp;Table2[[#This Row],[Full catalogue path]]&amp;" "&amp;Table2[[#This Row],[Object name]]</f>
        <v>070400-EP Communication competencies My presentation skills in virtual settings/presenting with impact</v>
      </c>
      <c r="C103" t="str">
        <f>Table2[[#This Row],[Object identification code]]&amp;" "&amp;Table2[[#This Row],[Full catalogue path]]</f>
        <v>070400-EP Communication competencies</v>
      </c>
      <c r="D103" t="s">
        <v>190</v>
      </c>
      <c r="E103" t="s">
        <v>236</v>
      </c>
      <c r="F103" t="s">
        <v>21</v>
      </c>
      <c r="G103" t="s">
        <v>25</v>
      </c>
      <c r="I103" s="2">
        <v>45729.333333333336</v>
      </c>
      <c r="J103" s="2">
        <v>47330.333333333336</v>
      </c>
      <c r="K103" t="s">
        <v>198</v>
      </c>
      <c r="L103" t="e">
        <f>VLOOKUP(Table2[[#This Row],[Helper colum]],Table1[],1,FALSE)</f>
        <v>#N/A</v>
      </c>
      <c r="M103" t="e">
        <f>VLOOKUP(Table2[[#This Row],[Column1]],#REF!,1,FALSE)</f>
        <v>#REF!</v>
      </c>
    </row>
    <row r="104" spans="1:13" ht="14.65">
      <c r="A104" t="s">
        <v>237</v>
      </c>
      <c r="B104" t="str">
        <f>Table2[[#This Row],[Object identification code]]&amp;" "&amp;Table2[[#This Row],[Full catalogue path]]&amp;" "&amp;Table2[[#This Row],[Object name]]</f>
        <v>070784-EP Communication competencies Online workshop facilitation: tools, flow, and best practices</v>
      </c>
      <c r="C104" t="str">
        <f>Table2[[#This Row],[Object identification code]]&amp;" "&amp;Table2[[#This Row],[Full catalogue path]]</f>
        <v>070784-EP Communication competencies</v>
      </c>
      <c r="D104" t="s">
        <v>190</v>
      </c>
      <c r="E104" t="s">
        <v>238</v>
      </c>
      <c r="F104" t="s">
        <v>21</v>
      </c>
      <c r="G104" t="s">
        <v>22</v>
      </c>
      <c r="H104">
        <v>6</v>
      </c>
      <c r="I104" s="2">
        <v>46106.395833333336</v>
      </c>
      <c r="J104" s="2">
        <v>46106.479166666664</v>
      </c>
      <c r="K104" s="1">
        <v>46056</v>
      </c>
      <c r="L104" t="e">
        <f>VLOOKUP(Table2[[#This Row],[Helper colum]],Table1[],1,FALSE)</f>
        <v>#N/A</v>
      </c>
      <c r="M104" t="e">
        <f>VLOOKUP(Table2[[#This Row],[Column1]],#REF!,1,FALSE)</f>
        <v>#REF!</v>
      </c>
    </row>
    <row r="105" spans="1:13" ht="14.65">
      <c r="A105" t="s">
        <v>239</v>
      </c>
      <c r="B105" t="str">
        <f>Table2[[#This Row],[Object identification code]]&amp;" "&amp;Table2[[#This Row],[Full catalogue path]]&amp;" "&amp;Table2[[#This Row],[Object name]]</f>
        <v>057440-EP Communication competencies PowerVisuals Basic</v>
      </c>
      <c r="C105" t="str">
        <f>Table2[[#This Row],[Object identification code]]&amp;" "&amp;Table2[[#This Row],[Full catalogue path]]</f>
        <v>057440-EP Communication competencies</v>
      </c>
      <c r="D105" t="s">
        <v>190</v>
      </c>
      <c r="E105" t="s">
        <v>240</v>
      </c>
      <c r="F105" t="s">
        <v>21</v>
      </c>
      <c r="G105" t="s">
        <v>22</v>
      </c>
      <c r="H105">
        <v>31</v>
      </c>
      <c r="I105" s="2">
        <v>45985.395833333336</v>
      </c>
      <c r="J105" s="2">
        <v>45985.708333333336</v>
      </c>
      <c r="K105" s="1">
        <v>46049</v>
      </c>
      <c r="L105" t="e">
        <f>VLOOKUP(Table2[[#This Row],[Helper colum]],Table1[],1,FALSE)</f>
        <v>#N/A</v>
      </c>
      <c r="M105" t="e">
        <f>VLOOKUP(Table2[[#This Row],[Column1]],#REF!,1,FALSE)</f>
        <v>#REF!</v>
      </c>
    </row>
    <row r="106" spans="1:13" ht="14.65">
      <c r="A106" t="s">
        <v>241</v>
      </c>
      <c r="B106" t="str">
        <f>Table2[[#This Row],[Object identification code]]&amp;" "&amp;Table2[[#This Row],[Full catalogue path]]&amp;" "&amp;Table2[[#This Row],[Object name]]</f>
        <v>071661-EP Communication competencies Public speaking : catching and keeping your audience attention</v>
      </c>
      <c r="C106" t="str">
        <f>Table2[[#This Row],[Object identification code]]&amp;" "&amp;Table2[[#This Row],[Full catalogue path]]</f>
        <v>071661-EP Communication competencies</v>
      </c>
      <c r="D106" t="s">
        <v>190</v>
      </c>
      <c r="E106" t="s">
        <v>242</v>
      </c>
      <c r="F106" t="s">
        <v>21</v>
      </c>
      <c r="G106" t="s">
        <v>22</v>
      </c>
      <c r="H106">
        <v>19</v>
      </c>
      <c r="I106" s="2">
        <v>46160.5625</v>
      </c>
      <c r="J106" s="2">
        <v>46160.71875</v>
      </c>
      <c r="K106" s="1">
        <v>46056</v>
      </c>
      <c r="L106" t="e">
        <f>VLOOKUP(Table2[[#This Row],[Helper colum]],Table1[],1,FALSE)</f>
        <v>#N/A</v>
      </c>
      <c r="M106" t="e">
        <f>VLOOKUP(Table2[[#This Row],[Column1]],#REF!,1,FALSE)</f>
        <v>#REF!</v>
      </c>
    </row>
    <row r="107" spans="1:13" ht="14.65">
      <c r="A107" t="s">
        <v>243</v>
      </c>
      <c r="B107" t="str">
        <f>Table2[[#This Row],[Object identification code]]&amp;" "&amp;Table2[[#This Row],[Full catalogue path]]&amp;" "&amp;Table2[[#This Row],[Object name]]</f>
        <v>071080-EP Communication competencies Tough talks - Mastering the Art of Difficult Conversations</v>
      </c>
      <c r="C107" t="str">
        <f>Table2[[#This Row],[Object identification code]]&amp;" "&amp;Table2[[#This Row],[Full catalogue path]]</f>
        <v>071080-EP Communication competencies</v>
      </c>
      <c r="D107" t="s">
        <v>190</v>
      </c>
      <c r="E107" t="s">
        <v>244</v>
      </c>
      <c r="F107" t="s">
        <v>21</v>
      </c>
      <c r="G107" t="s">
        <v>22</v>
      </c>
      <c r="H107">
        <v>30</v>
      </c>
      <c r="I107" s="2">
        <v>46169.375</v>
      </c>
      <c r="J107" s="2">
        <v>46169.541666666664</v>
      </c>
      <c r="K107" s="1">
        <v>46056</v>
      </c>
      <c r="L107" t="e">
        <f>VLOOKUP(Table2[[#This Row],[Helper colum]],Table1[],1,FALSE)</f>
        <v>#N/A</v>
      </c>
      <c r="M107" t="e">
        <f>VLOOKUP(Table2[[#This Row],[Column1]],#REF!,1,FALSE)</f>
        <v>#REF!</v>
      </c>
    </row>
    <row r="108" spans="1:13" ht="14.65">
      <c r="A108" t="s">
        <v>245</v>
      </c>
      <c r="B108" t="str">
        <f>Table2[[#This Row],[Object identification code]]&amp;" "&amp;Table2[[#This Row],[Full catalogue path]]&amp;" "&amp;Table2[[#This Row],[Object name]]</f>
        <v>068080-EP Communication competencies Train the Trainer</v>
      </c>
      <c r="C108" t="str">
        <f>Table2[[#This Row],[Object identification code]]&amp;" "&amp;Table2[[#This Row],[Full catalogue path]]</f>
        <v>068080-EP Communication competencies</v>
      </c>
      <c r="D108" t="s">
        <v>190</v>
      </c>
      <c r="E108" t="s">
        <v>246</v>
      </c>
      <c r="F108" t="s">
        <v>21</v>
      </c>
      <c r="G108" t="s">
        <v>22</v>
      </c>
      <c r="H108">
        <v>12</v>
      </c>
      <c r="I108" s="2">
        <v>46202.395833333336</v>
      </c>
      <c r="J108" s="2">
        <v>46202.729166666664</v>
      </c>
      <c r="K108" s="1">
        <v>46055</v>
      </c>
      <c r="L108" t="e">
        <f>VLOOKUP(Table2[[#This Row],[Helper colum]],Table1[],1,FALSE)</f>
        <v>#N/A</v>
      </c>
      <c r="M108" t="e">
        <f>VLOOKUP(Table2[[#This Row],[Column1]],#REF!,1,FALSE)</f>
        <v>#REF!</v>
      </c>
    </row>
    <row r="109" spans="1:13" ht="14.65">
      <c r="A109" t="s">
        <v>247</v>
      </c>
      <c r="B109" t="str">
        <f>Table2[[#This Row],[Object identification code]]&amp;" "&amp;Table2[[#This Row],[Full catalogue path]]&amp;" "&amp;Table2[[#This Row],[Object name]]</f>
        <v>073542-EP Communication competencies Train the Trainer</v>
      </c>
      <c r="C109" t="str">
        <f>Table2[[#This Row],[Object identification code]]&amp;" "&amp;Table2[[#This Row],[Full catalogue path]]</f>
        <v>073542-EP Communication competencies</v>
      </c>
      <c r="D109" t="s">
        <v>190</v>
      </c>
      <c r="E109" t="s">
        <v>246</v>
      </c>
      <c r="F109" t="s">
        <v>21</v>
      </c>
      <c r="G109" t="s">
        <v>25</v>
      </c>
      <c r="I109" s="2">
        <v>46324.375</v>
      </c>
      <c r="J109" s="2">
        <v>46324.708333333336</v>
      </c>
      <c r="K109" t="s">
        <v>198</v>
      </c>
      <c r="L109" t="e">
        <f>VLOOKUP(Table2[[#This Row],[Helper colum]],Table1[],1,FALSE)</f>
        <v>#N/A</v>
      </c>
      <c r="M109" t="e">
        <f>VLOOKUP(Table2[[#This Row],[Column1]],#REF!,1,FALSE)</f>
        <v>#REF!</v>
      </c>
    </row>
    <row r="110" spans="1:13" ht="14.65">
      <c r="A110" t="s">
        <v>248</v>
      </c>
      <c r="B110" t="str">
        <f>Table2[[#This Row],[Object identification code]]&amp;" "&amp;Table2[[#This Row],[Full catalogue path]]&amp;" "&amp;Table2[[#This Row],[Object name]]</f>
        <v>070397-EP Communication competencies Unconscious bias</v>
      </c>
      <c r="C110" t="str">
        <f>Table2[[#This Row],[Object identification code]]&amp;" "&amp;Table2[[#This Row],[Full catalogue path]]</f>
        <v>070397-EP Communication competencies</v>
      </c>
      <c r="D110" t="s">
        <v>190</v>
      </c>
      <c r="E110" t="s">
        <v>249</v>
      </c>
      <c r="F110" t="s">
        <v>21</v>
      </c>
      <c r="G110" t="s">
        <v>25</v>
      </c>
      <c r="I110" s="2">
        <v>45729.333333333336</v>
      </c>
      <c r="J110" s="2">
        <v>47207.333333333336</v>
      </c>
      <c r="K110" t="s">
        <v>198</v>
      </c>
      <c r="L110" t="e">
        <f>VLOOKUP(Table2[[#This Row],[Helper colum]],Table1[],1,FALSE)</f>
        <v>#N/A</v>
      </c>
      <c r="M110" t="e">
        <f>VLOOKUP(Table2[[#This Row],[Column1]],#REF!,1,FALSE)</f>
        <v>#REF!</v>
      </c>
    </row>
    <row r="111" spans="1:13" ht="14.65">
      <c r="A111" t="s">
        <v>250</v>
      </c>
      <c r="B111" t="str">
        <f>Table2[[#This Row],[Object identification code]]&amp;" "&amp;Table2[[#This Row],[Full catalogue path]]&amp;" "&amp;Table2[[#This Row],[Object name]]</f>
        <v>071623-EP Communication competencies Voice Techniques for Clear Communication</v>
      </c>
      <c r="C111" t="str">
        <f>Table2[[#This Row],[Object identification code]]&amp;" "&amp;Table2[[#This Row],[Full catalogue path]]</f>
        <v>071623-EP Communication competencies</v>
      </c>
      <c r="D111" t="s">
        <v>190</v>
      </c>
      <c r="E111" t="s">
        <v>251</v>
      </c>
      <c r="F111" t="s">
        <v>21</v>
      </c>
      <c r="G111" t="s">
        <v>22</v>
      </c>
      <c r="H111">
        <v>16</v>
      </c>
      <c r="I111" s="2">
        <v>46161.375</v>
      </c>
      <c r="J111" s="2">
        <v>46161.708333333336</v>
      </c>
      <c r="K111" s="1">
        <v>46056</v>
      </c>
      <c r="L111" t="e">
        <f>VLOOKUP(Table2[[#This Row],[Helper colum]],Table1[],1,FALSE)</f>
        <v>#N/A</v>
      </c>
      <c r="M111" t="e">
        <f>VLOOKUP(Table2[[#This Row],[Column1]],#REF!,1,FALSE)</f>
        <v>#REF!</v>
      </c>
    </row>
    <row r="112" spans="1:13" ht="14.65">
      <c r="A112" t="s">
        <v>252</v>
      </c>
      <c r="B112" t="str">
        <f>Table2[[#This Row],[Object identification code]]&amp;" "&amp;Table2[[#This Row],[Full catalogue path]]&amp;" "&amp;Table2[[#This Row],[Object name]]</f>
        <v>049426-LT-0020-EN-GB Communication competencies Working with different generations</v>
      </c>
      <c r="C112" t="str">
        <f>Table2[[#This Row],[Object identification code]]&amp;" "&amp;Table2[[#This Row],[Full catalogue path]]</f>
        <v>049426-LT-0020-EN-GB Communication competencies</v>
      </c>
      <c r="D112" t="s">
        <v>190</v>
      </c>
      <c r="E112" t="s">
        <v>253</v>
      </c>
      <c r="F112" t="s">
        <v>16</v>
      </c>
      <c r="I112" t="s">
        <v>17</v>
      </c>
      <c r="K112" s="1">
        <v>46050</v>
      </c>
      <c r="L112" t="e">
        <f>VLOOKUP(Table2[[#This Row],[Helper colum]],Table1[],1,FALSE)</f>
        <v>#N/A</v>
      </c>
      <c r="M112" t="e">
        <f>VLOOKUP(Table2[[#This Row],[Column1]],#REF!,1,FALSE)</f>
        <v>#REF!</v>
      </c>
    </row>
    <row r="113" spans="1:13" ht="14.65">
      <c r="A113" t="s">
        <v>254</v>
      </c>
      <c r="B113" t="str">
        <f>Table2[[#This Row],[Object identification code]]&amp;" "&amp;Table2[[#This Row],[Full catalogue path]]&amp;" "&amp;Table2[[#This Row],[Object name]]</f>
        <v>070014-EP Digital competencies &gt; Accessibility Accessible Forms in Acrobat Pro Online</v>
      </c>
      <c r="C113" t="str">
        <f>Table2[[#This Row],[Object identification code]]&amp;" "&amp;Table2[[#This Row],[Full catalogue path]]</f>
        <v>070014-EP Digital competencies &gt; Accessibility</v>
      </c>
      <c r="D113" t="s">
        <v>255</v>
      </c>
      <c r="E113" t="s">
        <v>256</v>
      </c>
      <c r="F113" t="s">
        <v>21</v>
      </c>
      <c r="G113" t="s">
        <v>22</v>
      </c>
      <c r="H113">
        <v>3</v>
      </c>
      <c r="I113" s="2">
        <v>45826.375</v>
      </c>
      <c r="J113" s="2">
        <v>45826.520833333336</v>
      </c>
      <c r="K113" s="1">
        <v>45910</v>
      </c>
      <c r="L113" t="e">
        <f>VLOOKUP(Table2[[#This Row],[Helper colum]],Table1[],1,FALSE)</f>
        <v>#N/A</v>
      </c>
      <c r="M113" t="e">
        <f>VLOOKUP(Table2[[#This Row],[Column1]],#REF!,1,FALSE)</f>
        <v>#REF!</v>
      </c>
    </row>
    <row r="114" spans="1:13" ht="14.65">
      <c r="A114" t="s">
        <v>257</v>
      </c>
      <c r="B114" t="str">
        <f>Table2[[#This Row],[Object identification code]]&amp;" "&amp;Table2[[#This Row],[Full catalogue path]]&amp;" "&amp;Table2[[#This Row],[Object name]]</f>
        <v>070016-EP Digital competencies &gt; Accessibility Accessible Forms in InDesign Online</v>
      </c>
      <c r="C114" t="str">
        <f>Table2[[#This Row],[Object identification code]]&amp;" "&amp;Table2[[#This Row],[Full catalogue path]]</f>
        <v>070016-EP Digital competencies &gt; Accessibility</v>
      </c>
      <c r="D114" t="s">
        <v>255</v>
      </c>
      <c r="E114" t="s">
        <v>258</v>
      </c>
      <c r="F114" t="s">
        <v>21</v>
      </c>
      <c r="G114" t="s">
        <v>22</v>
      </c>
      <c r="H114">
        <v>3</v>
      </c>
      <c r="I114" s="2">
        <v>45912.375</v>
      </c>
      <c r="J114" s="2">
        <v>45912.520833333336</v>
      </c>
      <c r="K114" s="1">
        <v>45903</v>
      </c>
      <c r="L114" t="e">
        <f>VLOOKUP(Table2[[#This Row],[Helper colum]],Table1[],1,FALSE)</f>
        <v>#N/A</v>
      </c>
      <c r="M114" t="e">
        <f>VLOOKUP(Table2[[#This Row],[Column1]],#REF!,1,FALSE)</f>
        <v>#REF!</v>
      </c>
    </row>
    <row r="115" spans="1:13" ht="14.65">
      <c r="A115" t="s">
        <v>259</v>
      </c>
      <c r="B115" t="str">
        <f>Table2[[#This Row],[Object identification code]]&amp;" "&amp;Table2[[#This Row],[Full catalogue path]]&amp;" "&amp;Table2[[#This Row],[Object name]]</f>
        <v>070011-EP Digital competencies &gt; Accessibility Accessible Forms in Word Online</v>
      </c>
      <c r="C115" t="str">
        <f>Table2[[#This Row],[Object identification code]]&amp;" "&amp;Table2[[#This Row],[Full catalogue path]]</f>
        <v>070011-EP Digital competencies &gt; Accessibility</v>
      </c>
      <c r="D115" t="s">
        <v>255</v>
      </c>
      <c r="E115" t="s">
        <v>260</v>
      </c>
      <c r="F115" t="s">
        <v>21</v>
      </c>
      <c r="G115" t="s">
        <v>22</v>
      </c>
      <c r="H115">
        <v>9</v>
      </c>
      <c r="I115" s="2">
        <v>45915.375</v>
      </c>
      <c r="J115" s="2">
        <v>45915.520833333336</v>
      </c>
      <c r="K115" s="1">
        <v>46051</v>
      </c>
      <c r="L115" t="e">
        <f>VLOOKUP(Table2[[#This Row],[Helper colum]],Table1[],1,FALSE)</f>
        <v>#N/A</v>
      </c>
      <c r="M115" t="e">
        <f>VLOOKUP(Table2[[#This Row],[Column1]],#REF!,1,FALSE)</f>
        <v>#REF!</v>
      </c>
    </row>
    <row r="116" spans="1:13" ht="14.65">
      <c r="A116" t="s">
        <v>261</v>
      </c>
      <c r="B116" t="str">
        <f>Table2[[#This Row],[Object identification code]]&amp;" "&amp;Table2[[#This Row],[Full catalogue path]]&amp;" "&amp;Table2[[#This Row],[Object name]]</f>
        <v>054148-EP Digital competencies &gt; Accessibility Accessible InDesign</v>
      </c>
      <c r="C116" t="str">
        <f>Table2[[#This Row],[Object identification code]]&amp;" "&amp;Table2[[#This Row],[Full catalogue path]]</f>
        <v>054148-EP Digital competencies &gt; Accessibility</v>
      </c>
      <c r="D116" t="s">
        <v>255</v>
      </c>
      <c r="E116" t="s">
        <v>262</v>
      </c>
      <c r="F116" t="s">
        <v>21</v>
      </c>
      <c r="G116" t="s">
        <v>22</v>
      </c>
      <c r="H116">
        <v>29</v>
      </c>
      <c r="I116" s="2">
        <v>45911.375</v>
      </c>
      <c r="J116" s="2">
        <v>45911.520833333336</v>
      </c>
      <c r="K116" s="1">
        <v>45929</v>
      </c>
      <c r="L116" t="e">
        <f>VLOOKUP(Table2[[#This Row],[Helper colum]],Table1[],1,FALSE)</f>
        <v>#N/A</v>
      </c>
      <c r="M116" t="e">
        <f>VLOOKUP(Table2[[#This Row],[Column1]],#REF!,1,FALSE)</f>
        <v>#REF!</v>
      </c>
    </row>
    <row r="117" spans="1:13" ht="14.65">
      <c r="A117" t="s">
        <v>263</v>
      </c>
      <c r="B117" t="str">
        <f>Table2[[#This Row],[Object identification code]]&amp;" "&amp;Table2[[#This Row],[Full catalogue path]]&amp;" "&amp;Table2[[#This Row],[Object name]]</f>
        <v>053341-EP Digital competencies &gt; Accessibility Accessible PDF (part 1) - online</v>
      </c>
      <c r="C117" t="str">
        <f>Table2[[#This Row],[Object identification code]]&amp;" "&amp;Table2[[#This Row],[Full catalogue path]]</f>
        <v>053341-EP Digital competencies &gt; Accessibility</v>
      </c>
      <c r="D117" t="s">
        <v>255</v>
      </c>
      <c r="E117" t="s">
        <v>264</v>
      </c>
      <c r="F117" t="s">
        <v>21</v>
      </c>
      <c r="G117" t="s">
        <v>22</v>
      </c>
      <c r="H117">
        <v>30</v>
      </c>
      <c r="I117" s="2">
        <v>45908.375</v>
      </c>
      <c r="J117" s="2">
        <v>45908.520833333336</v>
      </c>
      <c r="K117" s="1">
        <v>46000</v>
      </c>
      <c r="L117" t="e">
        <f>VLOOKUP(Table2[[#This Row],[Helper colum]],Table1[],1,FALSE)</f>
        <v>#N/A</v>
      </c>
      <c r="M117" t="e">
        <f>VLOOKUP(Table2[[#This Row],[Column1]],#REF!,1,FALSE)</f>
        <v>#REF!</v>
      </c>
    </row>
    <row r="118" spans="1:13" ht="14.65">
      <c r="A118" t="s">
        <v>265</v>
      </c>
      <c r="B118" t="str">
        <f>Table2[[#This Row],[Object identification code]]&amp;" "&amp;Table2[[#This Row],[Full catalogue path]]&amp;" "&amp;Table2[[#This Row],[Object name]]</f>
        <v>054008-EP Digital competencies &gt; Accessibility Accessible PDF (part 2) - online</v>
      </c>
      <c r="C118" t="str">
        <f>Table2[[#This Row],[Object identification code]]&amp;" "&amp;Table2[[#This Row],[Full catalogue path]]</f>
        <v>054008-EP Digital competencies &gt; Accessibility</v>
      </c>
      <c r="D118" t="s">
        <v>255</v>
      </c>
      <c r="E118" t="s">
        <v>266</v>
      </c>
      <c r="F118" t="s">
        <v>21</v>
      </c>
      <c r="G118" t="s">
        <v>22</v>
      </c>
      <c r="H118">
        <v>12</v>
      </c>
      <c r="I118" s="2">
        <v>45909.375</v>
      </c>
      <c r="J118" s="2">
        <v>45909.520833333336</v>
      </c>
      <c r="K118" s="1">
        <v>45909</v>
      </c>
      <c r="L118" t="e">
        <f>VLOOKUP(Table2[[#This Row],[Helper colum]],Table1[],1,FALSE)</f>
        <v>#N/A</v>
      </c>
      <c r="M118" t="e">
        <f>VLOOKUP(Table2[[#This Row],[Column1]],#REF!,1,FALSE)</f>
        <v>#REF!</v>
      </c>
    </row>
    <row r="119" spans="1:13" ht="14.65">
      <c r="A119" t="s">
        <v>267</v>
      </c>
      <c r="B119" t="str">
        <f>Table2[[#This Row],[Object identification code]]&amp;" "&amp;Table2[[#This Row],[Full catalogue path]]&amp;" "&amp;Table2[[#This Row],[Object name]]</f>
        <v>054007-EP Digital competencies &gt; Accessibility Accessible PowerPoint - online</v>
      </c>
      <c r="C119" t="str">
        <f>Table2[[#This Row],[Object identification code]]&amp;" "&amp;Table2[[#This Row],[Full catalogue path]]</f>
        <v>054007-EP Digital competencies &gt; Accessibility</v>
      </c>
      <c r="D119" t="s">
        <v>255</v>
      </c>
      <c r="E119" t="s">
        <v>268</v>
      </c>
      <c r="F119" t="s">
        <v>21</v>
      </c>
      <c r="G119" t="s">
        <v>22</v>
      </c>
      <c r="H119">
        <v>32</v>
      </c>
      <c r="I119" s="2">
        <v>45905.375</v>
      </c>
      <c r="J119" s="2">
        <v>45905.520833333336</v>
      </c>
      <c r="K119" s="1">
        <v>45967</v>
      </c>
      <c r="L119" t="e">
        <f>VLOOKUP(Table2[[#This Row],[Helper colum]],Table1[],1,FALSE)</f>
        <v>#N/A</v>
      </c>
      <c r="M119" t="e">
        <f>VLOOKUP(Table2[[#This Row],[Column1]],#REF!,1,FALSE)</f>
        <v>#REF!</v>
      </c>
    </row>
    <row r="120" spans="1:13" ht="14.65">
      <c r="A120" t="s">
        <v>269</v>
      </c>
      <c r="B120" t="str">
        <f>Table2[[#This Row],[Object identification code]]&amp;" "&amp;Table2[[#This Row],[Full catalogue path]]&amp;" "&amp;Table2[[#This Row],[Object name]]</f>
        <v>053340-EP Digital competencies &gt; Accessibility Accessible Word - online</v>
      </c>
      <c r="C120" t="str">
        <f>Table2[[#This Row],[Object identification code]]&amp;" "&amp;Table2[[#This Row],[Full catalogue path]]</f>
        <v>053340-EP Digital competencies &gt; Accessibility</v>
      </c>
      <c r="D120" t="s">
        <v>255</v>
      </c>
      <c r="E120" t="s">
        <v>270</v>
      </c>
      <c r="F120" t="s">
        <v>21</v>
      </c>
      <c r="G120" t="s">
        <v>22</v>
      </c>
      <c r="H120">
        <v>41</v>
      </c>
      <c r="I120" s="2">
        <v>45903.375</v>
      </c>
      <c r="J120" s="2">
        <v>45903.520833333336</v>
      </c>
      <c r="K120" s="1">
        <v>46043</v>
      </c>
      <c r="L120" t="e">
        <f>VLOOKUP(Table2[[#This Row],[Helper colum]],Table1[],1,FALSE)</f>
        <v>#N/A</v>
      </c>
      <c r="M120" t="e">
        <f>VLOOKUP(Table2[[#This Row],[Column1]],#REF!,1,FALSE)</f>
        <v>#REF!</v>
      </c>
    </row>
    <row r="121" spans="1:13" ht="14.65">
      <c r="A121" t="s">
        <v>271</v>
      </c>
      <c r="B121" t="str">
        <f>Table2[[#This Row],[Object identification code]]&amp;" "&amp;Table2[[#This Row],[Full catalogue path]]&amp;" "&amp;Table2[[#This Row],[Object name]]</f>
        <v>028440-OP Digital competencies &gt; Accessibility DLP: Accessible digital publications – An introduction to accessibility CURRENT</v>
      </c>
      <c r="C121" t="str">
        <f>Table2[[#This Row],[Object identification code]]&amp;" "&amp;Table2[[#This Row],[Full catalogue path]]</f>
        <v>028440-OP Digital competencies &gt; Accessibility</v>
      </c>
      <c r="D121" t="s">
        <v>255</v>
      </c>
      <c r="E121" t="s">
        <v>272</v>
      </c>
      <c r="F121" t="s">
        <v>21</v>
      </c>
      <c r="G121" t="s">
        <v>22</v>
      </c>
      <c r="H121">
        <v>102</v>
      </c>
      <c r="I121" s="2">
        <v>46185.416666666664</v>
      </c>
      <c r="J121" s="2">
        <v>46185.479166666664</v>
      </c>
      <c r="K121" s="1">
        <v>46055</v>
      </c>
      <c r="L121" t="e">
        <f>VLOOKUP(Table2[[#This Row],[Helper colum]],Table1[],1,FALSE)</f>
        <v>#N/A</v>
      </c>
      <c r="M121" t="e">
        <f>VLOOKUP(Table2[[#This Row],[Column1]],#REF!,1,FALSE)</f>
        <v>#REF!</v>
      </c>
    </row>
    <row r="122" spans="1:13" ht="14.65">
      <c r="A122" t="s">
        <v>273</v>
      </c>
      <c r="B122" t="str">
        <f>Table2[[#This Row],[Object identification code]]&amp;" "&amp;Table2[[#This Row],[Full catalogue path]]&amp;" "&amp;Table2[[#This Row],[Object name]]</f>
        <v>024900-OP Digital competencies &gt; Accessibility DLP: Accessible digital publications – Checking PDFs - CURRENT</v>
      </c>
      <c r="C122" t="str">
        <f>Table2[[#This Row],[Object identification code]]&amp;" "&amp;Table2[[#This Row],[Full catalogue path]]</f>
        <v>024900-OP Digital competencies &gt; Accessibility</v>
      </c>
      <c r="D122" t="s">
        <v>255</v>
      </c>
      <c r="E122" t="s">
        <v>274</v>
      </c>
      <c r="F122" t="s">
        <v>21</v>
      </c>
      <c r="G122" t="s">
        <v>22</v>
      </c>
      <c r="H122">
        <v>73</v>
      </c>
      <c r="I122" s="2">
        <v>46308.416666666664</v>
      </c>
      <c r="J122" s="2">
        <v>46308.479166666664</v>
      </c>
      <c r="K122" s="1">
        <v>46055</v>
      </c>
      <c r="L122" t="e">
        <f>VLOOKUP(Table2[[#This Row],[Helper colum]],Table1[],1,FALSE)</f>
        <v>#N/A</v>
      </c>
      <c r="M122" t="e">
        <f>VLOOKUP(Table2[[#This Row],[Column1]],#REF!,1,FALSE)</f>
        <v>#REF!</v>
      </c>
    </row>
    <row r="123" spans="1:13" ht="14.65">
      <c r="A123" t="s">
        <v>275</v>
      </c>
      <c r="B123" t="str">
        <f>Table2[[#This Row],[Object identification code]]&amp;" "&amp;Table2[[#This Row],[Full catalogue path]]&amp;" "&amp;Table2[[#This Row],[Object name]]</f>
        <v>024901-OP Digital competencies &gt; Accessibility DLP: Accessible digital publications – MS Word - CURRENT</v>
      </c>
      <c r="C123" t="str">
        <f>Table2[[#This Row],[Object identification code]]&amp;" "&amp;Table2[[#This Row],[Full catalogue path]]</f>
        <v>024901-OP Digital competencies &gt; Accessibility</v>
      </c>
      <c r="D123" t="s">
        <v>255</v>
      </c>
      <c r="E123" t="s">
        <v>276</v>
      </c>
      <c r="F123" t="s">
        <v>21</v>
      </c>
      <c r="G123" t="s">
        <v>22</v>
      </c>
      <c r="H123">
        <v>59</v>
      </c>
      <c r="I123" s="2">
        <v>46315.416666666664</v>
      </c>
      <c r="J123" s="2">
        <v>46315.479166666664</v>
      </c>
      <c r="K123" s="1">
        <v>46055</v>
      </c>
      <c r="L123" t="e">
        <f>VLOOKUP(Table2[[#This Row],[Helper colum]],Table1[],1,FALSE)</f>
        <v>#N/A</v>
      </c>
      <c r="M123" t="e">
        <f>VLOOKUP(Table2[[#This Row],[Column1]],#REF!,1,FALSE)</f>
        <v>#REF!</v>
      </c>
    </row>
    <row r="124" spans="1:13" ht="14.65">
      <c r="A124" t="s">
        <v>277</v>
      </c>
      <c r="B124" t="str">
        <f>Table2[[#This Row],[Object identification code]]&amp;" "&amp;Table2[[#This Row],[Full catalogue path]]&amp;" "&amp;Table2[[#This Row],[Object name]]</f>
        <v>049802-OP Digital competencies &gt; Accessibility DLP: How to create accessible presentations in Power Point - CURRENT</v>
      </c>
      <c r="C124" t="str">
        <f>Table2[[#This Row],[Object identification code]]&amp;" "&amp;Table2[[#This Row],[Full catalogue path]]</f>
        <v>049802-OP Digital competencies &gt; Accessibility</v>
      </c>
      <c r="D124" t="s">
        <v>255</v>
      </c>
      <c r="E124" t="s">
        <v>278</v>
      </c>
      <c r="F124" t="s">
        <v>21</v>
      </c>
      <c r="G124" t="s">
        <v>22</v>
      </c>
      <c r="H124">
        <v>53</v>
      </c>
      <c r="I124" s="2">
        <v>46336.416666666664</v>
      </c>
      <c r="J124" s="2">
        <v>46336.479166666664</v>
      </c>
      <c r="K124" s="1">
        <v>46053</v>
      </c>
      <c r="L124" t="e">
        <f>VLOOKUP(Table2[[#This Row],[Helper colum]],Table1[],1,FALSE)</f>
        <v>#N/A</v>
      </c>
      <c r="M124" t="e">
        <f>VLOOKUP(Table2[[#This Row],[Column1]],#REF!,1,FALSE)</f>
        <v>#REF!</v>
      </c>
    </row>
    <row r="125" spans="1:13" ht="14.65">
      <c r="A125" t="s">
        <v>279</v>
      </c>
      <c r="B125" t="str">
        <f>Table2[[#This Row],[Object identification code]]&amp;" "&amp;Table2[[#This Row],[Full catalogue path]]&amp;" "&amp;Table2[[#This Row],[Object name]]</f>
        <v>EP_002819 Digital competencies &gt; Accessibility Digital Accessibility</v>
      </c>
      <c r="C125" t="str">
        <f>Table2[[#This Row],[Object identification code]]&amp;" "&amp;Table2[[#This Row],[Full catalogue path]]</f>
        <v>EP_002819 Digital competencies &gt; Accessibility</v>
      </c>
      <c r="D125" t="s">
        <v>255</v>
      </c>
      <c r="E125" t="s">
        <v>280</v>
      </c>
      <c r="F125" t="s">
        <v>38</v>
      </c>
      <c r="K125" s="1">
        <v>46051</v>
      </c>
      <c r="L125" t="e">
        <f>VLOOKUP(Table2[[#This Row],[Helper colum]],Table1[],1,FALSE)</f>
        <v>#N/A</v>
      </c>
      <c r="M125" t="e">
        <f>VLOOKUP(Table2[[#This Row],[Column1]],#REF!,1,FALSE)</f>
        <v>#REF!</v>
      </c>
    </row>
    <row r="126" spans="1:13" ht="14.65">
      <c r="A126" t="s">
        <v>281</v>
      </c>
      <c r="B126" t="str">
        <f>Table2[[#This Row],[Object identification code]]&amp;" "&amp;Table2[[#This Row],[Full catalogue path]]&amp;" "&amp;Table2[[#This Row],[Object name]]</f>
        <v>052307-EP Digital competencies &gt; Accessibility Introduction to digital accessibility</v>
      </c>
      <c r="C126" t="str">
        <f>Table2[[#This Row],[Object identification code]]&amp;" "&amp;Table2[[#This Row],[Full catalogue path]]</f>
        <v>052307-EP Digital competencies &gt; Accessibility</v>
      </c>
      <c r="D126" t="s">
        <v>255</v>
      </c>
      <c r="E126" t="s">
        <v>282</v>
      </c>
      <c r="F126" t="s">
        <v>21</v>
      </c>
      <c r="G126" t="s">
        <v>22</v>
      </c>
      <c r="H126">
        <v>112</v>
      </c>
      <c r="I126" s="2">
        <v>45896.375</v>
      </c>
      <c r="J126" s="2">
        <v>45896.520833333336</v>
      </c>
      <c r="K126" s="1">
        <v>46051</v>
      </c>
      <c r="L126" t="e">
        <f>VLOOKUP(Table2[[#This Row],[Helper colum]],Table1[],1,FALSE)</f>
        <v>#N/A</v>
      </c>
      <c r="M126" t="e">
        <f>VLOOKUP(Table2[[#This Row],[Column1]],#REF!,1,FALSE)</f>
        <v>#REF!</v>
      </c>
    </row>
    <row r="127" spans="1:13" ht="14.65">
      <c r="A127" t="s">
        <v>283</v>
      </c>
      <c r="B127" t="str">
        <f>Table2[[#This Row],[Object identification code]]&amp;" "&amp;Table2[[#This Row],[Full catalogue path]]&amp;" "&amp;Table2[[#This Row],[Object name]]</f>
        <v>052585-EP Digital competencies &gt; Accessibility Introduction to digital accessibility for Managers</v>
      </c>
      <c r="C127" t="str">
        <f>Table2[[#This Row],[Object identification code]]&amp;" "&amp;Table2[[#This Row],[Full catalogue path]]</f>
        <v>052585-EP Digital competencies &gt; Accessibility</v>
      </c>
      <c r="D127" t="s">
        <v>255</v>
      </c>
      <c r="E127" t="s">
        <v>284</v>
      </c>
      <c r="F127" t="s">
        <v>21</v>
      </c>
      <c r="G127" t="s">
        <v>22</v>
      </c>
      <c r="H127">
        <v>13</v>
      </c>
      <c r="I127" s="2">
        <v>45904.458333333336</v>
      </c>
      <c r="J127" s="2">
        <v>45904.5</v>
      </c>
      <c r="K127" s="1">
        <v>46007</v>
      </c>
      <c r="L127" t="e">
        <f>VLOOKUP(Table2[[#This Row],[Helper colum]],Table1[],1,FALSE)</f>
        <v>#N/A</v>
      </c>
      <c r="M127" t="e">
        <f>VLOOKUP(Table2[[#This Row],[Column1]],#REF!,1,FALSE)</f>
        <v>#REF!</v>
      </c>
    </row>
    <row r="128" spans="1:13" ht="14.65">
      <c r="A128" t="s">
        <v>285</v>
      </c>
      <c r="B128" t="str">
        <f>Table2[[#This Row],[Object identification code]]&amp;" "&amp;Table2[[#This Row],[Full catalogue path]]&amp;" "&amp;Table2[[#This Row],[Object name]]</f>
        <v>052273-EP Digital competencies &gt; Accessibility Introduction to document accessibility</v>
      </c>
      <c r="C128" t="str">
        <f>Table2[[#This Row],[Object identification code]]&amp;" "&amp;Table2[[#This Row],[Full catalogue path]]</f>
        <v>052273-EP Digital competencies &gt; Accessibility</v>
      </c>
      <c r="D128" t="s">
        <v>255</v>
      </c>
      <c r="E128" t="s">
        <v>286</v>
      </c>
      <c r="F128" t="s">
        <v>21</v>
      </c>
      <c r="G128" t="s">
        <v>22</v>
      </c>
      <c r="H128">
        <v>49</v>
      </c>
      <c r="I128" s="2">
        <v>45898.375</v>
      </c>
      <c r="J128" s="2">
        <v>45898.520833333336</v>
      </c>
      <c r="K128" s="1">
        <v>46045</v>
      </c>
      <c r="L128" t="e">
        <f>VLOOKUP(Table2[[#This Row],[Helper colum]],Table1[],1,FALSE)</f>
        <v>#N/A</v>
      </c>
      <c r="M128" t="e">
        <f>VLOOKUP(Table2[[#This Row],[Column1]],#REF!,1,FALSE)</f>
        <v>#REF!</v>
      </c>
    </row>
    <row r="129" spans="1:13" ht="14.65">
      <c r="A129" t="s">
        <v>287</v>
      </c>
      <c r="B129" t="str">
        <f>Table2[[#This Row],[Object identification code]]&amp;" "&amp;Table2[[#This Row],[Full catalogue path]]&amp;" "&amp;Table2[[#This Row],[Object name]]</f>
        <v>035842-EP Digital competencies &gt; Adobe Adobe Acrobat Pro</v>
      </c>
      <c r="C129" t="str">
        <f>Table2[[#This Row],[Object identification code]]&amp;" "&amp;Table2[[#This Row],[Full catalogue path]]</f>
        <v>035842-EP Digital competencies &gt; Adobe</v>
      </c>
      <c r="D129" t="s">
        <v>288</v>
      </c>
      <c r="E129" t="s">
        <v>289</v>
      </c>
      <c r="F129" t="s">
        <v>21</v>
      </c>
      <c r="G129" t="s">
        <v>22</v>
      </c>
      <c r="H129">
        <v>50</v>
      </c>
      <c r="I129" s="2">
        <v>46043.375</v>
      </c>
      <c r="J129" s="2">
        <v>46043.708333333336</v>
      </c>
      <c r="K129" s="1">
        <v>46049</v>
      </c>
      <c r="L129" t="e">
        <f>VLOOKUP(Table2[[#This Row],[Helper colum]],Table1[],1,FALSE)</f>
        <v>#N/A</v>
      </c>
      <c r="M129" t="e">
        <f>VLOOKUP(Table2[[#This Row],[Column1]],#REF!,1,FALSE)</f>
        <v>#REF!</v>
      </c>
    </row>
    <row r="130" spans="1:13" ht="14.65">
      <c r="A130" t="s">
        <v>290</v>
      </c>
      <c r="B130" t="str">
        <f>Table2[[#This Row],[Object identification code]]&amp;" "&amp;Table2[[#This Row],[Full catalogue path]]&amp;" "&amp;Table2[[#This Row],[Object name]]</f>
        <v>071501-EP Digital competencies &gt; Adobe Adobe Premiere Pro CC (step 1)</v>
      </c>
      <c r="C130" t="str">
        <f>Table2[[#This Row],[Object identification code]]&amp;" "&amp;Table2[[#This Row],[Full catalogue path]]</f>
        <v>071501-EP Digital competencies &gt; Adobe</v>
      </c>
      <c r="D130" t="s">
        <v>288</v>
      </c>
      <c r="E130" t="s">
        <v>291</v>
      </c>
      <c r="F130" t="s">
        <v>21</v>
      </c>
      <c r="G130" t="s">
        <v>22</v>
      </c>
      <c r="H130">
        <v>13</v>
      </c>
      <c r="I130" s="2">
        <v>46031.375</v>
      </c>
      <c r="J130" s="2">
        <v>46038.708333333336</v>
      </c>
      <c r="K130" s="1">
        <v>46045</v>
      </c>
      <c r="L130" t="e">
        <f>VLOOKUP(Table2[[#This Row],[Helper colum]],Table1[],1,FALSE)</f>
        <v>#N/A</v>
      </c>
      <c r="M130" t="e">
        <f>VLOOKUP(Table2[[#This Row],[Column1]],#REF!,1,FALSE)</f>
        <v>#REF!</v>
      </c>
    </row>
    <row r="131" spans="1:13" ht="14.65">
      <c r="A131" t="s">
        <v>292</v>
      </c>
      <c r="B131" t="str">
        <f>Table2[[#This Row],[Object identification code]]&amp;" "&amp;Table2[[#This Row],[Full catalogue path]]&amp;" "&amp;Table2[[#This Row],[Object name]]</f>
        <v>066080-SG POLICY Digital competencies &gt; Artificial Intelligence AI in Policymaking MasterClass</v>
      </c>
      <c r="C131" t="str">
        <f>Table2[[#This Row],[Object identification code]]&amp;" "&amp;Table2[[#This Row],[Full catalogue path]]</f>
        <v>066080-SG POLICY Digital competencies &gt; Artificial Intelligence</v>
      </c>
      <c r="D131" t="s">
        <v>293</v>
      </c>
      <c r="E131" t="s">
        <v>294</v>
      </c>
      <c r="F131" t="s">
        <v>21</v>
      </c>
      <c r="G131" t="s">
        <v>25</v>
      </c>
      <c r="I131" s="2">
        <v>46098.458333333336</v>
      </c>
      <c r="J131" s="2">
        <v>46098.5</v>
      </c>
      <c r="K131" s="1">
        <v>46056</v>
      </c>
      <c r="L131" t="e">
        <f>VLOOKUP(Table2[[#This Row],[Helper colum]],Table1[],1,FALSE)</f>
        <v>#N/A</v>
      </c>
      <c r="M131" t="e">
        <f>VLOOKUP(Table2[[#This Row],[Column1]],#REF!,1,FALSE)</f>
        <v>#REF!</v>
      </c>
    </row>
    <row r="132" spans="1:13" ht="14.65">
      <c r="A132" t="s">
        <v>295</v>
      </c>
      <c r="B132" t="str">
        <f>Table2[[#This Row],[Object identification code]]&amp;" "&amp;Table2[[#This Row],[Full catalogue path]]&amp;" "&amp;Table2[[#This Row],[Object name]]</f>
        <v>068960-SG POLICY Digital competencies &gt; Artificial Intelligence AI in policymaking MasterClass (Recorded sessions)</v>
      </c>
      <c r="C132" t="str">
        <f>Table2[[#This Row],[Object identification code]]&amp;" "&amp;Table2[[#This Row],[Full catalogue path]]</f>
        <v>068960-SG POLICY Digital competencies &gt; Artificial Intelligence</v>
      </c>
      <c r="D132" t="s">
        <v>293</v>
      </c>
      <c r="E132" t="s">
        <v>296</v>
      </c>
      <c r="F132" t="s">
        <v>21</v>
      </c>
      <c r="G132" t="s">
        <v>25</v>
      </c>
      <c r="K132" s="1">
        <v>46056</v>
      </c>
      <c r="L132" t="e">
        <f>VLOOKUP(Table2[[#This Row],[Helper colum]],Table1[],1,FALSE)</f>
        <v>#N/A</v>
      </c>
      <c r="M132" t="e">
        <f>VLOOKUP(Table2[[#This Row],[Column1]],#REF!,1,FALSE)</f>
        <v>#REF!</v>
      </c>
    </row>
    <row r="133" spans="1:13" ht="14.65">
      <c r="A133" t="s">
        <v>297</v>
      </c>
      <c r="B133" t="str">
        <f>Table2[[#This Row],[Object identification code]]&amp;" "&amp;Table2[[#This Row],[Full catalogue path]]&amp;" "&amp;Table2[[#This Row],[Object name]]</f>
        <v>EP_004559 Digital competencies &gt; Artificial Intelligence Artificial Intelligence learning collection</v>
      </c>
      <c r="C133" t="str">
        <f>Table2[[#This Row],[Object identification code]]&amp;" "&amp;Table2[[#This Row],[Full catalogue path]]</f>
        <v>EP_004559 Digital competencies &gt; Artificial Intelligence</v>
      </c>
      <c r="D133" t="s">
        <v>293</v>
      </c>
      <c r="E133" t="s">
        <v>298</v>
      </c>
      <c r="F133" t="s">
        <v>38</v>
      </c>
      <c r="K133" s="1">
        <v>46055</v>
      </c>
      <c r="L133" t="e">
        <f>VLOOKUP(Table2[[#This Row],[Helper colum]],Table1[],1,FALSE)</f>
        <v>#N/A</v>
      </c>
      <c r="M133" t="e">
        <f>VLOOKUP(Table2[[#This Row],[Column1]],#REF!,1,FALSE)</f>
        <v>#REF!</v>
      </c>
    </row>
    <row r="134" spans="1:13" ht="14.65">
      <c r="A134" t="s">
        <v>299</v>
      </c>
      <c r="B134" t="str">
        <f>Table2[[#This Row],[Object identification code]]&amp;" "&amp;Table2[[#This Row],[Full catalogue path]]&amp;" "&amp;Table2[[#This Row],[Object name]]</f>
        <v>059340-EP-0001-EN-GB Digital competencies &gt; Artificial Intelligence Elements of AI part I: Introduction to AI</v>
      </c>
      <c r="C134" t="str">
        <f>Table2[[#This Row],[Object identification code]]&amp;" "&amp;Table2[[#This Row],[Full catalogue path]]</f>
        <v>059340-EP-0001-EN-GB Digital competencies &gt; Artificial Intelligence</v>
      </c>
      <c r="D134" t="s">
        <v>293</v>
      </c>
      <c r="E134" t="s">
        <v>300</v>
      </c>
      <c r="F134" t="s">
        <v>16</v>
      </c>
      <c r="I134" t="s">
        <v>17</v>
      </c>
      <c r="K134" s="1">
        <v>46056</v>
      </c>
      <c r="L134" t="e">
        <f>VLOOKUP(Table2[[#This Row],[Helper colum]],Table1[],1,FALSE)</f>
        <v>#N/A</v>
      </c>
      <c r="M134" t="e">
        <f>VLOOKUP(Table2[[#This Row],[Column1]],#REF!,1,FALSE)</f>
        <v>#REF!</v>
      </c>
    </row>
    <row r="135" spans="1:13" ht="14.65">
      <c r="A135" t="s">
        <v>301</v>
      </c>
      <c r="B135" t="str">
        <f>Table2[[#This Row],[Object identification code]]&amp;" "&amp;Table2[[#This Row],[Full catalogue path]]&amp;" "&amp;Table2[[#This Row],[Object name]]</f>
        <v>059340-EP-0002-EN-GB Digital competencies &gt; Artificial Intelligence Elements of AI part II: Building AI</v>
      </c>
      <c r="C135" t="str">
        <f>Table2[[#This Row],[Object identification code]]&amp;" "&amp;Table2[[#This Row],[Full catalogue path]]</f>
        <v>059340-EP-0002-EN-GB Digital competencies &gt; Artificial Intelligence</v>
      </c>
      <c r="D135" t="s">
        <v>293</v>
      </c>
      <c r="E135" t="s">
        <v>302</v>
      </c>
      <c r="F135" t="s">
        <v>16</v>
      </c>
      <c r="I135" t="s">
        <v>17</v>
      </c>
      <c r="K135" s="1">
        <v>46044</v>
      </c>
      <c r="L135" t="e">
        <f>VLOOKUP(Table2[[#This Row],[Helper colum]],Table1[],1,FALSE)</f>
        <v>#N/A</v>
      </c>
      <c r="M135" t="e">
        <f>VLOOKUP(Table2[[#This Row],[Column1]],#REF!,1,FALSE)</f>
        <v>#REF!</v>
      </c>
    </row>
    <row r="136" spans="1:13" ht="14.65">
      <c r="A136" t="s">
        <v>303</v>
      </c>
      <c r="B136" t="str">
        <f>Table2[[#This Row],[Object identification code]]&amp;" "&amp;Table2[[#This Row],[Full catalogue path]]&amp;" "&amp;Table2[[#This Row],[Object name]]</f>
        <v>064631-EP Digital competencies &gt; Artificial Intelligence Generative AI Essentials</v>
      </c>
      <c r="C136" t="str">
        <f>Table2[[#This Row],[Object identification code]]&amp;" "&amp;Table2[[#This Row],[Full catalogue path]]</f>
        <v>064631-EP Digital competencies &gt; Artificial Intelligence</v>
      </c>
      <c r="D136" t="s">
        <v>293</v>
      </c>
      <c r="E136" t="s">
        <v>304</v>
      </c>
      <c r="F136" t="s">
        <v>21</v>
      </c>
      <c r="G136" t="s">
        <v>22</v>
      </c>
      <c r="H136">
        <v>115</v>
      </c>
      <c r="I136" s="2">
        <v>46085.5625</v>
      </c>
      <c r="J136" s="2">
        <v>46086.5</v>
      </c>
      <c r="K136" s="1">
        <v>46056</v>
      </c>
      <c r="L136" t="e">
        <f>VLOOKUP(Table2[[#This Row],[Helper colum]],Table1[],1,FALSE)</f>
        <v>#N/A</v>
      </c>
      <c r="M136" t="e">
        <f>VLOOKUP(Table2[[#This Row],[Column1]],#REF!,1,FALSE)</f>
        <v>#REF!</v>
      </c>
    </row>
    <row r="137" spans="1:13" ht="14.65">
      <c r="A137" t="s">
        <v>305</v>
      </c>
      <c r="B137" t="str">
        <f>Table2[[#This Row],[Object identification code]]&amp;" "&amp;Table2[[#This Row],[Full catalogue path]]&amp;" "&amp;Table2[[#This Row],[Object name]]</f>
        <v>058420-DGT-0009-EN-GB Digital competencies &gt; Artificial Intelligence Recording of the event AI@EC: Large language models (LLMs) in production with Azure</v>
      </c>
      <c r="C137" t="str">
        <f>Table2[[#This Row],[Object identification code]]&amp;" "&amp;Table2[[#This Row],[Full catalogue path]]</f>
        <v>058420-DGT-0009-EN-GB Digital competencies &gt; Artificial Intelligence</v>
      </c>
      <c r="D137" t="s">
        <v>293</v>
      </c>
      <c r="E137" t="s">
        <v>306</v>
      </c>
      <c r="F137" t="s">
        <v>16</v>
      </c>
      <c r="I137" t="s">
        <v>17</v>
      </c>
      <c r="K137" s="1">
        <v>46048</v>
      </c>
      <c r="L137" t="e">
        <f>VLOOKUP(Table2[[#This Row],[Helper colum]],Table1[],1,FALSE)</f>
        <v>#N/A</v>
      </c>
      <c r="M137" t="e">
        <f>VLOOKUP(Table2[[#This Row],[Column1]],#REF!,1,FALSE)</f>
        <v>#REF!</v>
      </c>
    </row>
    <row r="138" spans="1:13" ht="14.65">
      <c r="A138" t="s">
        <v>307</v>
      </c>
      <c r="B138" t="str">
        <f>Table2[[#This Row],[Object identification code]]&amp;" "&amp;Table2[[#This Row],[Full catalogue path]]&amp;" "&amp;Table2[[#This Row],[Object name]]</f>
        <v>072384-EP Digital competencies &gt; Cloud Data Management</v>
      </c>
      <c r="C138" t="str">
        <f>Table2[[#This Row],[Object identification code]]&amp;" "&amp;Table2[[#This Row],[Full catalogue path]]</f>
        <v>072384-EP Digital competencies &gt; Cloud</v>
      </c>
      <c r="D138" t="s">
        <v>308</v>
      </c>
      <c r="E138" t="s">
        <v>309</v>
      </c>
      <c r="F138" t="s">
        <v>21</v>
      </c>
      <c r="G138" t="s">
        <v>22</v>
      </c>
      <c r="H138">
        <v>4</v>
      </c>
      <c r="I138" s="2">
        <v>46100.375</v>
      </c>
      <c r="J138" s="2">
        <v>46100.541666666664</v>
      </c>
      <c r="K138" s="1">
        <v>46056</v>
      </c>
      <c r="L138" t="e">
        <f>VLOOKUP(Table2[[#This Row],[Helper colum]],Table1[],1,FALSE)</f>
        <v>#N/A</v>
      </c>
      <c r="M138" t="e">
        <f>VLOOKUP(Table2[[#This Row],[Column1]],#REF!,1,FALSE)</f>
        <v>#REF!</v>
      </c>
    </row>
    <row r="139" spans="1:13" ht="14.65">
      <c r="A139" t="s">
        <v>310</v>
      </c>
      <c r="B139" t="str">
        <f>Table2[[#This Row],[Object identification code]]&amp;" "&amp;Table2[[#This Row],[Full catalogue path]]&amp;" "&amp;Table2[[#This Row],[Object name]]</f>
        <v>057643-DTS Digital competencies &gt; Cloud Demistifying Cloud (Non-Technical)</v>
      </c>
      <c r="C139" t="str">
        <f>Table2[[#This Row],[Object identification code]]&amp;" "&amp;Table2[[#This Row],[Full catalogue path]]</f>
        <v>057643-DTS Digital competencies &gt; Cloud</v>
      </c>
      <c r="D139" t="s">
        <v>308</v>
      </c>
      <c r="E139" t="s">
        <v>311</v>
      </c>
      <c r="F139" t="s">
        <v>21</v>
      </c>
      <c r="G139" t="s">
        <v>22</v>
      </c>
      <c r="H139">
        <v>22</v>
      </c>
      <c r="I139" s="2">
        <v>45548.583333333336</v>
      </c>
      <c r="J139" s="2">
        <v>45548.729166666664</v>
      </c>
      <c r="K139" s="1">
        <v>45847</v>
      </c>
      <c r="L139" t="e">
        <f>VLOOKUP(Table2[[#This Row],[Helper colum]],Table1[],1,FALSE)</f>
        <v>#N/A</v>
      </c>
      <c r="M139" t="e">
        <f>VLOOKUP(Table2[[#This Row],[Column1]],#REF!,1,FALSE)</f>
        <v>#REF!</v>
      </c>
    </row>
    <row r="140" spans="1:13" ht="14.65">
      <c r="A140" t="s">
        <v>312</v>
      </c>
      <c r="B140" t="str">
        <f>Table2[[#This Row],[Object identification code]]&amp;" "&amp;Table2[[#This Row],[Full catalogue path]]&amp;" "&amp;Table2[[#This Row],[Object name]]</f>
        <v>022741-DTS-0008-EN-GB Digital competencies &gt; Cloud &gt; AWS Architecting on AWS</v>
      </c>
      <c r="C140" t="str">
        <f>Table2[[#This Row],[Object identification code]]&amp;" "&amp;Table2[[#This Row],[Full catalogue path]]</f>
        <v>022741-DTS-0008-EN-GB Digital competencies &gt; Cloud &gt; AWS</v>
      </c>
      <c r="D140" t="s">
        <v>313</v>
      </c>
      <c r="E140" t="s">
        <v>314</v>
      </c>
      <c r="F140" t="s">
        <v>16</v>
      </c>
      <c r="I140" s="2">
        <v>45692.375</v>
      </c>
      <c r="J140" s="2">
        <v>45694.708333333336</v>
      </c>
      <c r="K140" s="1">
        <v>46010</v>
      </c>
      <c r="L140" t="e">
        <f>VLOOKUP(Table2[[#This Row],[Helper colum]],Table1[],1,FALSE)</f>
        <v>#N/A</v>
      </c>
      <c r="M140" t="e">
        <f>VLOOKUP(Table2[[#This Row],[Column1]],#REF!,1,FALSE)</f>
        <v>#REF!</v>
      </c>
    </row>
    <row r="141" spans="1:13" ht="14.65">
      <c r="A141" t="s">
        <v>315</v>
      </c>
      <c r="B141" t="str">
        <f>Table2[[#This Row],[Object identification code]]&amp;" "&amp;Table2[[#This Row],[Full catalogue path]]&amp;" "&amp;Table2[[#This Row],[Object name]]</f>
        <v>024628-EP-0001-EN-GB Digital competencies &gt; Cloud &gt; AWS Prepare for AWS Solutions Architect – Professional Certification</v>
      </c>
      <c r="C141" t="str">
        <f>Table2[[#This Row],[Object identification code]]&amp;" "&amp;Table2[[#This Row],[Full catalogue path]]</f>
        <v>024628-EP-0001-EN-GB Digital competencies &gt; Cloud &gt; AWS</v>
      </c>
      <c r="D141" t="s">
        <v>313</v>
      </c>
      <c r="E141" t="s">
        <v>316</v>
      </c>
      <c r="F141" t="s">
        <v>16</v>
      </c>
      <c r="I141" t="s">
        <v>17</v>
      </c>
      <c r="K141" s="1">
        <v>46038</v>
      </c>
      <c r="L141" t="e">
        <f>VLOOKUP(Table2[[#This Row],[Helper colum]],Table1[],1,FALSE)</f>
        <v>#N/A</v>
      </c>
      <c r="M141" t="e">
        <f>VLOOKUP(Table2[[#This Row],[Column1]],#REF!,1,FALSE)</f>
        <v>#REF!</v>
      </c>
    </row>
    <row r="142" spans="1:13" ht="14.65">
      <c r="A142" t="s">
        <v>317</v>
      </c>
      <c r="B142" t="str">
        <f>Table2[[#This Row],[Object identification code]]&amp;" "&amp;Table2[[#This Row],[Full catalogue path]]&amp;" "&amp;Table2[[#This Row],[Object name]]</f>
        <v>024536-EP-0001-EN-GB Digital competencies &gt; Cloud &gt; AWS Prepare for the AWS Certified Cloud Practitioner Exam</v>
      </c>
      <c r="C142" t="str">
        <f>Table2[[#This Row],[Object identification code]]&amp;" "&amp;Table2[[#This Row],[Full catalogue path]]</f>
        <v>024536-EP-0001-EN-GB Digital competencies &gt; Cloud &gt; AWS</v>
      </c>
      <c r="D142" t="s">
        <v>313</v>
      </c>
      <c r="E142" t="s">
        <v>318</v>
      </c>
      <c r="F142" t="s">
        <v>16</v>
      </c>
      <c r="I142" t="s">
        <v>17</v>
      </c>
      <c r="K142" s="1">
        <v>45680</v>
      </c>
      <c r="L142" t="e">
        <f>VLOOKUP(Table2[[#This Row],[Helper colum]],Table1[],1,FALSE)</f>
        <v>#N/A</v>
      </c>
      <c r="M142" t="e">
        <f>VLOOKUP(Table2[[#This Row],[Column1]],#REF!,1,FALSE)</f>
        <v>#REF!</v>
      </c>
    </row>
    <row r="143" spans="1:13" ht="14.65">
      <c r="A143" t="s">
        <v>319</v>
      </c>
      <c r="B143" t="str">
        <f>Table2[[#This Row],[Object identification code]]&amp;" "&amp;Table2[[#This Row],[Full catalogue path]]&amp;" "&amp;Table2[[#This Row],[Object name]]</f>
        <v>024630-EP-0001-EN-GB Digital competencies &gt; Cloud &gt; AWS Prepare for the AWS Certified Developer Associate Exam</v>
      </c>
      <c r="C143" t="str">
        <f>Table2[[#This Row],[Object identification code]]&amp;" "&amp;Table2[[#This Row],[Full catalogue path]]</f>
        <v>024630-EP-0001-EN-GB Digital competencies &gt; Cloud &gt; AWS</v>
      </c>
      <c r="D143" t="s">
        <v>313</v>
      </c>
      <c r="E143" t="s">
        <v>320</v>
      </c>
      <c r="F143" t="s">
        <v>16</v>
      </c>
      <c r="I143" t="s">
        <v>17</v>
      </c>
      <c r="K143" s="1">
        <v>45560</v>
      </c>
      <c r="L143" t="e">
        <f>VLOOKUP(Table2[[#This Row],[Helper colum]],Table1[],1,FALSE)</f>
        <v>#N/A</v>
      </c>
      <c r="M143" t="e">
        <f>VLOOKUP(Table2[[#This Row],[Column1]],#REF!,1,FALSE)</f>
        <v>#REF!</v>
      </c>
    </row>
    <row r="144" spans="1:13" ht="14.65">
      <c r="A144" t="s">
        <v>321</v>
      </c>
      <c r="B144" t="str">
        <f>Table2[[#This Row],[Object identification code]]&amp;" "&amp;Table2[[#This Row],[Full catalogue path]]&amp;" "&amp;Table2[[#This Row],[Object name]]</f>
        <v>025053-DTS Digital competencies &gt; Cloud &gt; Azure FL_MS_AZ_900_Microsoft Azure Fundamentals (1 day)</v>
      </c>
      <c r="C144" t="str">
        <f>Table2[[#This Row],[Object identification code]]&amp;" "&amp;Table2[[#This Row],[Full catalogue path]]</f>
        <v>025053-DTS Digital competencies &gt; Cloud &gt; Azure</v>
      </c>
      <c r="D144" t="s">
        <v>322</v>
      </c>
      <c r="E144" t="s">
        <v>323</v>
      </c>
      <c r="F144" t="s">
        <v>21</v>
      </c>
      <c r="G144" t="s">
        <v>22</v>
      </c>
      <c r="H144">
        <v>56</v>
      </c>
      <c r="I144" s="2">
        <v>45679.375</v>
      </c>
      <c r="J144" s="2">
        <v>45679.708333333336</v>
      </c>
      <c r="K144" s="1">
        <v>46049</v>
      </c>
      <c r="L144" t="e">
        <f>VLOOKUP(Table2[[#This Row],[Helper colum]],Table1[],1,FALSE)</f>
        <v>#N/A</v>
      </c>
      <c r="M144" t="e">
        <f>VLOOKUP(Table2[[#This Row],[Column1]],#REF!,1,FALSE)</f>
        <v>#REF!</v>
      </c>
    </row>
    <row r="145" spans="1:13" ht="14.65">
      <c r="B145" t="str">
        <f>Table2[[#This Row],[Object identification code]]&amp;" "&amp;Table2[[#This Row],[Full catalogue path]]&amp;" "&amp;Table2[[#This Row],[Object name]]</f>
        <v xml:space="preserve"> Digital competencies &gt; EP/EU applications Demystifying Electronic Signature</v>
      </c>
      <c r="C145" t="str">
        <f>Table2[[#This Row],[Object identification code]]&amp;" "&amp;Table2[[#This Row],[Full catalogue path]]</f>
        <v xml:space="preserve"> Digital competencies &gt; EP/EU applications</v>
      </c>
      <c r="D145" t="s">
        <v>324</v>
      </c>
      <c r="E145" t="s">
        <v>325</v>
      </c>
      <c r="F145" t="s">
        <v>76</v>
      </c>
      <c r="L145" t="e">
        <f>VLOOKUP(Table2[[#This Row],[Helper colum]],Table1[],1,FALSE)</f>
        <v>#N/A</v>
      </c>
      <c r="M145" t="e">
        <f>VLOOKUP(Table2[[#This Row],[Column1]],#REF!,1,FALSE)</f>
        <v>#REF!</v>
      </c>
    </row>
    <row r="146" spans="1:13" ht="14.65">
      <c r="A146" t="s">
        <v>326</v>
      </c>
      <c r="B146" t="str">
        <f>Table2[[#This Row],[Object identification code]]&amp;" "&amp;Table2[[#This Row],[Full catalogue path]]&amp;" "&amp;Table2[[#This Row],[Object name]]</f>
        <v>064812-EP Digital competencies &gt; EP/EU applications Digital Basics for Newcomers at the EP</v>
      </c>
      <c r="C146" t="str">
        <f>Table2[[#This Row],[Object identification code]]&amp;" "&amp;Table2[[#This Row],[Full catalogue path]]</f>
        <v>064812-EP Digital competencies &gt; EP/EU applications</v>
      </c>
      <c r="D146" t="s">
        <v>324</v>
      </c>
      <c r="E146" t="s">
        <v>327</v>
      </c>
      <c r="F146" t="s">
        <v>21</v>
      </c>
      <c r="G146" t="s">
        <v>22</v>
      </c>
      <c r="H146">
        <v>12</v>
      </c>
      <c r="I146" s="2">
        <v>46091.395833333336</v>
      </c>
      <c r="J146" s="2">
        <v>46091.520833333336</v>
      </c>
      <c r="K146" s="1">
        <v>46049</v>
      </c>
      <c r="L146" t="e">
        <f>VLOOKUP(Table2[[#This Row],[Helper colum]],Table1[],1,FALSE)</f>
        <v>#N/A</v>
      </c>
      <c r="M146" t="e">
        <f>VLOOKUP(Table2[[#This Row],[Column1]],#REF!,1,FALSE)</f>
        <v>#REF!</v>
      </c>
    </row>
    <row r="147" spans="1:13" ht="14.65">
      <c r="A147" t="s">
        <v>328</v>
      </c>
      <c r="B147" t="str">
        <f>Table2[[#This Row],[Object identification code]]&amp;" "&amp;Table2[[#This Row],[Full catalogue path]]&amp;" "&amp;Table2[[#This Row],[Object name]]</f>
        <v>EP_003939 Digital competencies &gt; EP/EU applications Digital Learning Path for Newcomers</v>
      </c>
      <c r="C147" t="str">
        <f>Table2[[#This Row],[Object identification code]]&amp;" "&amp;Table2[[#This Row],[Full catalogue path]]</f>
        <v>EP_003939 Digital competencies &gt; EP/EU applications</v>
      </c>
      <c r="D147" t="s">
        <v>324</v>
      </c>
      <c r="E147" t="s">
        <v>329</v>
      </c>
      <c r="F147" t="s">
        <v>38</v>
      </c>
      <c r="K147" s="1">
        <v>46000</v>
      </c>
      <c r="L147" t="e">
        <f>VLOOKUP(Table2[[#This Row],[Helper colum]],Table1[],1,FALSE)</f>
        <v>#N/A</v>
      </c>
      <c r="M147" t="e">
        <f>VLOOKUP(Table2[[#This Row],[Column1]],#REF!,1,FALSE)</f>
        <v>#REF!</v>
      </c>
    </row>
    <row r="148" spans="1:13" ht="14.65">
      <c r="B148" t="str">
        <f>Table2[[#This Row],[Object identification code]]&amp;" "&amp;Table2[[#This Row],[Full catalogue path]]&amp;" "&amp;Table2[[#This Row],[Object name]]</f>
        <v xml:space="preserve"> Digital competencies &gt; EP/EU applications Démystifier la signature électronique</v>
      </c>
      <c r="C148" t="str">
        <f>Table2[[#This Row],[Object identification code]]&amp;" "&amp;Table2[[#This Row],[Full catalogue path]]</f>
        <v xml:space="preserve"> Digital competencies &gt; EP/EU applications</v>
      </c>
      <c r="D148" t="s">
        <v>324</v>
      </c>
      <c r="E148" t="s">
        <v>330</v>
      </c>
      <c r="F148" t="s">
        <v>76</v>
      </c>
      <c r="L148" t="e">
        <f>VLOOKUP(Table2[[#This Row],[Helper colum]],Table1[],1,FALSE)</f>
        <v>#N/A</v>
      </c>
      <c r="M148" t="e">
        <f>VLOOKUP(Table2[[#This Row],[Column1]],#REF!,1,FALSE)</f>
        <v>#REF!</v>
      </c>
    </row>
    <row r="149" spans="1:13" ht="14.65">
      <c r="A149" t="s">
        <v>331</v>
      </c>
      <c r="B149" t="str">
        <f>Table2[[#This Row],[Object identification code]]&amp;" "&amp;Table2[[#This Row],[Full catalogue path]]&amp;" "&amp;Table2[[#This Row],[Object name]]</f>
        <v>049744-LT Digital competencies &gt; EP/EU applications EU Learn course manager light</v>
      </c>
      <c r="C149" t="str">
        <f>Table2[[#This Row],[Object identification code]]&amp;" "&amp;Table2[[#This Row],[Full catalogue path]]</f>
        <v>049744-LT Digital competencies &gt; EP/EU applications</v>
      </c>
      <c r="D149" t="s">
        <v>324</v>
      </c>
      <c r="E149" t="s">
        <v>332</v>
      </c>
      <c r="F149" t="s">
        <v>21</v>
      </c>
      <c r="G149" t="s">
        <v>22</v>
      </c>
      <c r="H149">
        <v>42</v>
      </c>
      <c r="I149" s="2">
        <v>46134.395833333336</v>
      </c>
      <c r="J149" s="2">
        <v>46134.489583333336</v>
      </c>
      <c r="K149" s="1">
        <v>46056</v>
      </c>
      <c r="L149" t="e">
        <f>VLOOKUP(Table2[[#This Row],[Helper colum]],Table1[],1,FALSE)</f>
        <v>#N/A</v>
      </c>
      <c r="M149" t="e">
        <f>VLOOKUP(Table2[[#This Row],[Column1]],#REF!,1,FALSE)</f>
        <v>#REF!</v>
      </c>
    </row>
    <row r="150" spans="1:13" ht="14.65">
      <c r="B150" t="str">
        <f>Table2[[#This Row],[Object identification code]]&amp;" "&amp;Table2[[#This Row],[Full catalogue path]]&amp;" "&amp;Table2[[#This Row],[Object name]]</f>
        <v xml:space="preserve"> Digital competencies &gt; EP/EU applications File - video_Please welcome ELI2E – our new communication tool</v>
      </c>
      <c r="C150" t="str">
        <f>Table2[[#This Row],[Object identification code]]&amp;" "&amp;Table2[[#This Row],[Full catalogue path]]</f>
        <v xml:space="preserve"> Digital competencies &gt; EP/EU applications</v>
      </c>
      <c r="D150" t="s">
        <v>324</v>
      </c>
      <c r="E150" t="s">
        <v>333</v>
      </c>
      <c r="F150" t="s">
        <v>76</v>
      </c>
      <c r="L150" t="e">
        <f>VLOOKUP(Table2[[#This Row],[Helper colum]],Table1[],1,FALSE)</f>
        <v>#N/A</v>
      </c>
      <c r="M150" t="e">
        <f>VLOOKUP(Table2[[#This Row],[Column1]],#REF!,1,FALSE)</f>
        <v>#REF!</v>
      </c>
    </row>
    <row r="151" spans="1:13" ht="14.65">
      <c r="A151" t="s">
        <v>334</v>
      </c>
      <c r="B151" t="str">
        <f>Table2[[#This Row],[Object identification code]]&amp;" "&amp;Table2[[#This Row],[Full catalogue path]]&amp;" "&amp;Table2[[#This Row],[Object name]]</f>
        <v>062282-EP Digital competencies &gt; EP/EU applications Introduction to EU Learn</v>
      </c>
      <c r="C151" t="str">
        <f>Table2[[#This Row],[Object identification code]]&amp;" "&amp;Table2[[#This Row],[Full catalogue path]]</f>
        <v>062282-EP Digital competencies &gt; EP/EU applications</v>
      </c>
      <c r="D151" t="s">
        <v>324</v>
      </c>
      <c r="E151" t="s">
        <v>335</v>
      </c>
      <c r="F151" t="s">
        <v>21</v>
      </c>
      <c r="G151" t="s">
        <v>22</v>
      </c>
      <c r="H151">
        <v>7</v>
      </c>
      <c r="I151" s="2">
        <v>46104.395833333336</v>
      </c>
      <c r="J151" s="2">
        <v>46104.416666666664</v>
      </c>
      <c r="K151" s="1">
        <v>46056</v>
      </c>
      <c r="L151" t="e">
        <f>VLOOKUP(Table2[[#This Row],[Helper colum]],Table1[],1,FALSE)</f>
        <v>#N/A</v>
      </c>
      <c r="M151" t="e">
        <f>VLOOKUP(Table2[[#This Row],[Column1]],#REF!,1,FALSE)</f>
        <v>#REF!</v>
      </c>
    </row>
    <row r="152" spans="1:13" ht="14.65">
      <c r="A152" t="s">
        <v>336</v>
      </c>
      <c r="B152" t="str">
        <f>Table2[[#This Row],[Object identification code]]&amp;" "&amp;Table2[[#This Row],[Full catalogue path]]&amp;" "&amp;Table2[[#This Row],[Object name]]</f>
        <v>062966-EP LINC-0001-EN-GB Digital competencies &gt; EP/EU applications Mastering EP Events (Event Registration software) - Basic</v>
      </c>
      <c r="C152" t="str">
        <f>Table2[[#This Row],[Object identification code]]&amp;" "&amp;Table2[[#This Row],[Full catalogue path]]</f>
        <v>062966-EP LINC-0001-EN-GB Digital competencies &gt; EP/EU applications</v>
      </c>
      <c r="D152" t="s">
        <v>324</v>
      </c>
      <c r="E152" t="s">
        <v>337</v>
      </c>
      <c r="F152" t="s">
        <v>16</v>
      </c>
      <c r="I152" t="s">
        <v>17</v>
      </c>
      <c r="K152" s="1">
        <v>46055</v>
      </c>
      <c r="L152" t="e">
        <f>VLOOKUP(Table2[[#This Row],[Helper colum]],Table1[],1,FALSE)</f>
        <v>#N/A</v>
      </c>
      <c r="M152" t="e">
        <f>VLOOKUP(Table2[[#This Row],[Column1]],#REF!,1,FALSE)</f>
        <v>#REF!</v>
      </c>
    </row>
    <row r="153" spans="1:13" ht="14.65">
      <c r="A153" t="s">
        <v>338</v>
      </c>
      <c r="B153" t="str">
        <f>Table2[[#This Row],[Object identification code]]&amp;" "&amp;Table2[[#This Row],[Full catalogue path]]&amp;" "&amp;Table2[[#This Row],[Object name]]</f>
        <v>058961-EP Digital competencies &gt; Excel MS Excel - All about charts</v>
      </c>
      <c r="C153" t="str">
        <f>Table2[[#This Row],[Object identification code]]&amp;" "&amp;Table2[[#This Row],[Full catalogue path]]</f>
        <v>058961-EP Digital competencies &gt; Excel</v>
      </c>
      <c r="D153" t="s">
        <v>339</v>
      </c>
      <c r="E153" t="s">
        <v>340</v>
      </c>
      <c r="F153" t="s">
        <v>21</v>
      </c>
      <c r="G153" t="s">
        <v>22</v>
      </c>
      <c r="H153">
        <v>27</v>
      </c>
      <c r="I153" s="2">
        <v>46104.5625</v>
      </c>
      <c r="J153" s="2">
        <v>46104.708333333336</v>
      </c>
      <c r="K153" s="1">
        <v>46043</v>
      </c>
      <c r="L153" t="e">
        <f>VLOOKUP(Table2[[#This Row],[Helper colum]],Table1[],1,FALSE)</f>
        <v>#N/A</v>
      </c>
      <c r="M153" t="e">
        <f>VLOOKUP(Table2[[#This Row],[Column1]],#REF!,1,FALSE)</f>
        <v>#REF!</v>
      </c>
    </row>
    <row r="154" spans="1:13" ht="14.65">
      <c r="A154" t="s">
        <v>341</v>
      </c>
      <c r="B154" t="str">
        <f>Table2[[#This Row],[Object identification code]]&amp;" "&amp;Table2[[#This Row],[Full catalogue path]]&amp;" "&amp;Table2[[#This Row],[Object name]]</f>
        <v xml:space="preserve">022382-EP Digital competencies &gt; Excel MS Excel – All About Pivot Tables </v>
      </c>
      <c r="C154" t="str">
        <f>Table2[[#This Row],[Object identification code]]&amp;" "&amp;Table2[[#This Row],[Full catalogue path]]</f>
        <v>022382-EP Digital competencies &gt; Excel</v>
      </c>
      <c r="D154" t="s">
        <v>339</v>
      </c>
      <c r="E154" t="s">
        <v>342</v>
      </c>
      <c r="F154" t="s">
        <v>21</v>
      </c>
      <c r="G154" t="s">
        <v>22</v>
      </c>
      <c r="H154">
        <v>48</v>
      </c>
      <c r="I154" s="2">
        <v>45589.375</v>
      </c>
      <c r="J154" s="2">
        <v>45589.520833333336</v>
      </c>
      <c r="K154" s="1">
        <v>46049</v>
      </c>
      <c r="L154" t="e">
        <f>VLOOKUP(Table2[[#This Row],[Helper colum]],Table1[],1,FALSE)</f>
        <v>#N/A</v>
      </c>
      <c r="M154" t="e">
        <f>VLOOKUP(Table2[[#This Row],[Column1]],#REF!,1,FALSE)</f>
        <v>#REF!</v>
      </c>
    </row>
    <row r="155" spans="1:13" ht="14.65">
      <c r="A155" t="s">
        <v>343</v>
      </c>
      <c r="B155" t="str">
        <f>Table2[[#This Row],[Object identification code]]&amp;" "&amp;Table2[[#This Row],[Full catalogue path]]&amp;" "&amp;Table2[[#This Row],[Object name]]</f>
        <v xml:space="preserve">022383-EP Digital competencies &gt; Excel MS Excel – Managing Your Data Lists </v>
      </c>
      <c r="C155" t="str">
        <f>Table2[[#This Row],[Object identification code]]&amp;" "&amp;Table2[[#This Row],[Full catalogue path]]</f>
        <v>022383-EP Digital competencies &gt; Excel</v>
      </c>
      <c r="D155" t="s">
        <v>339</v>
      </c>
      <c r="E155" t="s">
        <v>344</v>
      </c>
      <c r="F155" t="s">
        <v>21</v>
      </c>
      <c r="G155" t="s">
        <v>22</v>
      </c>
      <c r="H155">
        <v>32</v>
      </c>
      <c r="I155" s="2">
        <v>46086.375</v>
      </c>
      <c r="J155" s="2">
        <v>46086.520833333336</v>
      </c>
      <c r="K155" s="1">
        <v>46056</v>
      </c>
      <c r="L155" t="e">
        <f>VLOOKUP(Table2[[#This Row],[Helper colum]],Table1[],1,FALSE)</f>
        <v>#N/A</v>
      </c>
      <c r="M155" t="e">
        <f>VLOOKUP(Table2[[#This Row],[Column1]],#REF!,1,FALSE)</f>
        <v>#REF!</v>
      </c>
    </row>
    <row r="156" spans="1:13" ht="14.65">
      <c r="A156" t="s">
        <v>345</v>
      </c>
      <c r="B156" t="str">
        <f>Table2[[#This Row],[Object identification code]]&amp;" "&amp;Table2[[#This Row],[Full catalogue path]]&amp;" "&amp;Table2[[#This Row],[Object name]]</f>
        <v xml:space="preserve">022384-EP Digital competencies &gt; Excel MS Excel – Mastering Functions in Excel </v>
      </c>
      <c r="C156" t="str">
        <f>Table2[[#This Row],[Object identification code]]&amp;" "&amp;Table2[[#This Row],[Full catalogue path]]</f>
        <v>022384-EP Digital competencies &gt; Excel</v>
      </c>
      <c r="D156" t="s">
        <v>339</v>
      </c>
      <c r="E156" t="s">
        <v>346</v>
      </c>
      <c r="F156" t="s">
        <v>21</v>
      </c>
      <c r="G156" t="s">
        <v>22</v>
      </c>
      <c r="H156">
        <v>29</v>
      </c>
      <c r="I156" s="2">
        <v>46084.5625</v>
      </c>
      <c r="J156" s="2">
        <v>46084.708333333336</v>
      </c>
      <c r="K156" s="1">
        <v>46052</v>
      </c>
      <c r="L156" t="e">
        <f>VLOOKUP(Table2[[#This Row],[Helper colum]],Table1[],1,FALSE)</f>
        <v>#N/A</v>
      </c>
      <c r="M156" t="e">
        <f>VLOOKUP(Table2[[#This Row],[Column1]],#REF!,1,FALSE)</f>
        <v>#REF!</v>
      </c>
    </row>
    <row r="157" spans="1:13" ht="14.65">
      <c r="A157" t="s">
        <v>347</v>
      </c>
      <c r="B157" t="str">
        <f>Table2[[#This Row],[Object identification code]]&amp;" "&amp;Table2[[#This Row],[Full catalogue path]]&amp;" "&amp;Table2[[#This Row],[Object name]]</f>
        <v xml:space="preserve">022385-EP Digital competencies &gt; Excel MS Excel – Tips &amp; Tricks </v>
      </c>
      <c r="C157" t="str">
        <f>Table2[[#This Row],[Object identification code]]&amp;" "&amp;Table2[[#This Row],[Full catalogue path]]</f>
        <v>022385-EP Digital competencies &gt; Excel</v>
      </c>
      <c r="D157" t="s">
        <v>339</v>
      </c>
      <c r="E157" t="s">
        <v>348</v>
      </c>
      <c r="F157" t="s">
        <v>21</v>
      </c>
      <c r="G157" t="s">
        <v>22</v>
      </c>
      <c r="H157">
        <v>33</v>
      </c>
      <c r="I157" s="2">
        <v>46045.375</v>
      </c>
      <c r="J157" s="2">
        <v>46045.520833333336</v>
      </c>
      <c r="K157" s="1">
        <v>46045</v>
      </c>
      <c r="L157" t="e">
        <f>VLOOKUP(Table2[[#This Row],[Helper colum]],Table1[],1,FALSE)</f>
        <v>#N/A</v>
      </c>
      <c r="M157" t="e">
        <f>VLOOKUP(Table2[[#This Row],[Column1]],#REF!,1,FALSE)</f>
        <v>#REF!</v>
      </c>
    </row>
    <row r="158" spans="1:13" ht="14.65">
      <c r="A158" t="s">
        <v>349</v>
      </c>
      <c r="B158" t="str">
        <f>Table2[[#This Row],[Object identification code]]&amp;" "&amp;Table2[[#This Row],[Full catalogue path]]&amp;" "&amp;Table2[[#This Row],[Object name]]</f>
        <v>022511-GEN-0010-EN-GB Digital competencies &gt; IT security &amp; management Basics of Cybersecurity - Part 1</v>
      </c>
      <c r="C158" t="str">
        <f>Table2[[#This Row],[Object identification code]]&amp;" "&amp;Table2[[#This Row],[Full catalogue path]]</f>
        <v>022511-GEN-0010-EN-GB Digital competencies &gt; IT security &amp; management</v>
      </c>
      <c r="D158" t="s">
        <v>350</v>
      </c>
      <c r="E158" t="s">
        <v>351</v>
      </c>
      <c r="F158" t="s">
        <v>16</v>
      </c>
      <c r="I158" t="s">
        <v>17</v>
      </c>
      <c r="K158" s="1">
        <v>46056</v>
      </c>
      <c r="L158" t="e">
        <f>VLOOKUP(Table2[[#This Row],[Helper colum]],Table1[],1,FALSE)</f>
        <v>#N/A</v>
      </c>
      <c r="M158" t="e">
        <f>VLOOKUP(Table2[[#This Row],[Column1]],#REF!,1,FALSE)</f>
        <v>#REF!</v>
      </c>
    </row>
    <row r="159" spans="1:13" ht="14.65">
      <c r="A159" t="s">
        <v>352</v>
      </c>
      <c r="B159" t="str">
        <f>Table2[[#This Row],[Object identification code]]&amp;" "&amp;Table2[[#This Row],[Full catalogue path]]&amp;" "&amp;Table2[[#This Row],[Object name]]</f>
        <v>022511-GEN-0013-EN-GB Digital competencies &gt; IT security &amp; management Basics of Cybersecurity - Part 2</v>
      </c>
      <c r="C159" t="str">
        <f>Table2[[#This Row],[Object identification code]]&amp;" "&amp;Table2[[#This Row],[Full catalogue path]]</f>
        <v>022511-GEN-0013-EN-GB Digital competencies &gt; IT security &amp; management</v>
      </c>
      <c r="D159" t="s">
        <v>350</v>
      </c>
      <c r="E159" t="s">
        <v>353</v>
      </c>
      <c r="F159" t="s">
        <v>16</v>
      </c>
      <c r="I159" t="s">
        <v>17</v>
      </c>
      <c r="K159" s="1">
        <v>46055</v>
      </c>
      <c r="L159" t="e">
        <f>VLOOKUP(Table2[[#This Row],[Helper colum]],Table1[],1,FALSE)</f>
        <v>#N/A</v>
      </c>
      <c r="M159" t="e">
        <f>VLOOKUP(Table2[[#This Row],[Column1]],#REF!,1,FALSE)</f>
        <v>#REF!</v>
      </c>
    </row>
    <row r="160" spans="1:13" ht="14.65">
      <c r="A160" t="s">
        <v>354</v>
      </c>
      <c r="B160" t="str">
        <f>Table2[[#This Row],[Object identification code]]&amp;" "&amp;Table2[[#This Row],[Full catalogue path]]&amp;" "&amp;Table2[[#This Row],[Object name]]</f>
        <v>022511-GEN-0027-EN-GB Digital competencies &gt; IT security &amp; management Basics of Cybersecurity - Part 3</v>
      </c>
      <c r="C160" t="str">
        <f>Table2[[#This Row],[Object identification code]]&amp;" "&amp;Table2[[#This Row],[Full catalogue path]]</f>
        <v>022511-GEN-0027-EN-GB Digital competencies &gt; IT security &amp; management</v>
      </c>
      <c r="D160" t="s">
        <v>350</v>
      </c>
      <c r="E160" t="s">
        <v>355</v>
      </c>
      <c r="F160" t="s">
        <v>16</v>
      </c>
      <c r="I160" t="s">
        <v>17</v>
      </c>
      <c r="K160" s="1">
        <v>46056</v>
      </c>
      <c r="L160" t="e">
        <f>VLOOKUP(Table2[[#This Row],[Helper colum]],Table1[],1,FALSE)</f>
        <v>#N/A</v>
      </c>
      <c r="M160" t="e">
        <f>VLOOKUP(Table2[[#This Row],[Column1]],#REF!,1,FALSE)</f>
        <v>#REF!</v>
      </c>
    </row>
    <row r="161" spans="1:13" ht="14.65">
      <c r="A161" t="s">
        <v>356</v>
      </c>
      <c r="B161" t="str">
        <f>Table2[[#This Row],[Object identification code]]&amp;" "&amp;Table2[[#This Row],[Full catalogue path]]&amp;" "&amp;Table2[[#This Row],[Object name]]</f>
        <v>022511-GEN-0028-EN-GB Digital competencies &gt; IT security &amp; management Basics of Cybersecurity - Part 4</v>
      </c>
      <c r="C161" t="str">
        <f>Table2[[#This Row],[Object identification code]]&amp;" "&amp;Table2[[#This Row],[Full catalogue path]]</f>
        <v>022511-GEN-0028-EN-GB Digital competencies &gt; IT security &amp; management</v>
      </c>
      <c r="D161" t="s">
        <v>350</v>
      </c>
      <c r="E161" t="s">
        <v>357</v>
      </c>
      <c r="F161" t="s">
        <v>16</v>
      </c>
      <c r="I161" t="s">
        <v>17</v>
      </c>
      <c r="K161" s="1">
        <v>46056</v>
      </c>
      <c r="L161" t="e">
        <f>VLOOKUP(Table2[[#This Row],[Helper colum]],Table1[],1,FALSE)</f>
        <v>#N/A</v>
      </c>
      <c r="M161" t="e">
        <f>VLOOKUP(Table2[[#This Row],[Column1]],#REF!,1,FALSE)</f>
        <v>#REF!</v>
      </c>
    </row>
    <row r="162" spans="1:13" ht="14.65">
      <c r="A162" t="s">
        <v>358</v>
      </c>
      <c r="B162" t="str">
        <f>Table2[[#This Row],[Object identification code]]&amp;" "&amp;Table2[[#This Row],[Full catalogue path]]&amp;" "&amp;Table2[[#This Row],[Object name]]</f>
        <v>060660-DTS-0003-EN-GB Digital competencies &gt; IT security &amp; management CCSP (Certified Cloud Security Professional)</v>
      </c>
      <c r="C162" t="str">
        <f>Table2[[#This Row],[Object identification code]]&amp;" "&amp;Table2[[#This Row],[Full catalogue path]]</f>
        <v>060660-DTS-0003-EN-GB Digital competencies &gt; IT security &amp; management</v>
      </c>
      <c r="D162" t="s">
        <v>350</v>
      </c>
      <c r="E162" t="s">
        <v>359</v>
      </c>
      <c r="F162" t="s">
        <v>16</v>
      </c>
      <c r="I162" s="2">
        <v>45810.375</v>
      </c>
      <c r="J162" s="2">
        <v>45814.708333333336</v>
      </c>
      <c r="K162" s="1">
        <v>45826</v>
      </c>
      <c r="L162" t="e">
        <f>VLOOKUP(Table2[[#This Row],[Helper colum]],Table1[],1,FALSE)</f>
        <v>#N/A</v>
      </c>
      <c r="M162" t="e">
        <f>VLOOKUP(Table2[[#This Row],[Column1]],#REF!,1,FALSE)</f>
        <v>#REF!</v>
      </c>
    </row>
    <row r="163" spans="1:13" ht="14.65">
      <c r="A163" t="s">
        <v>360</v>
      </c>
      <c r="B163" t="str">
        <f>Table2[[#This Row],[Object identification code]]&amp;" "&amp;Table2[[#This Row],[Full catalogue path]]&amp;" "&amp;Table2[[#This Row],[Object name]]</f>
        <v>064080-DTS Digital competencies &gt; IT security &amp; management CERTIFIED INFORMATION SYSTEMS SECURITY PROFESSIONAL</v>
      </c>
      <c r="C163" t="str">
        <f>Table2[[#This Row],[Object identification code]]&amp;" "&amp;Table2[[#This Row],[Full catalogue path]]</f>
        <v>064080-DTS Digital competencies &gt; IT security &amp; management</v>
      </c>
      <c r="D163" t="s">
        <v>350</v>
      </c>
      <c r="E163" t="s">
        <v>361</v>
      </c>
      <c r="F163" t="s">
        <v>21</v>
      </c>
      <c r="G163" t="s">
        <v>22</v>
      </c>
      <c r="H163">
        <v>61</v>
      </c>
      <c r="I163" s="2">
        <v>45831.375</v>
      </c>
      <c r="J163" s="2">
        <v>45835.708333333336</v>
      </c>
      <c r="K163" s="1">
        <v>46043</v>
      </c>
      <c r="L163" t="e">
        <f>VLOOKUP(Table2[[#This Row],[Helper colum]],Table1[],1,FALSE)</f>
        <v>#N/A</v>
      </c>
      <c r="M163" t="e">
        <f>VLOOKUP(Table2[[#This Row],[Column1]],#REF!,1,FALSE)</f>
        <v>#REF!</v>
      </c>
    </row>
    <row r="164" spans="1:13" ht="14.65">
      <c r="A164" t="s">
        <v>362</v>
      </c>
      <c r="B164" t="str">
        <f>Table2[[#This Row],[Object identification code]]&amp;" "&amp;Table2[[#This Row],[Full catalogue path]]&amp;" "&amp;Table2[[#This Row],[Object name]]</f>
        <v>064080-DTS-0003-EN-GB Digital competencies &gt; IT security &amp; management CERTIFIED INFORMATION SYSTEMS SECURITY PROFESSIONAL</v>
      </c>
      <c r="C164" t="str">
        <f>Table2[[#This Row],[Object identification code]]&amp;" "&amp;Table2[[#This Row],[Full catalogue path]]</f>
        <v>064080-DTS-0003-EN-GB Digital competencies &gt; IT security &amp; management</v>
      </c>
      <c r="D164" t="s">
        <v>350</v>
      </c>
      <c r="E164" t="s">
        <v>361</v>
      </c>
      <c r="F164" t="s">
        <v>16</v>
      </c>
      <c r="I164" s="2">
        <v>45831.375</v>
      </c>
      <c r="J164" s="2">
        <v>45835.708333333336</v>
      </c>
      <c r="K164" s="1">
        <v>45838</v>
      </c>
      <c r="L164" t="e">
        <f>VLOOKUP(Table2[[#This Row],[Helper colum]],Table1[],1,FALSE)</f>
        <v>#N/A</v>
      </c>
      <c r="M164" t="e">
        <f>VLOOKUP(Table2[[#This Row],[Column1]],#REF!,1,FALSE)</f>
        <v>#REF!</v>
      </c>
    </row>
    <row r="165" spans="1:13" ht="14.65">
      <c r="A165" t="s">
        <v>363</v>
      </c>
      <c r="B165" t="str">
        <f>Table2[[#This Row],[Object identification code]]&amp;" "&amp;Table2[[#This Row],[Full catalogue path]]&amp;" "&amp;Table2[[#This Row],[Object name]]</f>
        <v>025805-DTS Digital competencies &gt; IT security &amp; management CG_ITIL4_FOUND_V2days_2021</v>
      </c>
      <c r="C165" t="str">
        <f>Table2[[#This Row],[Object identification code]]&amp;" "&amp;Table2[[#This Row],[Full catalogue path]]</f>
        <v>025805-DTS Digital competencies &gt; IT security &amp; management</v>
      </c>
      <c r="D165" t="s">
        <v>350</v>
      </c>
      <c r="E165" t="s">
        <v>364</v>
      </c>
      <c r="F165" t="s">
        <v>21</v>
      </c>
      <c r="G165" t="s">
        <v>22</v>
      </c>
      <c r="H165">
        <v>107</v>
      </c>
      <c r="I165" s="2">
        <v>46111.375</v>
      </c>
      <c r="J165" s="2">
        <v>46112.708333333336</v>
      </c>
      <c r="K165" s="1">
        <v>46056</v>
      </c>
      <c r="L165" t="e">
        <f>VLOOKUP(Table2[[#This Row],[Helper colum]],Table1[],1,FALSE)</f>
        <v>#N/A</v>
      </c>
      <c r="M165" t="e">
        <f>VLOOKUP(Table2[[#This Row],[Column1]],#REF!,1,FALSE)</f>
        <v>#REF!</v>
      </c>
    </row>
    <row r="166" spans="1:13" ht="14.65">
      <c r="A166" t="s">
        <v>365</v>
      </c>
      <c r="B166" t="str">
        <f>Table2[[#This Row],[Object identification code]]&amp;" "&amp;Table2[[#This Row],[Full catalogue path]]&amp;" "&amp;Table2[[#This Row],[Object name]]</f>
        <v>025788-DTS Digital competencies &gt; IT security &amp; management CG_ITIL4_SPCREATE</v>
      </c>
      <c r="C166" t="str">
        <f>Table2[[#This Row],[Object identification code]]&amp;" "&amp;Table2[[#This Row],[Full catalogue path]]</f>
        <v>025788-DTS Digital competencies &gt; IT security &amp; management</v>
      </c>
      <c r="D166" t="s">
        <v>350</v>
      </c>
      <c r="E166" t="s">
        <v>366</v>
      </c>
      <c r="F166" t="s">
        <v>21</v>
      </c>
      <c r="G166" t="s">
        <v>22</v>
      </c>
      <c r="H166">
        <v>70</v>
      </c>
      <c r="I166" s="2">
        <v>45810.375</v>
      </c>
      <c r="J166" s="2">
        <v>45812.708333333336</v>
      </c>
      <c r="K166" s="1">
        <v>46041</v>
      </c>
      <c r="L166" t="e">
        <f>VLOOKUP(Table2[[#This Row],[Helper colum]],Table1[],1,FALSE)</f>
        <v>#N/A</v>
      </c>
      <c r="M166" t="e">
        <f>VLOOKUP(Table2[[#This Row],[Column1]],#REF!,1,FALSE)</f>
        <v>#REF!</v>
      </c>
    </row>
    <row r="167" spans="1:13" ht="14.65">
      <c r="A167" t="s">
        <v>367</v>
      </c>
      <c r="B167" t="str">
        <f>Table2[[#This Row],[Object identification code]]&amp;" "&amp;Table2[[#This Row],[Full catalogue path]]&amp;" "&amp;Table2[[#This Row],[Object name]]</f>
        <v>025762-DTS Digital competencies &gt; IT security &amp; management CG_ITIL4_SPDRIVE</v>
      </c>
      <c r="C167" t="str">
        <f>Table2[[#This Row],[Object identification code]]&amp;" "&amp;Table2[[#This Row],[Full catalogue path]]</f>
        <v>025762-DTS Digital competencies &gt; IT security &amp; management</v>
      </c>
      <c r="D167" t="s">
        <v>350</v>
      </c>
      <c r="E167" t="s">
        <v>368</v>
      </c>
      <c r="F167" t="s">
        <v>21</v>
      </c>
      <c r="G167" t="s">
        <v>22</v>
      </c>
      <c r="H167">
        <v>54</v>
      </c>
      <c r="I167" s="2">
        <v>45749.375</v>
      </c>
      <c r="J167" s="2">
        <v>45751.708333333336</v>
      </c>
      <c r="K167" s="1">
        <v>46003</v>
      </c>
      <c r="L167" t="e">
        <f>VLOOKUP(Table2[[#This Row],[Helper colum]],Table1[],1,FALSE)</f>
        <v>#N/A</v>
      </c>
      <c r="M167" t="e">
        <f>VLOOKUP(Table2[[#This Row],[Column1]],#REF!,1,FALSE)</f>
        <v>#REF!</v>
      </c>
    </row>
    <row r="168" spans="1:13" ht="14.65">
      <c r="A168" t="s">
        <v>369</v>
      </c>
      <c r="B168" t="str">
        <f>Table2[[#This Row],[Object identification code]]&amp;" "&amp;Table2[[#This Row],[Full catalogue path]]&amp;" "&amp;Table2[[#This Row],[Object name]]</f>
        <v>025791-DTS Digital competencies &gt; IT security &amp; management CG_ITIL4_SP_HIGHVELO</v>
      </c>
      <c r="C168" t="str">
        <f>Table2[[#This Row],[Object identification code]]&amp;" "&amp;Table2[[#This Row],[Full catalogue path]]</f>
        <v>025791-DTS Digital competencies &gt; IT security &amp; management</v>
      </c>
      <c r="D168" t="s">
        <v>350</v>
      </c>
      <c r="E168" t="s">
        <v>370</v>
      </c>
      <c r="F168" t="s">
        <v>21</v>
      </c>
      <c r="G168" t="s">
        <v>22</v>
      </c>
      <c r="H168">
        <v>64</v>
      </c>
      <c r="I168" s="2">
        <v>45937.375</v>
      </c>
      <c r="J168" s="2">
        <v>45939.708333333336</v>
      </c>
      <c r="K168" s="1">
        <v>46003</v>
      </c>
      <c r="L168" t="e">
        <f>VLOOKUP(Table2[[#This Row],[Helper colum]],Table1[],1,FALSE)</f>
        <v>#N/A</v>
      </c>
      <c r="M168" t="e">
        <f>VLOOKUP(Table2[[#This Row],[Column1]],#REF!,1,FALSE)</f>
        <v>#REF!</v>
      </c>
    </row>
    <row r="169" spans="1:13" ht="14.65">
      <c r="A169" t="s">
        <v>371</v>
      </c>
      <c r="B169" t="str">
        <f>Table2[[#This Row],[Object identification code]]&amp;" "&amp;Table2[[#This Row],[Full catalogue path]]&amp;" "&amp;Table2[[#This Row],[Object name]]</f>
        <v>025789-DTS Digital competencies &gt; IT security &amp; management CG_ITIL4_STRATEGIST DIRECT</v>
      </c>
      <c r="C169" t="str">
        <f>Table2[[#This Row],[Object identification code]]&amp;" "&amp;Table2[[#This Row],[Full catalogue path]]</f>
        <v>025789-DTS Digital competencies &gt; IT security &amp; management</v>
      </c>
      <c r="D169" t="s">
        <v>350</v>
      </c>
      <c r="E169" t="s">
        <v>372</v>
      </c>
      <c r="F169" t="s">
        <v>21</v>
      </c>
      <c r="G169" t="s">
        <v>22</v>
      </c>
      <c r="H169">
        <v>71</v>
      </c>
      <c r="I169" s="2">
        <v>45901.375</v>
      </c>
      <c r="J169" s="2">
        <v>45903.708333333336</v>
      </c>
      <c r="K169" s="1">
        <v>46037</v>
      </c>
      <c r="L169" t="e">
        <f>VLOOKUP(Table2[[#This Row],[Helper colum]],Table1[],1,FALSE)</f>
        <v>#N/A</v>
      </c>
      <c r="M169" t="e">
        <f>VLOOKUP(Table2[[#This Row],[Column1]],#REF!,1,FALSE)</f>
        <v>#REF!</v>
      </c>
    </row>
    <row r="170" spans="1:13" ht="14.65">
      <c r="A170" t="s">
        <v>373</v>
      </c>
      <c r="B170" t="str">
        <f>Table2[[#This Row],[Object identification code]]&amp;" "&amp;Table2[[#This Row],[Full catalogue path]]&amp;" "&amp;Table2[[#This Row],[Object name]]</f>
        <v>069783-EP Digital competencies &gt; IT security &amp; management Cyber Escape Game</v>
      </c>
      <c r="C170" t="str">
        <f>Table2[[#This Row],[Object identification code]]&amp;" "&amp;Table2[[#This Row],[Full catalogue path]]</f>
        <v>069783-EP Digital competencies &gt; IT security &amp; management</v>
      </c>
      <c r="D170" t="s">
        <v>350</v>
      </c>
      <c r="E170" t="s">
        <v>374</v>
      </c>
      <c r="F170" t="s">
        <v>21</v>
      </c>
      <c r="G170" t="s">
        <v>22</v>
      </c>
      <c r="H170">
        <v>45</v>
      </c>
      <c r="I170" s="2">
        <v>45946.708333333336</v>
      </c>
      <c r="J170" s="2">
        <v>45946.739583333336</v>
      </c>
      <c r="K170" s="1">
        <v>46011</v>
      </c>
      <c r="L170" t="e">
        <f>VLOOKUP(Table2[[#This Row],[Helper colum]],Table1[],1,FALSE)</f>
        <v>#N/A</v>
      </c>
      <c r="M170" t="e">
        <f>VLOOKUP(Table2[[#This Row],[Column1]],#REF!,1,FALSE)</f>
        <v>#REF!</v>
      </c>
    </row>
    <row r="171" spans="1:13" ht="14.65">
      <c r="A171" t="s">
        <v>375</v>
      </c>
      <c r="B171" t="str">
        <f>Table2[[#This Row],[Object identification code]]&amp;" "&amp;Table2[[#This Row],[Full catalogue path]]&amp;" "&amp;Table2[[#This Row],[Object name]]</f>
        <v>070721-EP Digital competencies &gt; IT security &amp; management Cyber Investigation live game</v>
      </c>
      <c r="C171" t="str">
        <f>Table2[[#This Row],[Object identification code]]&amp;" "&amp;Table2[[#This Row],[Full catalogue path]]</f>
        <v>070721-EP Digital competencies &gt; IT security &amp; management</v>
      </c>
      <c r="D171" t="s">
        <v>350</v>
      </c>
      <c r="E171" t="s">
        <v>376</v>
      </c>
      <c r="F171" t="s">
        <v>21</v>
      </c>
      <c r="G171" t="s">
        <v>22</v>
      </c>
      <c r="H171">
        <v>37</v>
      </c>
      <c r="I171" s="2">
        <v>45993.416666666664</v>
      </c>
      <c r="J171" s="2">
        <v>45993.458333333336</v>
      </c>
      <c r="K171" s="1">
        <v>46050</v>
      </c>
      <c r="L171" t="e">
        <f>VLOOKUP(Table2[[#This Row],[Helper colum]],Table1[],1,FALSE)</f>
        <v>#N/A</v>
      </c>
      <c r="M171" t="e">
        <f>VLOOKUP(Table2[[#This Row],[Column1]],#REF!,1,FALSE)</f>
        <v>#REF!</v>
      </c>
    </row>
    <row r="172" spans="1:13" ht="14.65">
      <c r="A172" t="s">
        <v>377</v>
      </c>
      <c r="B172" t="str">
        <f>Table2[[#This Row],[Object identification code]]&amp;" "&amp;Table2[[#This Row],[Full catalogue path]]&amp;" "&amp;Table2[[#This Row],[Object name]]</f>
        <v xml:space="preserve">000723-DTS Digital competencies &gt; IT security &amp; management CyberAware Lunch Talks </v>
      </c>
      <c r="C172" t="str">
        <f>Table2[[#This Row],[Object identification code]]&amp;" "&amp;Table2[[#This Row],[Full catalogue path]]</f>
        <v>000723-DTS Digital competencies &gt; IT security &amp; management</v>
      </c>
      <c r="D172" t="s">
        <v>350</v>
      </c>
      <c r="E172" t="s">
        <v>378</v>
      </c>
      <c r="F172" t="s">
        <v>21</v>
      </c>
      <c r="G172" t="s">
        <v>22</v>
      </c>
      <c r="H172">
        <v>17</v>
      </c>
      <c r="I172" s="2">
        <v>46065.520833333336</v>
      </c>
      <c r="J172" s="2">
        <v>46065.583333333336</v>
      </c>
      <c r="K172" s="1">
        <v>46055</v>
      </c>
      <c r="L172" t="e">
        <f>VLOOKUP(Table2[[#This Row],[Helper colum]],Table1[],1,FALSE)</f>
        <v>#N/A</v>
      </c>
      <c r="M172" t="e">
        <f>VLOOKUP(Table2[[#This Row],[Column1]],#REF!,1,FALSE)</f>
        <v>#REF!</v>
      </c>
    </row>
    <row r="173" spans="1:13" ht="14.65">
      <c r="A173" t="s">
        <v>379</v>
      </c>
      <c r="B173" t="str">
        <f>Table2[[#This Row],[Object identification code]]&amp;" "&amp;Table2[[#This Row],[Full catalogue path]]&amp;" "&amp;Table2[[#This Row],[Object name]]</f>
        <v>068520-EP Digital competencies &gt; IT security &amp; management Cybersecurity Awareness</v>
      </c>
      <c r="C173" t="str">
        <f>Table2[[#This Row],[Object identification code]]&amp;" "&amp;Table2[[#This Row],[Full catalogue path]]</f>
        <v>068520-EP Digital competencies &gt; IT security &amp; management</v>
      </c>
      <c r="D173" t="s">
        <v>350</v>
      </c>
      <c r="E173" t="s">
        <v>380</v>
      </c>
      <c r="F173" t="s">
        <v>21</v>
      </c>
      <c r="G173" t="s">
        <v>22</v>
      </c>
      <c r="H173">
        <v>20</v>
      </c>
      <c r="I173" s="2">
        <v>46106.5625</v>
      </c>
      <c r="J173" s="2">
        <v>46106.708333333336</v>
      </c>
      <c r="K173" s="1">
        <v>46055</v>
      </c>
      <c r="L173" t="e">
        <f>VLOOKUP(Table2[[#This Row],[Helper colum]],Table1[],1,FALSE)</f>
        <v>#N/A</v>
      </c>
      <c r="M173" t="e">
        <f>VLOOKUP(Table2[[#This Row],[Column1]],#REF!,1,FALSE)</f>
        <v>#REF!</v>
      </c>
    </row>
    <row r="174" spans="1:13" ht="14.65">
      <c r="A174" t="s">
        <v>381</v>
      </c>
      <c r="B174" t="str">
        <f>Table2[[#This Row],[Object identification code]]&amp;" "&amp;Table2[[#This Row],[Full catalogue path]]&amp;" "&amp;Table2[[#This Row],[Object name]]</f>
        <v>069782-EP Digital competencies &gt; IT security &amp; management Cybersecurity SPY GAME</v>
      </c>
      <c r="C174" t="str">
        <f>Table2[[#This Row],[Object identification code]]&amp;" "&amp;Table2[[#This Row],[Full catalogue path]]</f>
        <v>069782-EP Digital competencies &gt; IT security &amp; management</v>
      </c>
      <c r="D174" t="s">
        <v>350</v>
      </c>
      <c r="E174" t="s">
        <v>382</v>
      </c>
      <c r="F174" t="s">
        <v>21</v>
      </c>
      <c r="G174" t="s">
        <v>22</v>
      </c>
      <c r="H174">
        <v>34</v>
      </c>
      <c r="I174" s="2">
        <v>45952.624305555553</v>
      </c>
      <c r="J174" s="2">
        <v>45952.6875</v>
      </c>
      <c r="K174" s="1">
        <v>46049</v>
      </c>
      <c r="L174" t="e">
        <f>VLOOKUP(Table2[[#This Row],[Helper colum]],Table1[],1,FALSE)</f>
        <v>#N/A</v>
      </c>
      <c r="M174" t="e">
        <f>VLOOKUP(Table2[[#This Row],[Column1]],#REF!,1,FALSE)</f>
        <v>#REF!</v>
      </c>
    </row>
    <row r="175" spans="1:13" ht="14.65">
      <c r="A175" t="s">
        <v>383</v>
      </c>
      <c r="B175" t="str">
        <f>Table2[[#This Row],[Object identification code]]&amp;" "&amp;Table2[[#This Row],[Full catalogue path]]&amp;" "&amp;Table2[[#This Row],[Object name]]</f>
        <v>020588-EP-0001-EN-GB Digital competencies &gt; IT security &amp; management IT Security in the EP</v>
      </c>
      <c r="C175" t="str">
        <f>Table2[[#This Row],[Object identification code]]&amp;" "&amp;Table2[[#This Row],[Full catalogue path]]</f>
        <v>020588-EP-0001-EN-GB Digital competencies &gt; IT security &amp; management</v>
      </c>
      <c r="D175" t="s">
        <v>350</v>
      </c>
      <c r="E175" t="s">
        <v>384</v>
      </c>
      <c r="F175" t="s">
        <v>16</v>
      </c>
      <c r="I175" t="s">
        <v>17</v>
      </c>
      <c r="K175" s="1">
        <v>46049</v>
      </c>
      <c r="L175" t="e">
        <f>VLOOKUP(Table2[[#This Row],[Helper colum]],Table1[],1,FALSE)</f>
        <v>#N/A</v>
      </c>
      <c r="M175" t="e">
        <f>VLOOKUP(Table2[[#This Row],[Column1]],#REF!,1,FALSE)</f>
        <v>#REF!</v>
      </c>
    </row>
    <row r="176" spans="1:13" ht="14.65">
      <c r="A176" t="s">
        <v>385</v>
      </c>
      <c r="B176" t="str">
        <f>Table2[[#This Row],[Object identification code]]&amp;" "&amp;Table2[[#This Row],[Full catalogue path]]&amp;" "&amp;Table2[[#This Row],[Object name]]</f>
        <v>EP_002159 Digital competencies &gt; IT security &amp; management Prepare for the CompTIA Security+ (SY0-601) Certification Exam</v>
      </c>
      <c r="C176" t="str">
        <f>Table2[[#This Row],[Object identification code]]&amp;" "&amp;Table2[[#This Row],[Full catalogue path]]</f>
        <v>EP_002159 Digital competencies &gt; IT security &amp; management</v>
      </c>
      <c r="D176" t="s">
        <v>350</v>
      </c>
      <c r="E176" t="s">
        <v>386</v>
      </c>
      <c r="F176" t="s">
        <v>38</v>
      </c>
      <c r="K176" s="1">
        <v>46049</v>
      </c>
      <c r="L176" t="e">
        <f>VLOOKUP(Table2[[#This Row],[Helper colum]],Table1[],1,FALSE)</f>
        <v>#N/A</v>
      </c>
      <c r="M176" t="e">
        <f>VLOOKUP(Table2[[#This Row],[Column1]],#REF!,1,FALSE)</f>
        <v>#REF!</v>
      </c>
    </row>
    <row r="177" spans="1:13" ht="14.65">
      <c r="A177" t="s">
        <v>387</v>
      </c>
      <c r="B177" t="str">
        <f>Table2[[#This Row],[Object identification code]]&amp;" "&amp;Table2[[#This Row],[Full catalogue path]]&amp;" "&amp;Table2[[#This Row],[Object name]]</f>
        <v>061961-EP Digital competencies &gt; Other applications Electronic Signature - Alice in Cipher World</v>
      </c>
      <c r="C177" t="str">
        <f>Table2[[#This Row],[Object identification code]]&amp;" "&amp;Table2[[#This Row],[Full catalogue path]]</f>
        <v>061961-EP Digital competencies &gt; Other applications</v>
      </c>
      <c r="D177" t="s">
        <v>388</v>
      </c>
      <c r="E177" t="s">
        <v>389</v>
      </c>
      <c r="F177" t="s">
        <v>21</v>
      </c>
      <c r="G177" t="s">
        <v>22</v>
      </c>
      <c r="H177">
        <v>47</v>
      </c>
      <c r="K177" s="1">
        <v>46055</v>
      </c>
      <c r="L177" t="e">
        <f>VLOOKUP(Table2[[#This Row],[Helper colum]],Table1[],1,FALSE)</f>
        <v>#N/A</v>
      </c>
      <c r="M177" t="e">
        <f>VLOOKUP(Table2[[#This Row],[Column1]],#REF!,1,FALSE)</f>
        <v>#REF!</v>
      </c>
    </row>
    <row r="178" spans="1:13" ht="14.65">
      <c r="B178" t="str">
        <f>Table2[[#This Row],[Object identification code]]&amp;" "&amp;Table2[[#This Row],[Full catalogue path]]&amp;" "&amp;Table2[[#This Row],[Object name]]</f>
        <v xml:space="preserve"> Digital competencies &gt; Other applications Getting Started with Digital Facilitation in Howspace Session Recording</v>
      </c>
      <c r="C178" t="str">
        <f>Table2[[#This Row],[Object identification code]]&amp;" "&amp;Table2[[#This Row],[Full catalogue path]]</f>
        <v xml:space="preserve"> Digital competencies &gt; Other applications</v>
      </c>
      <c r="D178" t="s">
        <v>388</v>
      </c>
      <c r="E178" t="s">
        <v>390</v>
      </c>
      <c r="F178" t="s">
        <v>76</v>
      </c>
      <c r="L178" t="e">
        <f>VLOOKUP(Table2[[#This Row],[Helper colum]],Table1[],1,FALSE)</f>
        <v>#N/A</v>
      </c>
      <c r="M178" t="e">
        <f>VLOOKUP(Table2[[#This Row],[Column1]],#REF!,1,FALSE)</f>
        <v>#REF!</v>
      </c>
    </row>
    <row r="179" spans="1:13" ht="14.65">
      <c r="A179" t="s">
        <v>391</v>
      </c>
      <c r="B179" t="str">
        <f>Table2[[#This Row],[Object identification code]]&amp;" "&amp;Table2[[#This Row],[Full catalogue path]]&amp;" "&amp;Table2[[#This Row],[Object name]]</f>
        <v>031029-DTS-0008-EN-GB Digital competencies &gt; Other applications Intermediate Python</v>
      </c>
      <c r="C179" t="str">
        <f>Table2[[#This Row],[Object identification code]]&amp;" "&amp;Table2[[#This Row],[Full catalogue path]]</f>
        <v>031029-DTS-0008-EN-GB Digital competencies &gt; Other applications</v>
      </c>
      <c r="D179" t="s">
        <v>388</v>
      </c>
      <c r="E179" t="s">
        <v>392</v>
      </c>
      <c r="F179" t="s">
        <v>16</v>
      </c>
      <c r="I179" s="2">
        <v>45771.375</v>
      </c>
      <c r="J179" s="2">
        <v>45772.708333333336</v>
      </c>
      <c r="K179" s="1">
        <v>45848</v>
      </c>
      <c r="L179" t="e">
        <f>VLOOKUP(Table2[[#This Row],[Helper colum]],Table1[],1,FALSE)</f>
        <v>#N/A</v>
      </c>
      <c r="M179" t="e">
        <f>VLOOKUP(Table2[[#This Row],[Column1]],#REF!,1,FALSE)</f>
        <v>#REF!</v>
      </c>
    </row>
    <row r="180" spans="1:13" ht="14.65">
      <c r="A180" t="s">
        <v>393</v>
      </c>
      <c r="B180" t="str">
        <f>Table2[[#This Row],[Object identification code]]&amp;" "&amp;Table2[[#This Row],[Full catalogue path]]&amp;" "&amp;Table2[[#This Row],[Object name]]</f>
        <v>072340-EP Digital competencies &gt; Other applications Introduction to Power Automate and Power Apps</v>
      </c>
      <c r="C180" t="str">
        <f>Table2[[#This Row],[Object identification code]]&amp;" "&amp;Table2[[#This Row],[Full catalogue path]]</f>
        <v>072340-EP Digital competencies &gt; Other applications</v>
      </c>
      <c r="D180" t="s">
        <v>388</v>
      </c>
      <c r="E180" t="s">
        <v>394</v>
      </c>
      <c r="F180" t="s">
        <v>21</v>
      </c>
      <c r="G180" t="s">
        <v>22</v>
      </c>
      <c r="H180">
        <v>52</v>
      </c>
      <c r="I180" s="2">
        <v>46092.375</v>
      </c>
      <c r="J180" s="2">
        <v>46093.708333333336</v>
      </c>
      <c r="K180" s="1">
        <v>46056</v>
      </c>
      <c r="L180" t="e">
        <f>VLOOKUP(Table2[[#This Row],[Helper colum]],Table1[],1,FALSE)</f>
        <v>#N/A</v>
      </c>
      <c r="M180" t="e">
        <f>VLOOKUP(Table2[[#This Row],[Column1]],#REF!,1,FALSE)</f>
        <v>#REF!</v>
      </c>
    </row>
    <row r="181" spans="1:13" ht="14.65">
      <c r="A181" t="s">
        <v>395</v>
      </c>
      <c r="B181" t="str">
        <f>Table2[[#This Row],[Object identification code]]&amp;" "&amp;Table2[[#This Row],[Full catalogue path]]&amp;" "&amp;Table2[[#This Row],[Object name]]</f>
        <v xml:space="preserve">037260-DTS Digital competencies &gt; Other applications KJ LD_MS - Mastering SPARQL </v>
      </c>
      <c r="C181" t="str">
        <f>Table2[[#This Row],[Object identification code]]&amp;" "&amp;Table2[[#This Row],[Full catalogue path]]</f>
        <v>037260-DTS Digital competencies &gt; Other applications</v>
      </c>
      <c r="D181" t="s">
        <v>388</v>
      </c>
      <c r="E181" t="s">
        <v>396</v>
      </c>
      <c r="F181" t="s">
        <v>21</v>
      </c>
      <c r="G181" t="s">
        <v>22</v>
      </c>
      <c r="H181">
        <v>30</v>
      </c>
      <c r="I181" s="2">
        <v>45560.4375</v>
      </c>
      <c r="J181" s="2">
        <v>45565.625</v>
      </c>
      <c r="K181" s="1">
        <v>45981</v>
      </c>
      <c r="L181" t="e">
        <f>VLOOKUP(Table2[[#This Row],[Helper colum]],Table1[],1,FALSE)</f>
        <v>#N/A</v>
      </c>
      <c r="M181" t="e">
        <f>VLOOKUP(Table2[[#This Row],[Column1]],#REF!,1,FALSE)</f>
        <v>#REF!</v>
      </c>
    </row>
    <row r="182" spans="1:13" ht="14.65">
      <c r="A182" t="s">
        <v>397</v>
      </c>
      <c r="B182" t="str">
        <f>Table2[[#This Row],[Object identification code]]&amp;" "&amp;Table2[[#This Row],[Full catalogue path]]&amp;" "&amp;Table2[[#This Row],[Object name]]</f>
        <v>033249-DTS Digital competencies &gt; Other applications KJ SAP Business Objects 4.3 Basics</v>
      </c>
      <c r="C182" t="str">
        <f>Table2[[#This Row],[Object identification code]]&amp;" "&amp;Table2[[#This Row],[Full catalogue path]]</f>
        <v>033249-DTS Digital competencies &gt; Other applications</v>
      </c>
      <c r="D182" t="s">
        <v>388</v>
      </c>
      <c r="E182" t="s">
        <v>398</v>
      </c>
      <c r="F182" t="s">
        <v>21</v>
      </c>
      <c r="G182" t="s">
        <v>22</v>
      </c>
      <c r="H182">
        <v>218</v>
      </c>
      <c r="I182" s="2">
        <v>46104.375</v>
      </c>
      <c r="J182" s="2">
        <v>46105.708333333336</v>
      </c>
      <c r="K182" s="1">
        <v>46056</v>
      </c>
      <c r="L182" t="e">
        <f>VLOOKUP(Table2[[#This Row],[Helper colum]],Table1[],1,FALSE)</f>
        <v>#N/A</v>
      </c>
      <c r="M182" t="e">
        <f>VLOOKUP(Table2[[#This Row],[Column1]],#REF!,1,FALSE)</f>
        <v>#REF!</v>
      </c>
    </row>
    <row r="183" spans="1:13" ht="14.65">
      <c r="A183" t="s">
        <v>399</v>
      </c>
      <c r="B183" t="str">
        <f>Table2[[#This Row],[Object identification code]]&amp;" "&amp;Table2[[#This Row],[Full catalogue path]]&amp;" "&amp;Table2[[#This Row],[Object name]]</f>
        <v>073141-CONS-0014-EN-GB Digital competencies &gt; Other applications Lost in superposition: quantum computing for non-specialists</v>
      </c>
      <c r="C183" t="str">
        <f>Table2[[#This Row],[Object identification code]]&amp;" "&amp;Table2[[#This Row],[Full catalogue path]]</f>
        <v>073141-CONS-0014-EN-GB Digital competencies &gt; Other applications</v>
      </c>
      <c r="D183" t="s">
        <v>388</v>
      </c>
      <c r="E183" t="s">
        <v>400</v>
      </c>
      <c r="F183" t="s">
        <v>16</v>
      </c>
      <c r="I183" s="2">
        <v>46057.4375</v>
      </c>
      <c r="J183" s="2">
        <v>46057.479166666664</v>
      </c>
      <c r="K183" s="1">
        <v>46056</v>
      </c>
      <c r="L183" t="e">
        <f>VLOOKUP(Table2[[#This Row],[Helper colum]],Table1[],1,FALSE)</f>
        <v>#N/A</v>
      </c>
      <c r="M183" t="e">
        <f>VLOOKUP(Table2[[#This Row],[Column1]],#REF!,1,FALSE)</f>
        <v>#REF!</v>
      </c>
    </row>
    <row r="184" spans="1:13" ht="14.65">
      <c r="A184" t="s">
        <v>401</v>
      </c>
      <c r="B184" t="str">
        <f>Table2[[#This Row],[Object identification code]]&amp;" "&amp;Table2[[#This Row],[Full catalogue path]]&amp;" "&amp;Table2[[#This Row],[Object name]]</f>
        <v>071194-OP-0001-EN-GB Digital competencies &gt; Other applications Multimedia formats in publishing</v>
      </c>
      <c r="C184" t="str">
        <f>Table2[[#This Row],[Object identification code]]&amp;" "&amp;Table2[[#This Row],[Full catalogue path]]</f>
        <v>071194-OP-0001-EN-GB Digital competencies &gt; Other applications</v>
      </c>
      <c r="D184" t="s">
        <v>388</v>
      </c>
      <c r="E184" t="s">
        <v>402</v>
      </c>
      <c r="F184" t="s">
        <v>16</v>
      </c>
      <c r="I184" t="s">
        <v>17</v>
      </c>
      <c r="K184" s="1">
        <v>46056</v>
      </c>
      <c r="L184" t="e">
        <f>VLOOKUP(Table2[[#This Row],[Helper colum]],Table1[],1,FALSE)</f>
        <v>#N/A</v>
      </c>
      <c r="M184" t="e">
        <f>VLOOKUP(Table2[[#This Row],[Column1]],#REF!,1,FALSE)</f>
        <v>#REF!</v>
      </c>
    </row>
    <row r="185" spans="1:13" ht="14.65">
      <c r="A185" t="s">
        <v>403</v>
      </c>
      <c r="B185" t="str">
        <f>Table2[[#This Row],[Object identification code]]&amp;" "&amp;Table2[[#This Row],[Full catalogue path]]&amp;" "&amp;Table2[[#This Row],[Object name]]</f>
        <v>069205-EP Digital competencies &gt; Other applications Power BI - Advanced</v>
      </c>
      <c r="C185" t="str">
        <f>Table2[[#This Row],[Object identification code]]&amp;" "&amp;Table2[[#This Row],[Full catalogue path]]</f>
        <v>069205-EP Digital competencies &gt; Other applications</v>
      </c>
      <c r="D185" t="s">
        <v>388</v>
      </c>
      <c r="E185" t="s">
        <v>404</v>
      </c>
      <c r="F185" t="s">
        <v>21</v>
      </c>
      <c r="G185" t="s">
        <v>22</v>
      </c>
      <c r="H185">
        <v>25</v>
      </c>
      <c r="I185" s="2">
        <v>46104.375</v>
      </c>
      <c r="J185" s="2">
        <v>46105.708333333336</v>
      </c>
      <c r="K185" s="1">
        <v>46056</v>
      </c>
      <c r="L185" t="e">
        <f>VLOOKUP(Table2[[#This Row],[Helper colum]],Table1[],1,FALSE)</f>
        <v>#N/A</v>
      </c>
      <c r="M185" t="e">
        <f>VLOOKUP(Table2[[#This Row],[Column1]],#REF!,1,FALSE)</f>
        <v>#REF!</v>
      </c>
    </row>
    <row r="186" spans="1:13" ht="14.65">
      <c r="A186" t="s">
        <v>405</v>
      </c>
      <c r="B186" t="str">
        <f>Table2[[#This Row],[Object identification code]]&amp;" "&amp;Table2[[#This Row],[Full catalogue path]]&amp;" "&amp;Table2[[#This Row],[Object name]]</f>
        <v>069204-EP Digital competencies &gt; Other applications Power BI - Introduction</v>
      </c>
      <c r="C186" t="str">
        <f>Table2[[#This Row],[Object identification code]]&amp;" "&amp;Table2[[#This Row],[Full catalogue path]]</f>
        <v>069204-EP Digital competencies &gt; Other applications</v>
      </c>
      <c r="D186" t="s">
        <v>388</v>
      </c>
      <c r="E186" t="s">
        <v>406</v>
      </c>
      <c r="F186" t="s">
        <v>21</v>
      </c>
      <c r="G186" t="s">
        <v>22</v>
      </c>
      <c r="H186">
        <v>47</v>
      </c>
      <c r="I186" s="2">
        <v>46083.375</v>
      </c>
      <c r="J186" s="2">
        <v>46083.711805555555</v>
      </c>
      <c r="K186" s="1">
        <v>46056</v>
      </c>
      <c r="L186" t="e">
        <f>VLOOKUP(Table2[[#This Row],[Helper colum]],Table1[],1,FALSE)</f>
        <v>#N/A</v>
      </c>
      <c r="M186" t="e">
        <f>VLOOKUP(Table2[[#This Row],[Column1]],#REF!,1,FALSE)</f>
        <v>#REF!</v>
      </c>
    </row>
    <row r="187" spans="1:13" ht="14.65">
      <c r="A187" t="s">
        <v>407</v>
      </c>
      <c r="B187" t="str">
        <f>Table2[[#This Row],[Object identification code]]&amp;" "&amp;Table2[[#This Row],[Full catalogue path]]&amp;" "&amp;Table2[[#This Row],[Object name]]</f>
        <v>073141-CONS-0017-EN-GB Digital competencies &gt; Other applications REBEL REBEL – The Rock’n’Roll Guide  to Digital Innovation</v>
      </c>
      <c r="C187" t="str">
        <f>Table2[[#This Row],[Object identification code]]&amp;" "&amp;Table2[[#This Row],[Full catalogue path]]</f>
        <v>073141-CONS-0017-EN-GB Digital competencies &gt; Other applications</v>
      </c>
      <c r="D187" t="s">
        <v>388</v>
      </c>
      <c r="E187" t="s">
        <v>408</v>
      </c>
      <c r="F187" t="s">
        <v>16</v>
      </c>
      <c r="I187" s="2">
        <v>46056.520833333336</v>
      </c>
      <c r="J187" s="2">
        <v>46056.583333333336</v>
      </c>
      <c r="K187" s="1">
        <v>46056</v>
      </c>
      <c r="L187" t="e">
        <f>VLOOKUP(Table2[[#This Row],[Helper colum]],Table1[],1,FALSE)</f>
        <v>#N/A</v>
      </c>
      <c r="M187" t="e">
        <f>VLOOKUP(Table2[[#This Row],[Column1]],#REF!,1,FALSE)</f>
        <v>#REF!</v>
      </c>
    </row>
    <row r="188" spans="1:13" ht="14.65">
      <c r="A188" t="s">
        <v>409</v>
      </c>
      <c r="B188" t="str">
        <f>Table2[[#This Row],[Object identification code]]&amp;" "&amp;Table2[[#This Row],[Full catalogue path]]&amp;" "&amp;Table2[[#This Row],[Object name]]</f>
        <v>065420-EP Digital competencies &gt; Other applications SharePoint on-premises - END USERS</v>
      </c>
      <c r="C188" t="str">
        <f>Table2[[#This Row],[Object identification code]]&amp;" "&amp;Table2[[#This Row],[Full catalogue path]]</f>
        <v>065420-EP Digital competencies &gt; Other applications</v>
      </c>
      <c r="D188" t="s">
        <v>388</v>
      </c>
      <c r="E188" t="s">
        <v>410</v>
      </c>
      <c r="F188" t="s">
        <v>21</v>
      </c>
      <c r="G188" t="s">
        <v>22</v>
      </c>
      <c r="H188">
        <v>20</v>
      </c>
      <c r="I188" s="2">
        <v>46097.375</v>
      </c>
      <c r="J188" s="2">
        <v>46097.520833333336</v>
      </c>
      <c r="K188" s="1">
        <v>46055</v>
      </c>
      <c r="L188" t="e">
        <f>VLOOKUP(Table2[[#This Row],[Helper colum]],Table1[],1,FALSE)</f>
        <v>#N/A</v>
      </c>
      <c r="M188" t="e">
        <f>VLOOKUP(Table2[[#This Row],[Column1]],#REF!,1,FALSE)</f>
        <v>#REF!</v>
      </c>
    </row>
    <row r="189" spans="1:13" ht="14.65">
      <c r="A189" t="s">
        <v>411</v>
      </c>
      <c r="B189" t="str">
        <f>Table2[[#This Row],[Object identification code]]&amp;" "&amp;Table2[[#This Row],[Full catalogue path]]&amp;" "&amp;Table2[[#This Row],[Object name]]</f>
        <v>065422-EP Digital competencies &gt; Other applications SharePoint on-premises - POWER USERS</v>
      </c>
      <c r="C189" t="str">
        <f>Table2[[#This Row],[Object identification code]]&amp;" "&amp;Table2[[#This Row],[Full catalogue path]]</f>
        <v>065422-EP Digital competencies &gt; Other applications</v>
      </c>
      <c r="D189" t="s">
        <v>388</v>
      </c>
      <c r="E189" t="s">
        <v>412</v>
      </c>
      <c r="F189" t="s">
        <v>21</v>
      </c>
      <c r="G189" t="s">
        <v>22</v>
      </c>
      <c r="H189">
        <v>10</v>
      </c>
      <c r="I189" s="2">
        <v>46097.5625</v>
      </c>
      <c r="J189" s="2">
        <v>46097.708333333336</v>
      </c>
      <c r="K189" s="1">
        <v>46055</v>
      </c>
      <c r="L189" t="e">
        <f>VLOOKUP(Table2[[#This Row],[Helper colum]],Table1[],1,FALSE)</f>
        <v>#N/A</v>
      </c>
      <c r="M189" t="e">
        <f>VLOOKUP(Table2[[#This Row],[Column1]],#REF!,1,FALSE)</f>
        <v>#REF!</v>
      </c>
    </row>
    <row r="190" spans="1:13" ht="14.65">
      <c r="A190" t="s">
        <v>413</v>
      </c>
      <c r="B190" t="str">
        <f>Table2[[#This Row],[Object identification code]]&amp;" "&amp;Table2[[#This Row],[Full catalogue path]]&amp;" "&amp;Table2[[#This Row],[Object name]]</f>
        <v>049426-LT-0019-EN-GB Digital competencies &gt; Other applications Social engineering</v>
      </c>
      <c r="C190" t="str">
        <f>Table2[[#This Row],[Object identification code]]&amp;" "&amp;Table2[[#This Row],[Full catalogue path]]</f>
        <v>049426-LT-0019-EN-GB Digital competencies &gt; Other applications</v>
      </c>
      <c r="D190" t="s">
        <v>388</v>
      </c>
      <c r="E190" t="s">
        <v>414</v>
      </c>
      <c r="F190" t="s">
        <v>16</v>
      </c>
      <c r="I190" t="s">
        <v>17</v>
      </c>
      <c r="K190" s="1">
        <v>46007</v>
      </c>
      <c r="L190" t="e">
        <f>VLOOKUP(Table2[[#This Row],[Helper colum]],Table1[],1,FALSE)</f>
        <v>#N/A</v>
      </c>
      <c r="M190" t="e">
        <f>VLOOKUP(Table2[[#This Row],[Column1]],#REF!,1,FALSE)</f>
        <v>#REF!</v>
      </c>
    </row>
    <row r="191" spans="1:13" ht="14.65">
      <c r="A191" t="s">
        <v>415</v>
      </c>
      <c r="B191" t="str">
        <f>Table2[[#This Row],[Object identification code]]&amp;" "&amp;Table2[[#This Row],[Full catalogue path]]&amp;" "&amp;Table2[[#This Row],[Object name]]</f>
        <v>073000-EP Digital competencies &gt; Other applications What's New in Windows 11?</v>
      </c>
      <c r="C191" t="str">
        <f>Table2[[#This Row],[Object identification code]]&amp;" "&amp;Table2[[#This Row],[Full catalogue path]]</f>
        <v>073000-EP Digital competencies &gt; Other applications</v>
      </c>
      <c r="D191" t="s">
        <v>388</v>
      </c>
      <c r="E191" t="s">
        <v>416</v>
      </c>
      <c r="F191" t="s">
        <v>21</v>
      </c>
      <c r="G191" t="s">
        <v>22</v>
      </c>
      <c r="H191">
        <v>5</v>
      </c>
      <c r="I191" s="2">
        <v>46079.458333333336</v>
      </c>
      <c r="J191" s="2">
        <v>46079.520833333336</v>
      </c>
      <c r="K191" s="1">
        <v>46055</v>
      </c>
      <c r="L191" t="e">
        <f>VLOOKUP(Table2[[#This Row],[Helper colum]],Table1[],1,FALSE)</f>
        <v>#N/A</v>
      </c>
      <c r="M191" t="e">
        <f>VLOOKUP(Table2[[#This Row],[Column1]],#REF!,1,FALSE)</f>
        <v>#REF!</v>
      </c>
    </row>
    <row r="192" spans="1:13" ht="14.65">
      <c r="A192" t="s">
        <v>417</v>
      </c>
      <c r="B192" t="str">
        <f>Table2[[#This Row],[Object identification code]]&amp;" "&amp;Table2[[#This Row],[Full catalogue path]]&amp;" "&amp;Table2[[#This Row],[Object name]]</f>
        <v>059002-EP Digital competencies &gt; Outlook MS Outlook - Manage your Mailbox</v>
      </c>
      <c r="C192" t="str">
        <f>Table2[[#This Row],[Object identification code]]&amp;" "&amp;Table2[[#This Row],[Full catalogue path]]</f>
        <v>059002-EP Digital competencies &gt; Outlook</v>
      </c>
      <c r="D192" t="s">
        <v>418</v>
      </c>
      <c r="E192" t="s">
        <v>419</v>
      </c>
      <c r="F192" t="s">
        <v>21</v>
      </c>
      <c r="G192" t="s">
        <v>22</v>
      </c>
      <c r="H192">
        <v>38</v>
      </c>
      <c r="I192" s="2">
        <v>46056.375</v>
      </c>
      <c r="J192" s="2">
        <v>46056.520833333336</v>
      </c>
      <c r="K192" s="1">
        <v>46056</v>
      </c>
      <c r="L192" t="e">
        <f>VLOOKUP(Table2[[#This Row],[Helper colum]],Table1[],1,FALSE)</f>
        <v>#N/A</v>
      </c>
      <c r="M192" t="e">
        <f>VLOOKUP(Table2[[#This Row],[Column1]],#REF!,1,FALSE)</f>
        <v>#REF!</v>
      </c>
    </row>
    <row r="193" spans="1:13" ht="14.65">
      <c r="A193" t="s">
        <v>420</v>
      </c>
      <c r="B193" t="str">
        <f>Table2[[#This Row],[Object identification code]]&amp;" "&amp;Table2[[#This Row],[Full catalogue path]]&amp;" "&amp;Table2[[#This Row],[Object name]]</f>
        <v>059020-EP Digital competencies &gt; Outlook MS Outlook - Tips and tricks</v>
      </c>
      <c r="C193" t="str">
        <f>Table2[[#This Row],[Object identification code]]&amp;" "&amp;Table2[[#This Row],[Full catalogue path]]</f>
        <v>059020-EP Digital competencies &gt; Outlook</v>
      </c>
      <c r="D193" t="s">
        <v>418</v>
      </c>
      <c r="E193" t="s">
        <v>421</v>
      </c>
      <c r="F193" t="s">
        <v>21</v>
      </c>
      <c r="G193" t="s">
        <v>22</v>
      </c>
      <c r="H193">
        <v>35</v>
      </c>
      <c r="I193" s="2">
        <v>46056.5625</v>
      </c>
      <c r="J193" s="2">
        <v>46056.708333333336</v>
      </c>
      <c r="K193" s="1">
        <v>46056</v>
      </c>
      <c r="L193" t="e">
        <f>VLOOKUP(Table2[[#This Row],[Helper colum]],Table1[],1,FALSE)</f>
        <v>#N/A</v>
      </c>
      <c r="M193" t="e">
        <f>VLOOKUP(Table2[[#This Row],[Column1]],#REF!,1,FALSE)</f>
        <v>#REF!</v>
      </c>
    </row>
    <row r="194" spans="1:13" ht="14.65">
      <c r="A194" t="s">
        <v>422</v>
      </c>
      <c r="B194" t="str">
        <f>Table2[[#This Row],[Object identification code]]&amp;" "&amp;Table2[[#This Row],[Full catalogue path]]&amp;" "&amp;Table2[[#This Row],[Object name]]</f>
        <v>059028-EP Digital competencies &gt; PowerPoint MS PowerPoint - Introduction</v>
      </c>
      <c r="C194" t="str">
        <f>Table2[[#This Row],[Object identification code]]&amp;" "&amp;Table2[[#This Row],[Full catalogue path]]</f>
        <v>059028-EP Digital competencies &gt; PowerPoint</v>
      </c>
      <c r="D194" t="s">
        <v>423</v>
      </c>
      <c r="E194" t="s">
        <v>424</v>
      </c>
      <c r="F194" t="s">
        <v>21</v>
      </c>
      <c r="G194" t="s">
        <v>22</v>
      </c>
      <c r="H194">
        <v>24</v>
      </c>
      <c r="I194" s="2">
        <v>45393.375</v>
      </c>
      <c r="J194" s="2">
        <v>45393.708333333336</v>
      </c>
      <c r="K194" s="1">
        <v>45923</v>
      </c>
      <c r="L194" t="e">
        <f>VLOOKUP(Table2[[#This Row],[Helper colum]],Table1[],1,FALSE)</f>
        <v>#N/A</v>
      </c>
      <c r="M194" t="e">
        <f>VLOOKUP(Table2[[#This Row],[Column1]],#REF!,1,FALSE)</f>
        <v>#REF!</v>
      </c>
    </row>
    <row r="195" spans="1:13" ht="14.65">
      <c r="A195" t="s">
        <v>425</v>
      </c>
      <c r="B195" t="str">
        <f>Table2[[#This Row],[Object identification code]]&amp;" "&amp;Table2[[#This Row],[Full catalogue path]]&amp;" "&amp;Table2[[#This Row],[Object name]]</f>
        <v>028276-EP Digital competencies &gt; Teams MICROSOFT TEAMS Advanced Tips &amp; tricks for Champions</v>
      </c>
      <c r="C195" t="str">
        <f>Table2[[#This Row],[Object identification code]]&amp;" "&amp;Table2[[#This Row],[Full catalogue path]]</f>
        <v>028276-EP Digital competencies &gt; Teams</v>
      </c>
      <c r="D195" t="s">
        <v>426</v>
      </c>
      <c r="E195" t="s">
        <v>427</v>
      </c>
      <c r="F195" t="s">
        <v>21</v>
      </c>
      <c r="G195" t="s">
        <v>22</v>
      </c>
      <c r="H195">
        <v>44</v>
      </c>
      <c r="I195" s="2">
        <v>46079.645833333336</v>
      </c>
      <c r="J195" s="2">
        <v>46079.708333333336</v>
      </c>
      <c r="K195" s="1">
        <v>46055</v>
      </c>
      <c r="L195" t="e">
        <f>VLOOKUP(Table2[[#This Row],[Helper colum]],Table1[],1,FALSE)</f>
        <v>#N/A</v>
      </c>
      <c r="M195" t="e">
        <f>VLOOKUP(Table2[[#This Row],[Column1]],#REF!,1,FALSE)</f>
        <v>#REF!</v>
      </c>
    </row>
    <row r="196" spans="1:13" ht="14.65">
      <c r="A196" t="s">
        <v>428</v>
      </c>
      <c r="B196" t="str">
        <f>Table2[[#This Row],[Object identification code]]&amp;" "&amp;Table2[[#This Row],[Full catalogue path]]&amp;" "&amp;Table2[[#This Row],[Object name]]</f>
        <v>025865-EP Digital competencies &gt; Teams MICROSOFT TEAMS Essential 1</v>
      </c>
      <c r="C196" t="str">
        <f>Table2[[#This Row],[Object identification code]]&amp;" "&amp;Table2[[#This Row],[Full catalogue path]]</f>
        <v>025865-EP Digital competencies &gt; Teams</v>
      </c>
      <c r="D196" t="s">
        <v>426</v>
      </c>
      <c r="E196" t="s">
        <v>429</v>
      </c>
      <c r="F196" t="s">
        <v>21</v>
      </c>
      <c r="G196" t="s">
        <v>22</v>
      </c>
      <c r="H196">
        <v>141</v>
      </c>
      <c r="I196" s="2">
        <v>46100.375</v>
      </c>
      <c r="J196" s="2">
        <v>46100.4375</v>
      </c>
      <c r="K196" s="1">
        <v>46056</v>
      </c>
      <c r="L196" t="e">
        <f>VLOOKUP(Table2[[#This Row],[Helper colum]],Table1[],1,FALSE)</f>
        <v>#N/A</v>
      </c>
      <c r="M196" t="e">
        <f>VLOOKUP(Table2[[#This Row],[Column1]],#REF!,1,FALSE)</f>
        <v>#REF!</v>
      </c>
    </row>
    <row r="197" spans="1:13" ht="14.65">
      <c r="A197" t="s">
        <v>430</v>
      </c>
      <c r="B197" t="str">
        <f>Table2[[#This Row],[Object identification code]]&amp;" "&amp;Table2[[#This Row],[Full catalogue path]]&amp;" "&amp;Table2[[#This Row],[Object name]]</f>
        <v>026255-EP Digital competencies &gt; Teams MICROSOFT TEAMS Essential 2</v>
      </c>
      <c r="C197" t="str">
        <f>Table2[[#This Row],[Object identification code]]&amp;" "&amp;Table2[[#This Row],[Full catalogue path]]</f>
        <v>026255-EP Digital competencies &gt; Teams</v>
      </c>
      <c r="D197" t="s">
        <v>426</v>
      </c>
      <c r="E197" t="s">
        <v>431</v>
      </c>
      <c r="F197" t="s">
        <v>21</v>
      </c>
      <c r="G197" t="s">
        <v>22</v>
      </c>
      <c r="H197">
        <v>90</v>
      </c>
      <c r="I197" s="2">
        <v>46100.458333333336</v>
      </c>
      <c r="J197" s="2">
        <v>46100.520833333336</v>
      </c>
      <c r="K197" s="1">
        <v>46055</v>
      </c>
      <c r="L197" t="e">
        <f>VLOOKUP(Table2[[#This Row],[Helper colum]],Table1[],1,FALSE)</f>
        <v>#N/A</v>
      </c>
      <c r="M197" t="e">
        <f>VLOOKUP(Table2[[#This Row],[Column1]],#REF!,1,FALSE)</f>
        <v>#REF!</v>
      </c>
    </row>
    <row r="198" spans="1:13" ht="14.65">
      <c r="A198" t="s">
        <v>432</v>
      </c>
      <c r="B198" t="str">
        <f>Table2[[#This Row],[Object identification code]]&amp;" "&amp;Table2[[#This Row],[Full catalogue path]]&amp;" "&amp;Table2[[#This Row],[Object name]]</f>
        <v>028495-EP Digital competencies &gt; Teams MICROSOFT TEAMS: Collaborate on Documents in Teams</v>
      </c>
      <c r="C198" t="str">
        <f>Table2[[#This Row],[Object identification code]]&amp;" "&amp;Table2[[#This Row],[Full catalogue path]]</f>
        <v>028495-EP Digital competencies &gt; Teams</v>
      </c>
      <c r="D198" t="s">
        <v>426</v>
      </c>
      <c r="E198" t="s">
        <v>433</v>
      </c>
      <c r="F198" t="s">
        <v>21</v>
      </c>
      <c r="G198" t="s">
        <v>22</v>
      </c>
      <c r="H198">
        <v>38</v>
      </c>
      <c r="I198" s="2">
        <v>46100.645833333336</v>
      </c>
      <c r="J198" s="2">
        <v>46100.708333333336</v>
      </c>
      <c r="K198" s="1">
        <v>46049</v>
      </c>
      <c r="L198" t="e">
        <f>VLOOKUP(Table2[[#This Row],[Helper colum]],Table1[],1,FALSE)</f>
        <v>#N/A</v>
      </c>
      <c r="M198" t="e">
        <f>VLOOKUP(Table2[[#This Row],[Column1]],#REF!,1,FALSE)</f>
        <v>#REF!</v>
      </c>
    </row>
    <row r="199" spans="1:13" ht="14.65">
      <c r="A199" t="s">
        <v>434</v>
      </c>
      <c r="B199" t="str">
        <f>Table2[[#This Row],[Object identification code]]&amp;" "&amp;Table2[[#This Row],[Full catalogue path]]&amp;" "&amp;Table2[[#This Row],[Object name]]</f>
        <v>028384-EP Digital competencies &gt; Teams MICROSOFT TEAMS: Getting started with OneDrive</v>
      </c>
      <c r="C199" t="str">
        <f>Table2[[#This Row],[Object identification code]]&amp;" "&amp;Table2[[#This Row],[Full catalogue path]]</f>
        <v>028384-EP Digital competencies &gt; Teams</v>
      </c>
      <c r="D199" t="s">
        <v>426</v>
      </c>
      <c r="E199" t="s">
        <v>435</v>
      </c>
      <c r="F199" t="s">
        <v>21</v>
      </c>
      <c r="G199" t="s">
        <v>22</v>
      </c>
      <c r="H199">
        <v>43</v>
      </c>
      <c r="I199" s="2">
        <v>46079.5625</v>
      </c>
      <c r="J199" s="2">
        <v>46079.625</v>
      </c>
      <c r="K199" s="1">
        <v>46055</v>
      </c>
      <c r="L199" t="e">
        <f>VLOOKUP(Table2[[#This Row],[Helper colum]],Table1[],1,FALSE)</f>
        <v>#N/A</v>
      </c>
      <c r="M199" t="e">
        <f>VLOOKUP(Table2[[#This Row],[Column1]],#REF!,1,FALSE)</f>
        <v>#REF!</v>
      </c>
    </row>
    <row r="200" spans="1:13" ht="14.65">
      <c r="A200" t="s">
        <v>436</v>
      </c>
      <c r="B200" t="str">
        <f>Table2[[#This Row],[Object identification code]]&amp;" "&amp;Table2[[#This Row],[Full catalogue path]]&amp;" "&amp;Table2[[#This Row],[Object name]]</f>
        <v>028300-EP Digital competencies &gt; Teams MICROSOFT TEAMS: How to organise successful meetings in Teams</v>
      </c>
      <c r="C200" t="str">
        <f>Table2[[#This Row],[Object identification code]]&amp;" "&amp;Table2[[#This Row],[Full catalogue path]]</f>
        <v>028300-EP Digital competencies &gt; Teams</v>
      </c>
      <c r="D200" t="s">
        <v>426</v>
      </c>
      <c r="E200" t="s">
        <v>437</v>
      </c>
      <c r="F200" t="s">
        <v>21</v>
      </c>
      <c r="G200" t="s">
        <v>22</v>
      </c>
      <c r="H200">
        <v>60</v>
      </c>
      <c r="I200" s="2">
        <v>46100.5625</v>
      </c>
      <c r="J200" s="2">
        <v>46100.625</v>
      </c>
      <c r="K200" s="1">
        <v>46056</v>
      </c>
      <c r="L200" t="e">
        <f>VLOOKUP(Table2[[#This Row],[Helper colum]],Table1[],1,FALSE)</f>
        <v>#N/A</v>
      </c>
      <c r="M200" t="e">
        <f>VLOOKUP(Table2[[#This Row],[Column1]],#REF!,1,FALSE)</f>
        <v>#REF!</v>
      </c>
    </row>
    <row r="201" spans="1:13" ht="14.65">
      <c r="A201" t="s">
        <v>438</v>
      </c>
      <c r="B201" t="str">
        <f>Table2[[#This Row],[Object identification code]]&amp;" "&amp;Table2[[#This Row],[Full catalogue path]]&amp;" "&amp;Table2[[#This Row],[Object name]]</f>
        <v>011283-DTS Digital competencies &gt; Word KJ Become a Word ninja!</v>
      </c>
      <c r="C201" t="str">
        <f>Table2[[#This Row],[Object identification code]]&amp;" "&amp;Table2[[#This Row],[Full catalogue path]]</f>
        <v>011283-DTS Digital competencies &gt; Word</v>
      </c>
      <c r="D201" t="s">
        <v>439</v>
      </c>
      <c r="E201" t="s">
        <v>440</v>
      </c>
      <c r="F201" t="s">
        <v>21</v>
      </c>
      <c r="G201" t="s">
        <v>22</v>
      </c>
      <c r="H201">
        <v>162</v>
      </c>
      <c r="I201" s="2">
        <v>46094.375</v>
      </c>
      <c r="J201" s="2">
        <v>46094.708333333336</v>
      </c>
      <c r="K201" s="1">
        <v>46056</v>
      </c>
      <c r="L201" t="e">
        <f>VLOOKUP(Table2[[#This Row],[Helper colum]],Table1[],1,FALSE)</f>
        <v>#N/A</v>
      </c>
      <c r="M201" t="e">
        <f>VLOOKUP(Table2[[#This Row],[Column1]],#REF!,1,FALSE)</f>
        <v>#REF!</v>
      </c>
    </row>
    <row r="202" spans="1:13" ht="14.65">
      <c r="A202" t="s">
        <v>441</v>
      </c>
      <c r="B202" t="str">
        <f>Table2[[#This Row],[Object identification code]]&amp;" "&amp;Table2[[#This Row],[Full catalogue path]]&amp;" "&amp;Table2[[#This Row],[Object name]]</f>
        <v xml:space="preserve">022360-EP Digital competencies &gt; Word MS Word – Tips &amp; Tricks </v>
      </c>
      <c r="C202" t="str">
        <f>Table2[[#This Row],[Object identification code]]&amp;" "&amp;Table2[[#This Row],[Full catalogue path]]</f>
        <v>022360-EP Digital competencies &gt; Word</v>
      </c>
      <c r="D202" t="s">
        <v>439</v>
      </c>
      <c r="E202" t="s">
        <v>442</v>
      </c>
      <c r="F202" t="s">
        <v>21</v>
      </c>
      <c r="G202" t="s">
        <v>22</v>
      </c>
      <c r="H202">
        <v>25</v>
      </c>
      <c r="I202" s="2">
        <v>46091.5625</v>
      </c>
      <c r="J202" s="2">
        <v>46091.708333333336</v>
      </c>
      <c r="K202" s="1">
        <v>46044</v>
      </c>
      <c r="L202" t="e">
        <f>VLOOKUP(Table2[[#This Row],[Helper colum]],Table1[],1,FALSE)</f>
        <v>#N/A</v>
      </c>
      <c r="M202" t="e">
        <f>VLOOKUP(Table2[[#This Row],[Column1]],#REF!,1,FALSE)</f>
        <v>#REF!</v>
      </c>
    </row>
    <row r="203" spans="1:13" ht="14.65">
      <c r="A203" t="s">
        <v>443</v>
      </c>
      <c r="B203" t="str">
        <f>Table2[[#This Row],[Object identification code]]&amp;" "&amp;Table2[[#This Row],[Full catalogue path]]&amp;" "&amp;Table2[[#This Row],[Object name]]</f>
        <v xml:space="preserve">022380-EP Digital competencies &gt; Word MS Word – Using Styles &amp; Templates </v>
      </c>
      <c r="C203" t="str">
        <f>Table2[[#This Row],[Object identification code]]&amp;" "&amp;Table2[[#This Row],[Full catalogue path]]</f>
        <v>022380-EP Digital competencies &gt; Word</v>
      </c>
      <c r="D203" t="s">
        <v>439</v>
      </c>
      <c r="E203" t="s">
        <v>444</v>
      </c>
      <c r="F203" t="s">
        <v>21</v>
      </c>
      <c r="G203" t="s">
        <v>22</v>
      </c>
      <c r="H203">
        <v>14</v>
      </c>
      <c r="I203" s="2">
        <v>46106.375</v>
      </c>
      <c r="J203" s="2">
        <v>46106.520833333336</v>
      </c>
      <c r="K203" s="1">
        <v>46043</v>
      </c>
      <c r="L203" t="e">
        <f>VLOOKUP(Table2[[#This Row],[Helper colum]],Table1[],1,FALSE)</f>
        <v>#N/A</v>
      </c>
      <c r="M203" t="e">
        <f>VLOOKUP(Table2[[#This Row],[Column1]],#REF!,1,FALSE)</f>
        <v>#REF!</v>
      </c>
    </row>
    <row r="204" spans="1:13" ht="14.65">
      <c r="A204" t="s">
        <v>445</v>
      </c>
      <c r="B204" t="str">
        <f>Table2[[#This Row],[Object identification code]]&amp;" "&amp;Table2[[#This Row],[Full catalogue path]]&amp;" "&amp;Table2[[#This Row],[Object name]]</f>
        <v xml:space="preserve">022379-EP Digital competencies &gt; Word MS Word – Working with Long Documents </v>
      </c>
      <c r="C204" t="str">
        <f>Table2[[#This Row],[Object identification code]]&amp;" "&amp;Table2[[#This Row],[Full catalogue path]]</f>
        <v>022379-EP Digital competencies &gt; Word</v>
      </c>
      <c r="D204" t="s">
        <v>439</v>
      </c>
      <c r="E204" t="s">
        <v>446</v>
      </c>
      <c r="F204" t="s">
        <v>21</v>
      </c>
      <c r="G204" t="s">
        <v>22</v>
      </c>
      <c r="H204">
        <v>22</v>
      </c>
      <c r="I204" s="2">
        <v>46041.5625</v>
      </c>
      <c r="J204" s="2">
        <v>46041.708333333336</v>
      </c>
      <c r="K204" s="1">
        <v>46049</v>
      </c>
      <c r="L204" t="e">
        <f>VLOOKUP(Table2[[#This Row],[Helper colum]],Table1[],1,FALSE)</f>
        <v>#N/A</v>
      </c>
      <c r="M204" t="e">
        <f>VLOOKUP(Table2[[#This Row],[Column1]],#REF!,1,FALSE)</f>
        <v>#REF!</v>
      </c>
    </row>
    <row r="205" spans="1:13" ht="14.65">
      <c r="B205" t="str">
        <f>Table2[[#This Row],[Object identification code]]&amp;" "&amp;Table2[[#This Row],[Full catalogue path]]&amp;" "&amp;Table2[[#This Row],[Object name]]</f>
        <v xml:space="preserve"> EP Talks &gt; EP Talks - recordings EP Talks: Beyond the screen: protecting and preserving digital privacy</v>
      </c>
      <c r="C205" t="str">
        <f>Table2[[#This Row],[Object identification code]]&amp;" "&amp;Table2[[#This Row],[Full catalogue path]]</f>
        <v xml:space="preserve"> EP Talks &gt; EP Talks - recordings</v>
      </c>
      <c r="D205" t="s">
        <v>447</v>
      </c>
      <c r="E205" t="s">
        <v>448</v>
      </c>
      <c r="F205" t="s">
        <v>76</v>
      </c>
      <c r="L205" t="e">
        <f>VLOOKUP(Table2[[#This Row],[Helper colum]],Table1[],1,FALSE)</f>
        <v>#N/A</v>
      </c>
      <c r="M205" t="e">
        <f>VLOOKUP(Table2[[#This Row],[Column1]],#REF!,1,FALSE)</f>
        <v>#REF!</v>
      </c>
    </row>
    <row r="206" spans="1:13" ht="14.65">
      <c r="B206" t="str">
        <f>Table2[[#This Row],[Object identification code]]&amp;" "&amp;Table2[[#This Row],[Full catalogue path]]&amp;" "&amp;Table2[[#This Row],[Object name]]</f>
        <v xml:space="preserve"> EP Talks &gt; EP Talks - recordings EP Talks: EU Elections 2024 – an EU expert's insights</v>
      </c>
      <c r="C206" t="str">
        <f>Table2[[#This Row],[Object identification code]]&amp;" "&amp;Table2[[#This Row],[Full catalogue path]]</f>
        <v xml:space="preserve"> EP Talks &gt; EP Talks - recordings</v>
      </c>
      <c r="D206" t="s">
        <v>447</v>
      </c>
      <c r="E206" t="s">
        <v>449</v>
      </c>
      <c r="F206" t="s">
        <v>76</v>
      </c>
      <c r="L206" t="e">
        <f>VLOOKUP(Table2[[#This Row],[Helper colum]],Table1[],1,FALSE)</f>
        <v>#N/A</v>
      </c>
      <c r="M206" t="e">
        <f>VLOOKUP(Table2[[#This Row],[Column1]],#REF!,1,FALSE)</f>
        <v>#REF!</v>
      </c>
    </row>
    <row r="207" spans="1:13" ht="14.65">
      <c r="B207" t="str">
        <f>Table2[[#This Row],[Object identification code]]&amp;" "&amp;Table2[[#This Row],[Full catalogue path]]&amp;" "&amp;Table2[[#This Row],[Object name]]</f>
        <v xml:space="preserve"> EP Talks &gt; EP Talks - recordings EP Talks: EU elections – what is at stake and how YOU can contribute!</v>
      </c>
      <c r="C207" t="str">
        <f>Table2[[#This Row],[Object identification code]]&amp;" "&amp;Table2[[#This Row],[Full catalogue path]]</f>
        <v xml:space="preserve"> EP Talks &gt; EP Talks - recordings</v>
      </c>
      <c r="D207" t="s">
        <v>447</v>
      </c>
      <c r="E207" t="s">
        <v>450</v>
      </c>
      <c r="F207" t="s">
        <v>76</v>
      </c>
      <c r="L207" t="e">
        <f>VLOOKUP(Table2[[#This Row],[Helper colum]],Table1[],1,FALSE)</f>
        <v>#N/A</v>
      </c>
      <c r="M207" t="e">
        <f>VLOOKUP(Table2[[#This Row],[Column1]],#REF!,1,FALSE)</f>
        <v>#REF!</v>
      </c>
    </row>
    <row r="208" spans="1:13" ht="14.65">
      <c r="B208" t="str">
        <f>Table2[[#This Row],[Object identification code]]&amp;" "&amp;Table2[[#This Row],[Full catalogue path]]&amp;" "&amp;Table2[[#This Row],[Object name]]</f>
        <v xml:space="preserve"> EP Talks &gt; EP Talks - recordings EP Talks: Everyday Resilience with Karen Northshield</v>
      </c>
      <c r="C208" t="str">
        <f>Table2[[#This Row],[Object identification code]]&amp;" "&amp;Table2[[#This Row],[Full catalogue path]]</f>
        <v xml:space="preserve"> EP Talks &gt; EP Talks - recordings</v>
      </c>
      <c r="D208" t="s">
        <v>447</v>
      </c>
      <c r="E208" t="s">
        <v>451</v>
      </c>
      <c r="F208" t="s">
        <v>76</v>
      </c>
      <c r="L208" t="e">
        <f>VLOOKUP(Table2[[#This Row],[Helper colum]],Table1[],1,FALSE)</f>
        <v>#N/A</v>
      </c>
      <c r="M208" t="e">
        <f>VLOOKUP(Table2[[#This Row],[Column1]],#REF!,1,FALSE)</f>
        <v>#REF!</v>
      </c>
    </row>
    <row r="209" spans="1:13" ht="14.65">
      <c r="B209" t="str">
        <f>Table2[[#This Row],[Object identification code]]&amp;" "&amp;Table2[[#This Row],[Full catalogue path]]&amp;" "&amp;Table2[[#This Row],[Object name]]</f>
        <v xml:space="preserve"> EP Talks &gt; EP Talks - recordings EP Talks: Inclusion as a catalyst: unlocking the future of organisational success - how to make the most of our diverse teams</v>
      </c>
      <c r="C209" t="str">
        <f>Table2[[#This Row],[Object identification code]]&amp;" "&amp;Table2[[#This Row],[Full catalogue path]]</f>
        <v xml:space="preserve"> EP Talks &gt; EP Talks - recordings</v>
      </c>
      <c r="D209" t="s">
        <v>447</v>
      </c>
      <c r="E209" t="s">
        <v>452</v>
      </c>
      <c r="F209" t="s">
        <v>76</v>
      </c>
      <c r="L209" t="e">
        <f>VLOOKUP(Table2[[#This Row],[Helper colum]],Table1[],1,FALSE)</f>
        <v>#N/A</v>
      </c>
      <c r="M209" t="e">
        <f>VLOOKUP(Table2[[#This Row],[Column1]],#REF!,1,FALSE)</f>
        <v>#REF!</v>
      </c>
    </row>
    <row r="210" spans="1:13" ht="14.65">
      <c r="B210" t="str">
        <f>Table2[[#This Row],[Object identification code]]&amp;" "&amp;Table2[[#This Row],[Full catalogue path]]&amp;" "&amp;Table2[[#This Row],[Object name]]</f>
        <v xml:space="preserve"> EP Talks &gt; EP Talks - recordings EP Talks: Kick-start your competition preparation</v>
      </c>
      <c r="C210" t="str">
        <f>Table2[[#This Row],[Object identification code]]&amp;" "&amp;Table2[[#This Row],[Full catalogue path]]</f>
        <v xml:space="preserve"> EP Talks &gt; EP Talks - recordings</v>
      </c>
      <c r="D210" t="s">
        <v>447</v>
      </c>
      <c r="E210" t="s">
        <v>453</v>
      </c>
      <c r="F210" t="s">
        <v>76</v>
      </c>
      <c r="L210" t="e">
        <f>VLOOKUP(Table2[[#This Row],[Helper colum]],Table1[],1,FALSE)</f>
        <v>#N/A</v>
      </c>
      <c r="M210" t="e">
        <f>VLOOKUP(Table2[[#This Row],[Column1]],#REF!,1,FALSE)</f>
        <v>#REF!</v>
      </c>
    </row>
    <row r="211" spans="1:13" ht="14.65">
      <c r="B211" t="str">
        <f>Table2[[#This Row],[Object identification code]]&amp;" "&amp;Table2[[#This Row],[Full catalogue path]]&amp;" "&amp;Table2[[#This Row],[Object name]]</f>
        <v xml:space="preserve"> EP Talks &gt; EP Talks - recordings EP Talks: Make simplification work with Sune Knudsen</v>
      </c>
      <c r="C211" t="str">
        <f>Table2[[#This Row],[Object identification code]]&amp;" "&amp;Table2[[#This Row],[Full catalogue path]]</f>
        <v xml:space="preserve"> EP Talks &gt; EP Talks - recordings</v>
      </c>
      <c r="D211" t="s">
        <v>447</v>
      </c>
      <c r="E211" t="s">
        <v>454</v>
      </c>
      <c r="F211" t="s">
        <v>76</v>
      </c>
      <c r="L211" t="e">
        <f>VLOOKUP(Table2[[#This Row],[Helper colum]],Table1[],1,FALSE)</f>
        <v>#N/A</v>
      </c>
      <c r="M211" t="e">
        <f>VLOOKUP(Table2[[#This Row],[Column1]],#REF!,1,FALSE)</f>
        <v>#REF!</v>
      </c>
    </row>
    <row r="212" spans="1:13" ht="14.65">
      <c r="B212" t="str">
        <f>Table2[[#This Row],[Object identification code]]&amp;" "&amp;Table2[[#This Row],[Full catalogue path]]&amp;" "&amp;Table2[[#This Row],[Object name]]</f>
        <v xml:space="preserve"> EP Talks &gt; EP Talks - recordings EP Talks: Navigating the world of politics – a practical guide to being resilient (resilience masterclass online)</v>
      </c>
      <c r="C212" t="str">
        <f>Table2[[#This Row],[Object identification code]]&amp;" "&amp;Table2[[#This Row],[Full catalogue path]]</f>
        <v xml:space="preserve"> EP Talks &gt; EP Talks - recordings</v>
      </c>
      <c r="D212" t="s">
        <v>447</v>
      </c>
      <c r="E212" t="s">
        <v>455</v>
      </c>
      <c r="F212" t="s">
        <v>76</v>
      </c>
      <c r="L212" t="e">
        <f>VLOOKUP(Table2[[#This Row],[Helper colum]],Table1[],1,FALSE)</f>
        <v>#N/A</v>
      </c>
      <c r="M212" t="e">
        <f>VLOOKUP(Table2[[#This Row],[Column1]],#REF!,1,FALSE)</f>
        <v>#REF!</v>
      </c>
    </row>
    <row r="213" spans="1:13" ht="14.65">
      <c r="B213" t="str">
        <f>Table2[[#This Row],[Object identification code]]&amp;" "&amp;Table2[[#This Row],[Full catalogue path]]&amp;" "&amp;Table2[[#This Row],[Object name]]</f>
        <v xml:space="preserve"> EP Talks &gt; EP Talks - recordings EP Talks: Navigating uncertainties in a fragmented world - the case of the Greek sovereign debt crisis</v>
      </c>
      <c r="C213" t="str">
        <f>Table2[[#This Row],[Object identification code]]&amp;" "&amp;Table2[[#This Row],[Full catalogue path]]</f>
        <v xml:space="preserve"> EP Talks &gt; EP Talks - recordings</v>
      </c>
      <c r="D213" t="s">
        <v>447</v>
      </c>
      <c r="E213" t="s">
        <v>456</v>
      </c>
      <c r="F213" t="s">
        <v>76</v>
      </c>
      <c r="L213" t="e">
        <f>VLOOKUP(Table2[[#This Row],[Helper colum]],Table1[],1,FALSE)</f>
        <v>#N/A</v>
      </c>
      <c r="M213" t="e">
        <f>VLOOKUP(Table2[[#This Row],[Column1]],#REF!,1,FALSE)</f>
        <v>#REF!</v>
      </c>
    </row>
    <row r="214" spans="1:13" ht="14.65">
      <c r="B214" t="str">
        <f>Table2[[#This Row],[Object identification code]]&amp;" "&amp;Table2[[#This Row],[Full catalogue path]]&amp;" "&amp;Table2[[#This Row],[Object name]]</f>
        <v xml:space="preserve"> EP Talks &gt; EP Talks - recordings EP Talks: Politics is the art of the impossible – learning to make things happen in a complex, crisis driven environment with Chris Tamdjidi</v>
      </c>
      <c r="C214" t="str">
        <f>Table2[[#This Row],[Object identification code]]&amp;" "&amp;Table2[[#This Row],[Full catalogue path]]</f>
        <v xml:space="preserve"> EP Talks &gt; EP Talks - recordings</v>
      </c>
      <c r="D214" t="s">
        <v>447</v>
      </c>
      <c r="E214" t="s">
        <v>457</v>
      </c>
      <c r="F214" t="s">
        <v>76</v>
      </c>
      <c r="L214" t="e">
        <f>VLOOKUP(Table2[[#This Row],[Helper colum]],Table1[],1,FALSE)</f>
        <v>#N/A</v>
      </c>
      <c r="M214" t="e">
        <f>VLOOKUP(Table2[[#This Row],[Column1]],#REF!,1,FALSE)</f>
        <v>#REF!</v>
      </c>
    </row>
    <row r="215" spans="1:13" ht="14.65">
      <c r="B215" t="str">
        <f>Table2[[#This Row],[Object identification code]]&amp;" "&amp;Table2[[#This Row],[Full catalogue path]]&amp;" "&amp;Table2[[#This Row],[Object name]]</f>
        <v xml:space="preserve"> EP Talks &gt; EP Talks - recordings EP Talks: Preventing Harassment: everybody’s business</v>
      </c>
      <c r="C215" t="str">
        <f>Table2[[#This Row],[Object identification code]]&amp;" "&amp;Table2[[#This Row],[Full catalogue path]]</f>
        <v xml:space="preserve"> EP Talks &gt; EP Talks - recordings</v>
      </c>
      <c r="D215" t="s">
        <v>447</v>
      </c>
      <c r="E215" t="s">
        <v>458</v>
      </c>
      <c r="F215" t="s">
        <v>76</v>
      </c>
      <c r="L215" t="e">
        <f>VLOOKUP(Table2[[#This Row],[Helper colum]],Table1[],1,FALSE)</f>
        <v>#N/A</v>
      </c>
      <c r="M215" t="e">
        <f>VLOOKUP(Table2[[#This Row],[Column1]],#REF!,1,FALSE)</f>
        <v>#REF!</v>
      </c>
    </row>
    <row r="216" spans="1:13" ht="14.65">
      <c r="B216" t="str">
        <f>Table2[[#This Row],[Object identification code]]&amp;" "&amp;Table2[[#This Row],[Full catalogue path]]&amp;" "&amp;Table2[[#This Row],[Object name]]</f>
        <v xml:space="preserve"> EP Talks &gt; EP Talks - recordings EP Talks: Ready for your appraisal? What is the right training for you in 2025?</v>
      </c>
      <c r="C216" t="str">
        <f>Table2[[#This Row],[Object identification code]]&amp;" "&amp;Table2[[#This Row],[Full catalogue path]]</f>
        <v xml:space="preserve"> EP Talks &gt; EP Talks - recordings</v>
      </c>
      <c r="D216" t="s">
        <v>447</v>
      </c>
      <c r="E216" t="s">
        <v>459</v>
      </c>
      <c r="F216" t="s">
        <v>76</v>
      </c>
      <c r="L216" t="e">
        <f>VLOOKUP(Table2[[#This Row],[Helper colum]],Table1[],1,FALSE)</f>
        <v>#N/A</v>
      </c>
      <c r="M216" t="e">
        <f>VLOOKUP(Table2[[#This Row],[Column1]],#REF!,1,FALSE)</f>
        <v>#REF!</v>
      </c>
    </row>
    <row r="217" spans="1:13" ht="14.65">
      <c r="B217" t="str">
        <f>Table2[[#This Row],[Object identification code]]&amp;" "&amp;Table2[[#This Row],[Full catalogue path]]&amp;" "&amp;Table2[[#This Row],[Object name]]</f>
        <v xml:space="preserve"> EP Talks &gt; EP Talks - recordings EP Talks: Speechwriting 101</v>
      </c>
      <c r="C217" t="str">
        <f>Table2[[#This Row],[Object identification code]]&amp;" "&amp;Table2[[#This Row],[Full catalogue path]]</f>
        <v xml:space="preserve"> EP Talks &gt; EP Talks - recordings</v>
      </c>
      <c r="D217" t="s">
        <v>447</v>
      </c>
      <c r="E217" t="s">
        <v>460</v>
      </c>
      <c r="F217" t="s">
        <v>76</v>
      </c>
      <c r="L217" t="e">
        <f>VLOOKUP(Table2[[#This Row],[Helper colum]],Table1[],1,FALSE)</f>
        <v>#N/A</v>
      </c>
      <c r="M217" t="e">
        <f>VLOOKUP(Table2[[#This Row],[Column1]],#REF!,1,FALSE)</f>
        <v>#REF!</v>
      </c>
    </row>
    <row r="218" spans="1:13" ht="14.65">
      <c r="B218" t="str">
        <f>Table2[[#This Row],[Object identification code]]&amp;" "&amp;Table2[[#This Row],[Full catalogue path]]&amp;" "&amp;Table2[[#This Row],[Object name]]</f>
        <v xml:space="preserve"> EP Talks &gt; EP Talks - recordings EP Talks: Turn your PowerPoints into inspiring stories</v>
      </c>
      <c r="C218" t="str">
        <f>Table2[[#This Row],[Object identification code]]&amp;" "&amp;Table2[[#This Row],[Full catalogue path]]</f>
        <v xml:space="preserve"> EP Talks &gt; EP Talks - recordings</v>
      </c>
      <c r="D218" t="s">
        <v>447</v>
      </c>
      <c r="E218" t="s">
        <v>461</v>
      </c>
      <c r="F218" t="s">
        <v>76</v>
      </c>
      <c r="L218" t="e">
        <f>VLOOKUP(Table2[[#This Row],[Helper colum]],Table1[],1,FALSE)</f>
        <v>#N/A</v>
      </c>
      <c r="M218" t="e">
        <f>VLOOKUP(Table2[[#This Row],[Column1]],#REF!,1,FALSE)</f>
        <v>#REF!</v>
      </c>
    </row>
    <row r="219" spans="1:13" ht="14.65">
      <c r="B219" t="str">
        <f>Table2[[#This Row],[Object identification code]]&amp;" "&amp;Table2[[#This Row],[Full catalogue path]]&amp;" "&amp;Table2[[#This Row],[Object name]]</f>
        <v xml:space="preserve"> EP Talks &gt; EP Talks - recordings EP Talks: Turning conflict into a conversation - #DontWaitMediate</v>
      </c>
      <c r="C219" t="str">
        <f>Table2[[#This Row],[Object identification code]]&amp;" "&amp;Table2[[#This Row],[Full catalogue path]]</f>
        <v xml:space="preserve"> EP Talks &gt; EP Talks - recordings</v>
      </c>
      <c r="D219" t="s">
        <v>447</v>
      </c>
      <c r="E219" t="s">
        <v>462</v>
      </c>
      <c r="F219" t="s">
        <v>76</v>
      </c>
      <c r="L219" t="e">
        <f>VLOOKUP(Table2[[#This Row],[Helper colum]],Table1[],1,FALSE)</f>
        <v>#N/A</v>
      </c>
      <c r="M219" t="e">
        <f>VLOOKUP(Table2[[#This Row],[Column1]],#REF!,1,FALSE)</f>
        <v>#REF!</v>
      </c>
    </row>
    <row r="220" spans="1:13" ht="14.65">
      <c r="B220" t="str">
        <f>Table2[[#This Row],[Object identification code]]&amp;" "&amp;Table2[[#This Row],[Full catalogue path]]&amp;" "&amp;Table2[[#This Row],[Object name]]</f>
        <v xml:space="preserve"> EP Talks &gt; EP Talks - recordings EP Talks: US Elections – latest update and possible impact on EU-US relations</v>
      </c>
      <c r="C220" t="str">
        <f>Table2[[#This Row],[Object identification code]]&amp;" "&amp;Table2[[#This Row],[Full catalogue path]]</f>
        <v xml:space="preserve"> EP Talks &gt; EP Talks - recordings</v>
      </c>
      <c r="D220" t="s">
        <v>447</v>
      </c>
      <c r="E220" t="s">
        <v>463</v>
      </c>
      <c r="F220" t="s">
        <v>76</v>
      </c>
      <c r="L220" t="e">
        <f>VLOOKUP(Table2[[#This Row],[Helper colum]],Table1[],1,FALSE)</f>
        <v>#N/A</v>
      </c>
      <c r="M220" t="e">
        <f>VLOOKUP(Table2[[#This Row],[Column1]],#REF!,1,FALSE)</f>
        <v>#REF!</v>
      </c>
    </row>
    <row r="221" spans="1:13" ht="14.65">
      <c r="A221" t="s">
        <v>464</v>
      </c>
      <c r="B221" t="str">
        <f>Table2[[#This Row],[Object identification code]]&amp;" "&amp;Table2[[#This Row],[Full catalogue path]]&amp;" "&amp;Table2[[#This Row],[Object name]]</f>
        <v>073954-EP EP work tools &amp; rules Flash session: Inventory Management reporting - SAP Analytics Cloud (SAC)</v>
      </c>
      <c r="C221" t="str">
        <f>Table2[[#This Row],[Object identification code]]&amp;" "&amp;Table2[[#This Row],[Full catalogue path]]</f>
        <v>073954-EP EP work tools &amp; rules</v>
      </c>
      <c r="D221" t="s">
        <v>465</v>
      </c>
      <c r="E221" t="s">
        <v>466</v>
      </c>
      <c r="F221" t="s">
        <v>21</v>
      </c>
      <c r="G221" t="s">
        <v>22</v>
      </c>
      <c r="H221">
        <v>0</v>
      </c>
      <c r="I221" s="2">
        <v>46107.416666666664</v>
      </c>
      <c r="J221" s="2">
        <v>46107.5</v>
      </c>
      <c r="K221" s="1">
        <v>46050</v>
      </c>
      <c r="L221" t="e">
        <f>VLOOKUP(Table2[[#This Row],[Helper colum]],Table1[],1,FALSE)</f>
        <v>#N/A</v>
      </c>
      <c r="M221" t="e">
        <f>VLOOKUP(Table2[[#This Row],[Column1]],#REF!,1,FALSE)</f>
        <v>#REF!</v>
      </c>
    </row>
    <row r="222" spans="1:13" ht="14.65">
      <c r="A222" t="s">
        <v>467</v>
      </c>
      <c r="B222" t="str">
        <f>Table2[[#This Row],[Object identification code]]&amp;" "&amp;Table2[[#This Row],[Full catalogue path]]&amp;" "&amp;Table2[[#This Row],[Object name]]</f>
        <v>EP_005363 EP work tools &amp; rules New courses from the Learning &amp; Development Unit</v>
      </c>
      <c r="C222" t="str">
        <f>Table2[[#This Row],[Object identification code]]&amp;" "&amp;Table2[[#This Row],[Full catalogue path]]</f>
        <v>EP_005363 EP work tools &amp; rules</v>
      </c>
      <c r="D222" t="s">
        <v>465</v>
      </c>
      <c r="E222" t="s">
        <v>468</v>
      </c>
      <c r="F222" t="s">
        <v>38</v>
      </c>
      <c r="K222" s="1">
        <v>46042</v>
      </c>
      <c r="L222" t="e">
        <f>VLOOKUP(Table2[[#This Row],[Helper colum]],Table1[],1,FALSE)</f>
        <v>#N/A</v>
      </c>
      <c r="M222" t="e">
        <f>VLOOKUP(Table2[[#This Row],[Column1]],#REF!,1,FALSE)</f>
        <v>#REF!</v>
      </c>
    </row>
    <row r="223" spans="1:13" ht="14.65">
      <c r="A223" t="s">
        <v>469</v>
      </c>
      <c r="B223" t="str">
        <f>Table2[[#This Row],[Object identification code]]&amp;" "&amp;Table2[[#This Row],[Full catalogue path]]&amp;" "&amp;Table2[[#This Row],[Object name]]</f>
        <v>020616-EP-0001-EN-GB EP work tools &amp; rules Staff regulations</v>
      </c>
      <c r="C223" t="str">
        <f>Table2[[#This Row],[Object identification code]]&amp;" "&amp;Table2[[#This Row],[Full catalogue path]]</f>
        <v>020616-EP-0001-EN-GB EP work tools &amp; rules</v>
      </c>
      <c r="D223" t="s">
        <v>465</v>
      </c>
      <c r="E223" t="s">
        <v>470</v>
      </c>
      <c r="F223" t="s">
        <v>16</v>
      </c>
      <c r="I223" t="s">
        <v>17</v>
      </c>
      <c r="K223" s="1">
        <v>46056</v>
      </c>
      <c r="L223" t="e">
        <f>VLOOKUP(Table2[[#This Row],[Helper colum]],Table1[],1,FALSE)</f>
        <v>#N/A</v>
      </c>
      <c r="M223" t="e">
        <f>VLOOKUP(Table2[[#This Row],[Column1]],#REF!,1,FALSE)</f>
        <v>#REF!</v>
      </c>
    </row>
    <row r="224" spans="1:13" ht="14.65">
      <c r="A224" t="s">
        <v>471</v>
      </c>
      <c r="B224" t="str">
        <f>Table2[[#This Row],[Object identification code]]&amp;" "&amp;Table2[[#This Row],[Full catalogue path]]&amp;" "&amp;Table2[[#This Row],[Object name]]</f>
        <v>071521-EP-0001-EN-GB EP work tools &amp; rules Your mind at work</v>
      </c>
      <c r="C224" t="str">
        <f>Table2[[#This Row],[Object identification code]]&amp;" "&amp;Table2[[#This Row],[Full catalogue path]]</f>
        <v>071521-EP-0001-EN-GB EP work tools &amp; rules</v>
      </c>
      <c r="D224" t="s">
        <v>465</v>
      </c>
      <c r="E224" t="s">
        <v>472</v>
      </c>
      <c r="F224" t="s">
        <v>16</v>
      </c>
      <c r="I224" s="2">
        <v>45950.375</v>
      </c>
      <c r="J224" s="2">
        <v>45999.4375</v>
      </c>
      <c r="K224" s="1">
        <v>45999</v>
      </c>
      <c r="L224" t="e">
        <f>VLOOKUP(Table2[[#This Row],[Helper colum]],Table1[],1,FALSE)</f>
        <v>#N/A</v>
      </c>
      <c r="M224" t="e">
        <f>VLOOKUP(Table2[[#This Row],[Column1]],#REF!,1,FALSE)</f>
        <v>#REF!</v>
      </c>
    </row>
    <row r="225" spans="1:13" ht="14.65">
      <c r="A225" t="s">
        <v>473</v>
      </c>
      <c r="B225" t="str">
        <f>Table2[[#This Row],[Object identification code]]&amp;" "&amp;Table2[[#This Row],[Full catalogue path]]&amp;" "&amp;Table2[[#This Row],[Object name]]</f>
        <v>073801-EP EP work tools &amp; rules iTrack v2 - Suivi des actifs</v>
      </c>
      <c r="C225" t="str">
        <f>Table2[[#This Row],[Object identification code]]&amp;" "&amp;Table2[[#This Row],[Full catalogue path]]</f>
        <v>073801-EP EP work tools &amp; rules</v>
      </c>
      <c r="D225" t="s">
        <v>465</v>
      </c>
      <c r="E225" t="s">
        <v>474</v>
      </c>
      <c r="F225" t="s">
        <v>21</v>
      </c>
      <c r="G225" t="s">
        <v>22</v>
      </c>
      <c r="H225">
        <v>0</v>
      </c>
      <c r="I225" s="2">
        <v>46093.375</v>
      </c>
      <c r="J225" s="2">
        <v>46093.541666666664</v>
      </c>
      <c r="K225" s="1">
        <v>46056</v>
      </c>
      <c r="L225" t="e">
        <f>VLOOKUP(Table2[[#This Row],[Helper colum]],Table1[],1,FALSE)</f>
        <v>#N/A</v>
      </c>
      <c r="M225" t="e">
        <f>VLOOKUP(Table2[[#This Row],[Column1]],#REF!,1,FALSE)</f>
        <v>#REF!</v>
      </c>
    </row>
    <row r="226" spans="1:13" ht="14.65">
      <c r="A226" t="s">
        <v>475</v>
      </c>
      <c r="B226" t="str">
        <f>Table2[[#This Row],[Object identification code]]&amp;" "&amp;Table2[[#This Row],[Full catalogue path]]&amp;" "&amp;Table2[[#This Row],[Object name]]</f>
        <v>073144-EP EP work tools &amp; rules &gt; Administrative Skills and Tools After mission - how to properly complete your declaration of expenses</v>
      </c>
      <c r="C226" t="str">
        <f>Table2[[#This Row],[Object identification code]]&amp;" "&amp;Table2[[#This Row],[Full catalogue path]]</f>
        <v>073144-EP EP work tools &amp; rules &gt; Administrative Skills and Tools</v>
      </c>
      <c r="D226" t="s">
        <v>476</v>
      </c>
      <c r="E226" t="s">
        <v>477</v>
      </c>
      <c r="F226" t="s">
        <v>21</v>
      </c>
      <c r="G226" t="s">
        <v>25</v>
      </c>
      <c r="I226" s="2">
        <v>46058.583333333336</v>
      </c>
      <c r="J226" s="2">
        <v>46058.666666666664</v>
      </c>
      <c r="K226" s="1">
        <v>46055</v>
      </c>
      <c r="L226" t="e">
        <f>VLOOKUP(Table2[[#This Row],[Helper colum]],Table1[],1,FALSE)</f>
        <v>#N/A</v>
      </c>
      <c r="M226" t="e">
        <f>VLOOKUP(Table2[[#This Row],[Column1]],#REF!,1,FALSE)</f>
        <v>#REF!</v>
      </c>
    </row>
    <row r="227" spans="1:13" ht="14.65">
      <c r="A227" t="s">
        <v>478</v>
      </c>
      <c r="B227" t="str">
        <f>Table2[[#This Row],[Object identification code]]&amp;" "&amp;Table2[[#This Row],[Full catalogue path]]&amp;" "&amp;Table2[[#This Row],[Object name]]</f>
        <v>020570-EP-0001-EN-GB EP work tools &amp; rules &gt; Administrative Skills and Tools Cat4Trad e-learning course</v>
      </c>
      <c r="C227" t="str">
        <f>Table2[[#This Row],[Object identification code]]&amp;" "&amp;Table2[[#This Row],[Full catalogue path]]</f>
        <v>020570-EP-0001-EN-GB EP work tools &amp; rules &gt; Administrative Skills and Tools</v>
      </c>
      <c r="D227" t="s">
        <v>476</v>
      </c>
      <c r="E227" t="s">
        <v>479</v>
      </c>
      <c r="F227" t="s">
        <v>16</v>
      </c>
      <c r="I227" t="s">
        <v>17</v>
      </c>
      <c r="K227" s="1">
        <v>46049</v>
      </c>
      <c r="L227" t="e">
        <f>VLOOKUP(Table2[[#This Row],[Helper colum]],Table1[],1,FALSE)</f>
        <v>#N/A</v>
      </c>
      <c r="M227" t="e">
        <f>VLOOKUP(Table2[[#This Row],[Column1]],#REF!,1,FALSE)</f>
        <v>#REF!</v>
      </c>
    </row>
    <row r="228" spans="1:13" ht="14.65">
      <c r="A228" t="s">
        <v>480</v>
      </c>
      <c r="B228" t="str">
        <f>Table2[[#This Row],[Object identification code]]&amp;" "&amp;Table2[[#This Row],[Full catalogue path]]&amp;" "&amp;Table2[[#This Row],[Object name]]</f>
        <v>028836-EP EP work tools &amp; rules &gt; Administrative Skills and Tools Document Management at  EP</v>
      </c>
      <c r="C228" t="str">
        <f>Table2[[#This Row],[Object identification code]]&amp;" "&amp;Table2[[#This Row],[Full catalogue path]]</f>
        <v>028836-EP EP work tools &amp; rules &gt; Administrative Skills and Tools</v>
      </c>
      <c r="D228" t="s">
        <v>476</v>
      </c>
      <c r="E228" t="s">
        <v>481</v>
      </c>
      <c r="F228" t="s">
        <v>21</v>
      </c>
      <c r="G228" t="s">
        <v>25</v>
      </c>
      <c r="K228" s="1">
        <v>46050</v>
      </c>
      <c r="L228" t="e">
        <f>VLOOKUP(Table2[[#This Row],[Helper colum]],Table1[],1,FALSE)</f>
        <v>#N/A</v>
      </c>
      <c r="M228" t="e">
        <f>VLOOKUP(Table2[[#This Row],[Column1]],#REF!,1,FALSE)</f>
        <v>#REF!</v>
      </c>
    </row>
    <row r="229" spans="1:13" ht="14.65">
      <c r="A229" t="s">
        <v>482</v>
      </c>
      <c r="B229" t="str">
        <f>Table2[[#This Row],[Object identification code]]&amp;" "&amp;Table2[[#This Row],[Full catalogue path]]&amp;" "&amp;Table2[[#This Row],[Object name]]</f>
        <v>068968-EP EP work tools &amp; rules &gt; Administrative Skills and Tools EP Missions Rules and eMiss application UMBRELLA course template</v>
      </c>
      <c r="C229" t="str">
        <f>Table2[[#This Row],[Object identification code]]&amp;" "&amp;Table2[[#This Row],[Full catalogue path]]</f>
        <v>068968-EP EP work tools &amp; rules &gt; Administrative Skills and Tools</v>
      </c>
      <c r="D229" t="s">
        <v>476</v>
      </c>
      <c r="E229" t="s">
        <v>483</v>
      </c>
      <c r="F229" t="s">
        <v>21</v>
      </c>
      <c r="G229" t="s">
        <v>25</v>
      </c>
      <c r="I229" s="2">
        <v>45719.333333333336</v>
      </c>
      <c r="J229" s="2">
        <v>49419.333333333336</v>
      </c>
      <c r="K229" t="s">
        <v>198</v>
      </c>
      <c r="L229" t="e">
        <f>VLOOKUP(Table2[[#This Row],[Helper colum]],Table1[],1,FALSE)</f>
        <v>#N/A</v>
      </c>
      <c r="M229" t="e">
        <f>VLOOKUP(Table2[[#This Row],[Column1]],#REF!,1,FALSE)</f>
        <v>#REF!</v>
      </c>
    </row>
    <row r="230" spans="1:13" ht="14.65">
      <c r="A230" t="s">
        <v>484</v>
      </c>
      <c r="B230" t="str">
        <f>Table2[[#This Row],[Object identification code]]&amp;" "&amp;Table2[[#This Row],[Full catalogue path]]&amp;" "&amp;Table2[[#This Row],[Object name]]</f>
        <v>023615-EP EP work tools &amp; rules &gt; Administrative Skills and Tools Electronic Signatures and Seals</v>
      </c>
      <c r="C230" t="str">
        <f>Table2[[#This Row],[Object identification code]]&amp;" "&amp;Table2[[#This Row],[Full catalogue path]]</f>
        <v>023615-EP EP work tools &amp; rules &gt; Administrative Skills and Tools</v>
      </c>
      <c r="D230" t="s">
        <v>476</v>
      </c>
      <c r="E230" t="s">
        <v>485</v>
      </c>
      <c r="F230" t="s">
        <v>21</v>
      </c>
      <c r="G230" t="s">
        <v>22</v>
      </c>
      <c r="H230">
        <v>83</v>
      </c>
      <c r="I230" s="2">
        <v>45448.395833333336</v>
      </c>
      <c r="J230" s="2">
        <v>45448.53125</v>
      </c>
      <c r="K230" s="1">
        <v>46055</v>
      </c>
      <c r="L230" t="e">
        <f>VLOOKUP(Table2[[#This Row],[Helper colum]],Table1[],1,FALSE)</f>
        <v>#N/A</v>
      </c>
      <c r="M230" t="e">
        <f>VLOOKUP(Table2[[#This Row],[Column1]],#REF!,1,FALSE)</f>
        <v>#REF!</v>
      </c>
    </row>
    <row r="231" spans="1:13" ht="14.65">
      <c r="A231" t="s">
        <v>486</v>
      </c>
      <c r="B231" t="str">
        <f>Table2[[#This Row],[Object identification code]]&amp;" "&amp;Table2[[#This Row],[Full catalogue path]]&amp;" "&amp;Table2[[#This Row],[Object name]]</f>
        <v xml:space="preserve">023489-EP EP work tools &amp; rules &gt; Administrative Skills and Tools GEDA Online Course </v>
      </c>
      <c r="C231" t="str">
        <f>Table2[[#This Row],[Object identification code]]&amp;" "&amp;Table2[[#This Row],[Full catalogue path]]</f>
        <v>023489-EP EP work tools &amp; rules &gt; Administrative Skills and Tools</v>
      </c>
      <c r="D231" t="s">
        <v>476</v>
      </c>
      <c r="E231" t="s">
        <v>487</v>
      </c>
      <c r="F231" t="s">
        <v>21</v>
      </c>
      <c r="G231" t="s">
        <v>22</v>
      </c>
      <c r="H231">
        <v>47</v>
      </c>
      <c r="I231" s="2">
        <v>46170.375</v>
      </c>
      <c r="J231" s="2">
        <v>46170.5</v>
      </c>
      <c r="K231" s="1">
        <v>46056</v>
      </c>
      <c r="L231" t="e">
        <f>VLOOKUP(Table2[[#This Row],[Helper colum]],Table1[],1,FALSE)</f>
        <v>#N/A</v>
      </c>
      <c r="M231" t="e">
        <f>VLOOKUP(Table2[[#This Row],[Column1]],#REF!,1,FALSE)</f>
        <v>#REF!</v>
      </c>
    </row>
    <row r="232" spans="1:13" ht="14.65">
      <c r="A232" t="s">
        <v>488</v>
      </c>
      <c r="B232" t="str">
        <f>Table2[[#This Row],[Object identification code]]&amp;" "&amp;Table2[[#This Row],[Full catalogue path]]&amp;" "&amp;Table2[[#This Row],[Object name]]</f>
        <v>028847-EP EP work tools &amp; rules &gt; Administrative Skills and Tools Gestion Documentaire au EP</v>
      </c>
      <c r="C232" t="str">
        <f>Table2[[#This Row],[Object identification code]]&amp;" "&amp;Table2[[#This Row],[Full catalogue path]]</f>
        <v>028847-EP EP work tools &amp; rules &gt; Administrative Skills and Tools</v>
      </c>
      <c r="D232" t="s">
        <v>476</v>
      </c>
      <c r="E232" t="s">
        <v>489</v>
      </c>
      <c r="F232" t="s">
        <v>21</v>
      </c>
      <c r="G232" t="s">
        <v>22</v>
      </c>
      <c r="H232">
        <v>3</v>
      </c>
      <c r="K232" s="1">
        <v>45979</v>
      </c>
      <c r="L232" t="e">
        <f>VLOOKUP(Table2[[#This Row],[Helper colum]],Table1[],1,FALSE)</f>
        <v>#N/A</v>
      </c>
      <c r="M232" t="e">
        <f>VLOOKUP(Table2[[#This Row],[Column1]],#REF!,1,FALSE)</f>
        <v>#REF!</v>
      </c>
    </row>
    <row r="233" spans="1:13" ht="14.65">
      <c r="A233" t="s">
        <v>490</v>
      </c>
      <c r="B233" t="str">
        <f>Table2[[#This Row],[Object identification code]]&amp;" "&amp;Table2[[#This Row],[Full catalogue path]]&amp;" "&amp;Table2[[#This Row],[Object name]]</f>
        <v>020651-EP-0001-EN-GB EP work tools &amp; rules &gt; Administrative Skills and Tools Intellectual Property Rights in Public Procurement</v>
      </c>
      <c r="C233" t="str">
        <f>Table2[[#This Row],[Object identification code]]&amp;" "&amp;Table2[[#This Row],[Full catalogue path]]</f>
        <v>020651-EP-0001-EN-GB EP work tools &amp; rules &gt; Administrative Skills and Tools</v>
      </c>
      <c r="D233" t="s">
        <v>476</v>
      </c>
      <c r="E233" t="s">
        <v>491</v>
      </c>
      <c r="F233" t="s">
        <v>16</v>
      </c>
      <c r="I233" t="s">
        <v>17</v>
      </c>
      <c r="K233" s="1">
        <v>46048</v>
      </c>
      <c r="L233" t="e">
        <f>VLOOKUP(Table2[[#This Row],[Helper colum]],Table1[],1,FALSE)</f>
        <v>#N/A</v>
      </c>
      <c r="M233" t="e">
        <f>VLOOKUP(Table2[[#This Row],[Column1]],#REF!,1,FALSE)</f>
        <v>#REF!</v>
      </c>
    </row>
    <row r="234" spans="1:13" ht="14.65">
      <c r="A234" t="s">
        <v>492</v>
      </c>
      <c r="B234" t="str">
        <f>Table2[[#This Row],[Object identification code]]&amp;" "&amp;Table2[[#This Row],[Full catalogue path]]&amp;" "&amp;Table2[[#This Row],[Object name]]</f>
        <v>001094-DTS EP work tools &amp; rules &gt; Administrative Skills and Tools KJ EU Survey</v>
      </c>
      <c r="C234" t="str">
        <f>Table2[[#This Row],[Object identification code]]&amp;" "&amp;Table2[[#This Row],[Full catalogue path]]</f>
        <v>001094-DTS EP work tools &amp; rules &gt; Administrative Skills and Tools</v>
      </c>
      <c r="D234" t="s">
        <v>476</v>
      </c>
      <c r="E234" t="s">
        <v>493</v>
      </c>
      <c r="F234" t="s">
        <v>21</v>
      </c>
      <c r="G234" t="s">
        <v>22</v>
      </c>
      <c r="H234">
        <v>152</v>
      </c>
      <c r="I234" s="2">
        <v>46091.375</v>
      </c>
      <c r="J234" s="2">
        <v>46091.708333333336</v>
      </c>
      <c r="K234" s="1">
        <v>46056</v>
      </c>
      <c r="L234" t="e">
        <f>VLOOKUP(Table2[[#This Row],[Helper colum]],Table1[],1,FALSE)</f>
        <v>#N/A</v>
      </c>
      <c r="M234" t="e">
        <f>VLOOKUP(Table2[[#This Row],[Column1]],#REF!,1,FALSE)</f>
        <v>#REF!</v>
      </c>
    </row>
    <row r="235" spans="1:13" ht="14.65">
      <c r="A235" t="s">
        <v>494</v>
      </c>
      <c r="B235" t="str">
        <f>Table2[[#This Row],[Object identification code]]&amp;" "&amp;Table2[[#This Row],[Full catalogue path]]&amp;" "&amp;Table2[[#This Row],[Object name]]</f>
        <v>066400-EP EP work tools &amp; rules &gt; Administrative Skills and Tools Leading with PowerVisuals</v>
      </c>
      <c r="C235" t="str">
        <f>Table2[[#This Row],[Object identification code]]&amp;" "&amp;Table2[[#This Row],[Full catalogue path]]</f>
        <v>066400-EP EP work tools &amp; rules &gt; Administrative Skills and Tools</v>
      </c>
      <c r="D235" t="s">
        <v>476</v>
      </c>
      <c r="E235" t="s">
        <v>495</v>
      </c>
      <c r="F235" t="s">
        <v>21</v>
      </c>
      <c r="G235" t="s">
        <v>22</v>
      </c>
      <c r="H235">
        <v>17</v>
      </c>
      <c r="I235" s="2">
        <v>45968.395833333336</v>
      </c>
      <c r="J235" s="2">
        <v>45968.520833333336</v>
      </c>
      <c r="K235" s="1">
        <v>46042</v>
      </c>
      <c r="L235" t="e">
        <f>VLOOKUP(Table2[[#This Row],[Helper colum]],Table1[],1,FALSE)</f>
        <v>#N/A</v>
      </c>
      <c r="M235" t="e">
        <f>VLOOKUP(Table2[[#This Row],[Column1]],#REF!,1,FALSE)</f>
        <v>#REF!</v>
      </c>
    </row>
    <row r="236" spans="1:13" ht="14.65">
      <c r="A236" t="s">
        <v>496</v>
      </c>
      <c r="B236" t="str">
        <f>Table2[[#This Row],[Object identification code]]&amp;" "&amp;Table2[[#This Row],[Full catalogue path]]&amp;" "&amp;Table2[[#This Row],[Object name]]</f>
        <v>EP_005820 EP work tools &amp; rules &gt; Administrative Skills and Tools Risk Management in the European Parliament</v>
      </c>
      <c r="C236" t="str">
        <f>Table2[[#This Row],[Object identification code]]&amp;" "&amp;Table2[[#This Row],[Full catalogue path]]</f>
        <v>EP_005820 EP work tools &amp; rules &gt; Administrative Skills and Tools</v>
      </c>
      <c r="D236" t="s">
        <v>476</v>
      </c>
      <c r="E236" t="s">
        <v>497</v>
      </c>
      <c r="F236" t="s">
        <v>38</v>
      </c>
      <c r="K236" s="1">
        <v>46056</v>
      </c>
      <c r="L236" t="e">
        <f>VLOOKUP(Table2[[#This Row],[Helper colum]],Table1[],1,FALSE)</f>
        <v>#N/A</v>
      </c>
      <c r="M236" t="e">
        <f>VLOOKUP(Table2[[#This Row],[Column1]],#REF!,1,FALSE)</f>
        <v>#REF!</v>
      </c>
    </row>
    <row r="237" spans="1:13" ht="14.65">
      <c r="A237" t="s">
        <v>498</v>
      </c>
      <c r="B237" t="str">
        <f>Table2[[#This Row],[Object identification code]]&amp;" "&amp;Table2[[#This Row],[Full catalogue path]]&amp;" "&amp;Table2[[#This Row],[Object name]]</f>
        <v>058801-EP EP work tools &amp; rules &gt; Administrative Skills and Tools The e-signature for everyone</v>
      </c>
      <c r="C237" t="str">
        <f>Table2[[#This Row],[Object identification code]]&amp;" "&amp;Table2[[#This Row],[Full catalogue path]]</f>
        <v>058801-EP EP work tools &amp; rules &gt; Administrative Skills and Tools</v>
      </c>
      <c r="D237" t="s">
        <v>476</v>
      </c>
      <c r="E237" t="s">
        <v>499</v>
      </c>
      <c r="F237" t="s">
        <v>21</v>
      </c>
      <c r="G237" t="s">
        <v>22</v>
      </c>
      <c r="H237">
        <v>27</v>
      </c>
      <c r="I237" s="2">
        <v>46037.395833333336</v>
      </c>
      <c r="J237" s="2">
        <v>46037.520833333336</v>
      </c>
      <c r="K237" s="1">
        <v>46037</v>
      </c>
      <c r="L237" t="e">
        <f>VLOOKUP(Table2[[#This Row],[Helper colum]],Table1[],1,FALSE)</f>
        <v>#N/A</v>
      </c>
      <c r="M237" t="e">
        <f>VLOOKUP(Table2[[#This Row],[Column1]],#REF!,1,FALSE)</f>
        <v>#REF!</v>
      </c>
    </row>
    <row r="238" spans="1:13" ht="14.65">
      <c r="A238" t="s">
        <v>500</v>
      </c>
      <c r="B238" t="str">
        <f>Table2[[#This Row],[Object identification code]]&amp;" "&amp;Table2[[#This Row],[Full catalogue path]]&amp;" "&amp;Table2[[#This Row],[Object name]]</f>
        <v>070503-EP SAFE-0002-EN-GB EP work tools &amp; rules &gt; Behaviour and Attitude at the Workplace ALL CLEAR! LE BRIEFING SUR LA SÉCURITÉ DES INFORMATIONS DU PARLEMENT EUROPÉEN</v>
      </c>
      <c r="C238" t="str">
        <f>Table2[[#This Row],[Object identification code]]&amp;" "&amp;Table2[[#This Row],[Full catalogue path]]</f>
        <v>070503-EP SAFE-0002-EN-GB EP work tools &amp; rules &gt; Behaviour and Attitude at the Workplace</v>
      </c>
      <c r="D238" t="s">
        <v>501</v>
      </c>
      <c r="E238" t="s">
        <v>502</v>
      </c>
      <c r="F238" t="s">
        <v>16</v>
      </c>
      <c r="I238" t="s">
        <v>17</v>
      </c>
      <c r="K238" s="1">
        <v>46050</v>
      </c>
      <c r="L238" t="e">
        <f>VLOOKUP(Table2[[#This Row],[Helper colum]],Table1[],1,FALSE)</f>
        <v>#N/A</v>
      </c>
      <c r="M238" t="e">
        <f>VLOOKUP(Table2[[#This Row],[Column1]],#REF!,1,FALSE)</f>
        <v>#REF!</v>
      </c>
    </row>
    <row r="239" spans="1:13" ht="14.65">
      <c r="A239" t="s">
        <v>503</v>
      </c>
      <c r="B239" t="str">
        <f>Table2[[#This Row],[Object identification code]]&amp;" "&amp;Table2[[#This Row],[Full catalogue path]]&amp;" "&amp;Table2[[#This Row],[Object name]]</f>
        <v>070503-EP SAFE-0001-EN-GB EP work tools &amp; rules &gt; Behaviour and Attitude at the Workplace ALL CLEAR! THE EUROPEAN PARLIAMENT INFORMATION SECURITY BRIEFING</v>
      </c>
      <c r="C239" t="str">
        <f>Table2[[#This Row],[Object identification code]]&amp;" "&amp;Table2[[#This Row],[Full catalogue path]]</f>
        <v>070503-EP SAFE-0001-EN-GB EP work tools &amp; rules &gt; Behaviour and Attitude at the Workplace</v>
      </c>
      <c r="D239" t="s">
        <v>501</v>
      </c>
      <c r="E239" t="s">
        <v>504</v>
      </c>
      <c r="F239" t="s">
        <v>16</v>
      </c>
      <c r="I239" t="s">
        <v>17</v>
      </c>
      <c r="K239" s="1">
        <v>46056</v>
      </c>
      <c r="L239" t="e">
        <f>VLOOKUP(Table2[[#This Row],[Helper colum]],Table1[],1,FALSE)</f>
        <v>#N/A</v>
      </c>
      <c r="M239" t="e">
        <f>VLOOKUP(Table2[[#This Row],[Column1]],#REF!,1,FALSE)</f>
        <v>#REF!</v>
      </c>
    </row>
    <row r="240" spans="1:13" ht="14.65">
      <c r="A240" t="s">
        <v>505</v>
      </c>
      <c r="B240" t="str">
        <f>Table2[[#This Row],[Object identification code]]&amp;" "&amp;Table2[[#This Row],[Full catalogue path]]&amp;" "&amp;Table2[[#This Row],[Object name]]</f>
        <v>070524-EP EP work tools &amp; rules &gt; Behaviour and Attitude at the Workplace Basic life support (BLS) provider</v>
      </c>
      <c r="C240" t="str">
        <f>Table2[[#This Row],[Object identification code]]&amp;" "&amp;Table2[[#This Row],[Full catalogue path]]</f>
        <v>070524-EP EP work tools &amp; rules &gt; Behaviour and Attitude at the Workplace</v>
      </c>
      <c r="D240" t="s">
        <v>501</v>
      </c>
      <c r="E240" t="s">
        <v>506</v>
      </c>
      <c r="F240" t="s">
        <v>21</v>
      </c>
      <c r="G240" t="s">
        <v>22</v>
      </c>
      <c r="H240">
        <v>36</v>
      </c>
      <c r="I240" s="2">
        <v>45819.375</v>
      </c>
      <c r="J240" s="2">
        <v>45819.541666666664</v>
      </c>
      <c r="K240" s="1">
        <v>46055</v>
      </c>
      <c r="L240" t="e">
        <f>VLOOKUP(Table2[[#This Row],[Helper colum]],Table1[],1,FALSE)</f>
        <v>#N/A</v>
      </c>
      <c r="M240" t="e">
        <f>VLOOKUP(Table2[[#This Row],[Column1]],#REF!,1,FALSE)</f>
        <v>#REF!</v>
      </c>
    </row>
    <row r="241" spans="1:13" ht="14.65">
      <c r="A241" t="s">
        <v>507</v>
      </c>
      <c r="B241" t="str">
        <f>Table2[[#This Row],[Object identification code]]&amp;" "&amp;Table2[[#This Row],[Full catalogue path]]&amp;" "&amp;Table2[[#This Row],[Object name]]</f>
        <v xml:space="preserve">069492-EP EP work tools &amp; rules &gt; Behaviour and Attitude at the Workplace Chemicals handling </v>
      </c>
      <c r="C241" t="str">
        <f>Table2[[#This Row],[Object identification code]]&amp;" "&amp;Table2[[#This Row],[Full catalogue path]]</f>
        <v>069492-EP EP work tools &amp; rules &gt; Behaviour and Attitude at the Workplace</v>
      </c>
      <c r="D241" t="s">
        <v>501</v>
      </c>
      <c r="E241" t="s">
        <v>508</v>
      </c>
      <c r="F241" t="s">
        <v>21</v>
      </c>
      <c r="G241" t="s">
        <v>22</v>
      </c>
      <c r="H241">
        <v>1</v>
      </c>
      <c r="I241" s="2">
        <v>46304.375</v>
      </c>
      <c r="J241" s="2">
        <v>46304.4375</v>
      </c>
      <c r="K241" s="1">
        <v>46056</v>
      </c>
      <c r="L241" t="e">
        <f>VLOOKUP(Table2[[#This Row],[Helper colum]],Table1[],1,FALSE)</f>
        <v>#N/A</v>
      </c>
      <c r="M241" t="e">
        <f>VLOOKUP(Table2[[#This Row],[Column1]],#REF!,1,FALSE)</f>
        <v>#REF!</v>
      </c>
    </row>
    <row r="242" spans="1:13" ht="14.65">
      <c r="A242" t="s">
        <v>509</v>
      </c>
      <c r="B242" t="str">
        <f>Table2[[#This Row],[Object identification code]]&amp;" "&amp;Table2[[#This Row],[Full catalogue path]]&amp;" "&amp;Table2[[#This Row],[Object name]]</f>
        <v>057441-EP SAFE-0002-FR-FR EP work tools &amp; rules &gt; Behaviour and Attitude at the Workplace Contre-espionnage eLearning</v>
      </c>
      <c r="C242" t="str">
        <f>Table2[[#This Row],[Object identification code]]&amp;" "&amp;Table2[[#This Row],[Full catalogue path]]</f>
        <v>057441-EP SAFE-0002-FR-FR EP work tools &amp; rules &gt; Behaviour and Attitude at the Workplace</v>
      </c>
      <c r="D242" t="s">
        <v>501</v>
      </c>
      <c r="E242" t="s">
        <v>510</v>
      </c>
      <c r="F242" t="s">
        <v>16</v>
      </c>
      <c r="I242" t="s">
        <v>17</v>
      </c>
      <c r="K242" s="1">
        <v>46032</v>
      </c>
      <c r="L242" t="e">
        <f>VLOOKUP(Table2[[#This Row],[Helper colum]],Table1[],1,FALSE)</f>
        <v>#N/A</v>
      </c>
      <c r="M242" t="e">
        <f>VLOOKUP(Table2[[#This Row],[Column1]],#REF!,1,FALSE)</f>
        <v>#REF!</v>
      </c>
    </row>
    <row r="243" spans="1:13" ht="14.65">
      <c r="A243" t="s">
        <v>511</v>
      </c>
      <c r="B243" t="str">
        <f>Table2[[#This Row],[Object identification code]]&amp;" "&amp;Table2[[#This Row],[Full catalogue path]]&amp;" "&amp;Table2[[#This Row],[Object name]]</f>
        <v>057441-EP SAFE-0001-EN-GB EP work tools &amp; rules &gt; Behaviour and Attitude at the Workplace Counter Intelligence eLearning</v>
      </c>
      <c r="C243" t="str">
        <f>Table2[[#This Row],[Object identification code]]&amp;" "&amp;Table2[[#This Row],[Full catalogue path]]</f>
        <v>057441-EP SAFE-0001-EN-GB EP work tools &amp; rules &gt; Behaviour and Attitude at the Workplace</v>
      </c>
      <c r="D243" t="s">
        <v>501</v>
      </c>
      <c r="E243" t="s">
        <v>512</v>
      </c>
      <c r="F243" t="s">
        <v>16</v>
      </c>
      <c r="I243" t="s">
        <v>17</v>
      </c>
      <c r="K243" s="1">
        <v>46050</v>
      </c>
      <c r="L243" t="e">
        <f>VLOOKUP(Table2[[#This Row],[Helper colum]],Table1[],1,FALSE)</f>
        <v>#N/A</v>
      </c>
      <c r="M243" t="e">
        <f>VLOOKUP(Table2[[#This Row],[Column1]],#REF!,1,FALSE)</f>
        <v>#REF!</v>
      </c>
    </row>
    <row r="244" spans="1:13" ht="14.65">
      <c r="B244" t="str">
        <f>Table2[[#This Row],[Object identification code]]&amp;" "&amp;Table2[[#This Row],[Full catalogue path]]&amp;" "&amp;Table2[[#This Row],[Object name]]</f>
        <v xml:space="preserve"> EP work tools &amp; rules &gt; Behaviour and Attitude at the Workplace EEAS - SAFE (Security Awareness in Fragile Environments)</v>
      </c>
      <c r="C244" t="str">
        <f>Table2[[#This Row],[Object identification code]]&amp;" "&amp;Table2[[#This Row],[Full catalogue path]]</f>
        <v xml:space="preserve"> EP work tools &amp; rules &gt; Behaviour and Attitude at the Workplace</v>
      </c>
      <c r="D244" t="s">
        <v>501</v>
      </c>
      <c r="E244" t="s">
        <v>513</v>
      </c>
      <c r="F244" t="s">
        <v>76</v>
      </c>
      <c r="L244" t="e">
        <f>VLOOKUP(Table2[[#This Row],[Helper colum]],Table1[],1,FALSE)</f>
        <v>#N/A</v>
      </c>
      <c r="M244" t="e">
        <f>VLOOKUP(Table2[[#This Row],[Column1]],#REF!,1,FALSE)</f>
        <v>#REF!</v>
      </c>
    </row>
    <row r="245" spans="1:13" ht="14.65">
      <c r="A245" t="s">
        <v>514</v>
      </c>
      <c r="B245" t="str">
        <f>Table2[[#This Row],[Object identification code]]&amp;" "&amp;Table2[[#This Row],[Full catalogue path]]&amp;" "&amp;Table2[[#This Row],[Object name]]</f>
        <v>069065-EESC-0008-EN-GB EP work tools &amp; rules &gt; Behaviour and Attitude at the Workplace EESC-CoR- Neurodiversity</v>
      </c>
      <c r="C245" t="str">
        <f>Table2[[#This Row],[Object identification code]]&amp;" "&amp;Table2[[#This Row],[Full catalogue path]]</f>
        <v>069065-EESC-0008-EN-GB EP work tools &amp; rules &gt; Behaviour and Attitude at the Workplace</v>
      </c>
      <c r="D245" t="s">
        <v>501</v>
      </c>
      <c r="E245" t="s">
        <v>515</v>
      </c>
      <c r="F245" t="s">
        <v>16</v>
      </c>
      <c r="I245" s="2">
        <v>45828.458333333336</v>
      </c>
      <c r="J245" s="2">
        <v>45828.541666666664</v>
      </c>
      <c r="K245" s="1">
        <v>46000</v>
      </c>
      <c r="L245" t="e">
        <f>VLOOKUP(Table2[[#This Row],[Helper colum]],Table1[],1,FALSE)</f>
        <v>#N/A</v>
      </c>
      <c r="M245" t="e">
        <f>VLOOKUP(Table2[[#This Row],[Column1]],#REF!,1,FALSE)</f>
        <v>#REF!</v>
      </c>
    </row>
    <row r="246" spans="1:13" ht="14.65">
      <c r="A246" t="s">
        <v>516</v>
      </c>
      <c r="B246" t="str">
        <f>Table2[[#This Row],[Object identification code]]&amp;" "&amp;Table2[[#This Row],[Full catalogue path]]&amp;" "&amp;Table2[[#This Row],[Object name]]</f>
        <v>070946-EP EP work tools &amp; rules &gt; Behaviour and Attitude at the Workplace EMAS Internal Auditor training</v>
      </c>
      <c r="C246" t="str">
        <f>Table2[[#This Row],[Object identification code]]&amp;" "&amp;Table2[[#This Row],[Full catalogue path]]</f>
        <v>070946-EP EP work tools &amp; rules &gt; Behaviour and Attitude at the Workplace</v>
      </c>
      <c r="D246" t="s">
        <v>501</v>
      </c>
      <c r="E246" t="s">
        <v>517</v>
      </c>
      <c r="F246" t="s">
        <v>21</v>
      </c>
      <c r="G246" t="s">
        <v>25</v>
      </c>
      <c r="I246" s="2">
        <v>45790.333333333336</v>
      </c>
      <c r="J246" s="2">
        <v>47325.333333333336</v>
      </c>
      <c r="K246" t="s">
        <v>198</v>
      </c>
      <c r="L246" t="e">
        <f>VLOOKUP(Table2[[#This Row],[Helper colum]],Table1[],1,FALSE)</f>
        <v>#N/A</v>
      </c>
      <c r="M246" t="e">
        <f>VLOOKUP(Table2[[#This Row],[Column1]],#REF!,1,FALSE)</f>
        <v>#REF!</v>
      </c>
    </row>
    <row r="247" spans="1:13" ht="14.65">
      <c r="A247" t="s">
        <v>518</v>
      </c>
      <c r="B247" t="str">
        <f>Table2[[#This Row],[Object identification code]]&amp;" "&amp;Table2[[#This Row],[Full catalogue path]]&amp;" "&amp;Table2[[#This Row],[Object name]]</f>
        <v>026395-HR EP work tools &amp; rules &gt; Behaviour and Attitude at the Workplace EMAS basics for EC Staff</v>
      </c>
      <c r="C247" t="str">
        <f>Table2[[#This Row],[Object identification code]]&amp;" "&amp;Table2[[#This Row],[Full catalogue path]]</f>
        <v>026395-HR EP work tools &amp; rules &gt; Behaviour and Attitude at the Workplace</v>
      </c>
      <c r="D247" t="s">
        <v>501</v>
      </c>
      <c r="E247" t="s">
        <v>519</v>
      </c>
      <c r="F247" t="s">
        <v>21</v>
      </c>
      <c r="G247" t="s">
        <v>25</v>
      </c>
      <c r="I247" s="2">
        <v>46094.416666666664</v>
      </c>
      <c r="J247" s="2">
        <v>46094.479166666664</v>
      </c>
      <c r="K247" s="1">
        <v>46055</v>
      </c>
      <c r="L247" t="e">
        <f>VLOOKUP(Table2[[#This Row],[Helper colum]],Table1[],1,FALSE)</f>
        <v>#N/A</v>
      </c>
      <c r="M247" t="e">
        <f>VLOOKUP(Table2[[#This Row],[Column1]],#REF!,1,FALSE)</f>
        <v>#REF!</v>
      </c>
    </row>
    <row r="248" spans="1:13" ht="14.65">
      <c r="A248" t="s">
        <v>520</v>
      </c>
      <c r="B248" t="str">
        <f>Table2[[#This Row],[Object identification code]]&amp;" "&amp;Table2[[#This Row],[Full catalogue path]]&amp;" "&amp;Table2[[#This Row],[Object name]]</f>
        <v>074246-EP EP work tools &amp; rules &gt; Behaviour and Attitude at the Workplace EMAS basics for EP staff</v>
      </c>
      <c r="C248" t="str">
        <f>Table2[[#This Row],[Object identification code]]&amp;" "&amp;Table2[[#This Row],[Full catalogue path]]</f>
        <v>074246-EP EP work tools &amp; rules &gt; Behaviour and Attitude at the Workplace</v>
      </c>
      <c r="D248" t="s">
        <v>501</v>
      </c>
      <c r="E248" t="s">
        <v>521</v>
      </c>
      <c r="F248" t="s">
        <v>21</v>
      </c>
      <c r="G248" t="s">
        <v>22</v>
      </c>
      <c r="H248">
        <v>0</v>
      </c>
      <c r="I248" s="2">
        <v>46286.583333333336</v>
      </c>
      <c r="J248" s="2">
        <v>46286.645833333336</v>
      </c>
      <c r="K248" t="s">
        <v>198</v>
      </c>
      <c r="L248" t="e">
        <f>VLOOKUP(Table2[[#This Row],[Helper colum]],Table1[],1,FALSE)</f>
        <v>#N/A</v>
      </c>
      <c r="M248" t="e">
        <f>VLOOKUP(Table2[[#This Row],[Column1]],#REF!,1,FALSE)</f>
        <v>#REF!</v>
      </c>
    </row>
    <row r="249" spans="1:13" ht="14.65">
      <c r="A249" t="s">
        <v>522</v>
      </c>
      <c r="B249" t="str">
        <f>Table2[[#This Row],[Object identification code]]&amp;" "&amp;Table2[[#This Row],[Full catalogue path]]&amp;" "&amp;Table2[[#This Row],[Object name]]</f>
        <v>070912-EP EP work tools &amp; rules &gt; Behaviour and Attitude at the Workplace From boomers to Gen Z: working together in multigenerational teams</v>
      </c>
      <c r="C249" t="str">
        <f>Table2[[#This Row],[Object identification code]]&amp;" "&amp;Table2[[#This Row],[Full catalogue path]]</f>
        <v>070912-EP EP work tools &amp; rules &gt; Behaviour and Attitude at the Workplace</v>
      </c>
      <c r="D249" t="s">
        <v>501</v>
      </c>
      <c r="E249" t="s">
        <v>523</v>
      </c>
      <c r="F249" t="s">
        <v>21</v>
      </c>
      <c r="G249" t="s">
        <v>22</v>
      </c>
      <c r="H249">
        <v>5</v>
      </c>
      <c r="I249" s="2">
        <v>46135.375</v>
      </c>
      <c r="J249" s="2">
        <v>46135.520833333336</v>
      </c>
      <c r="K249" s="1">
        <v>46050</v>
      </c>
      <c r="L249" t="e">
        <f>VLOOKUP(Table2[[#This Row],[Helper colum]],Table1[],1,FALSE)</f>
        <v>#N/A</v>
      </c>
      <c r="M249" t="e">
        <f>VLOOKUP(Table2[[#This Row],[Column1]],#REF!,1,FALSE)</f>
        <v>#REF!</v>
      </c>
    </row>
    <row r="250" spans="1:13" ht="14.65">
      <c r="A250" t="s">
        <v>524</v>
      </c>
      <c r="B250" t="str">
        <f>Table2[[#This Row],[Object identification code]]&amp;" "&amp;Table2[[#This Row],[Full catalogue path]]&amp;" "&amp;Table2[[#This Row],[Object name]]</f>
        <v>070838-EP EP work tools &amp; rules &gt; Behaviour and Attitude at the Workplace Green Public Procurement</v>
      </c>
      <c r="C250" t="str">
        <f>Table2[[#This Row],[Object identification code]]&amp;" "&amp;Table2[[#This Row],[Full catalogue path]]</f>
        <v>070838-EP EP work tools &amp; rules &gt; Behaviour and Attitude at the Workplace</v>
      </c>
      <c r="D250" t="s">
        <v>501</v>
      </c>
      <c r="E250" t="s">
        <v>525</v>
      </c>
      <c r="F250" t="s">
        <v>21</v>
      </c>
      <c r="G250" t="s">
        <v>22</v>
      </c>
      <c r="H250">
        <v>0</v>
      </c>
      <c r="I250" s="2">
        <v>46336.375</v>
      </c>
      <c r="J250" s="2">
        <v>46336.520833333336</v>
      </c>
      <c r="K250" s="1">
        <v>46048</v>
      </c>
      <c r="L250" t="e">
        <f>VLOOKUP(Table2[[#This Row],[Helper colum]],Table1[],1,FALSE)</f>
        <v>#N/A</v>
      </c>
      <c r="M250" t="e">
        <f>VLOOKUP(Table2[[#This Row],[Column1]],#REF!,1,FALSE)</f>
        <v>#REF!</v>
      </c>
    </row>
    <row r="251" spans="1:13" ht="14.65">
      <c r="A251" t="s">
        <v>526</v>
      </c>
      <c r="B251" t="str">
        <f>Table2[[#This Row],[Object identification code]]&amp;" "&amp;Table2[[#This Row],[Full catalogue path]]&amp;" "&amp;Table2[[#This Row],[Object name]]</f>
        <v xml:space="preserve">071491-EP EP work tools &amp; rules &gt; Behaviour and Attitude at the Workplace How to plan and lead a productive meeting </v>
      </c>
      <c r="C251" t="str">
        <f>Table2[[#This Row],[Object identification code]]&amp;" "&amp;Table2[[#This Row],[Full catalogue path]]</f>
        <v>071491-EP EP work tools &amp; rules &gt; Behaviour and Attitude at the Workplace</v>
      </c>
      <c r="D251" t="s">
        <v>501</v>
      </c>
      <c r="E251" t="s">
        <v>527</v>
      </c>
      <c r="F251" t="s">
        <v>21</v>
      </c>
      <c r="G251" t="s">
        <v>25</v>
      </c>
      <c r="I251" s="2">
        <v>46170.375</v>
      </c>
      <c r="J251" s="2">
        <v>47330.333333333336</v>
      </c>
      <c r="K251" t="s">
        <v>198</v>
      </c>
      <c r="L251" t="e">
        <f>VLOOKUP(Table2[[#This Row],[Helper colum]],Table1[],1,FALSE)</f>
        <v>#N/A</v>
      </c>
      <c r="M251" t="e">
        <f>VLOOKUP(Table2[[#This Row],[Column1]],#REF!,1,FALSE)</f>
        <v>#REF!</v>
      </c>
    </row>
    <row r="252" spans="1:13" ht="14.65">
      <c r="A252" t="s">
        <v>528</v>
      </c>
      <c r="B252" t="str">
        <f>Table2[[#This Row],[Object identification code]]&amp;" "&amp;Table2[[#This Row],[Full catalogue path]]&amp;" "&amp;Table2[[#This Row],[Object name]]</f>
        <v>074244-EP EP work tools &amp; rules &gt; Behaviour and Attitude at the Workplace Socially responsible Public Procurement</v>
      </c>
      <c r="C252" t="str">
        <f>Table2[[#This Row],[Object identification code]]&amp;" "&amp;Table2[[#This Row],[Full catalogue path]]</f>
        <v>074244-EP EP work tools &amp; rules &gt; Behaviour and Attitude at the Workplace</v>
      </c>
      <c r="D252" t="s">
        <v>501</v>
      </c>
      <c r="E252" t="s">
        <v>529</v>
      </c>
      <c r="F252" t="s">
        <v>21</v>
      </c>
      <c r="G252" t="s">
        <v>22</v>
      </c>
      <c r="H252">
        <v>0</v>
      </c>
      <c r="I252" s="2">
        <v>46336.583333333336</v>
      </c>
      <c r="J252" s="2">
        <v>46336.729166666664</v>
      </c>
      <c r="K252" t="s">
        <v>198</v>
      </c>
      <c r="L252" t="e">
        <f>VLOOKUP(Table2[[#This Row],[Helper colum]],Table1[],1,FALSE)</f>
        <v>#N/A</v>
      </c>
      <c r="M252" t="e">
        <f>VLOOKUP(Table2[[#This Row],[Column1]],#REF!,1,FALSE)</f>
        <v>#REF!</v>
      </c>
    </row>
    <row r="253" spans="1:13" ht="14.65">
      <c r="A253" t="s">
        <v>530</v>
      </c>
      <c r="B253" t="str">
        <f>Table2[[#This Row],[Object identification code]]&amp;" "&amp;Table2[[#This Row],[Full catalogue path]]&amp;" "&amp;Table2[[#This Row],[Object name]]</f>
        <v>069487-EP EP work tools &amp; rules &gt; Behaviour and Attitude at the Workplace Understanding greenhouse gas (GHG) emissions calculations</v>
      </c>
      <c r="C253" t="str">
        <f>Table2[[#This Row],[Object identification code]]&amp;" "&amp;Table2[[#This Row],[Full catalogue path]]</f>
        <v>069487-EP EP work tools &amp; rules &gt; Behaviour and Attitude at the Workplace</v>
      </c>
      <c r="D253" t="s">
        <v>501</v>
      </c>
      <c r="E253" t="s">
        <v>531</v>
      </c>
      <c r="F253" t="s">
        <v>21</v>
      </c>
      <c r="G253" t="s">
        <v>22</v>
      </c>
      <c r="H253">
        <v>4</v>
      </c>
      <c r="I253" s="2">
        <v>46293.395833333336</v>
      </c>
      <c r="J253" s="2">
        <v>46293.479166666664</v>
      </c>
      <c r="K253" s="1">
        <v>46055</v>
      </c>
      <c r="L253" t="e">
        <f>VLOOKUP(Table2[[#This Row],[Helper colum]],Table1[],1,FALSE)</f>
        <v>#N/A</v>
      </c>
      <c r="M253" t="e">
        <f>VLOOKUP(Table2[[#This Row],[Column1]],#REF!,1,FALSE)</f>
        <v>#REF!</v>
      </c>
    </row>
    <row r="254" spans="1:13" ht="14.65">
      <c r="A254" t="s">
        <v>532</v>
      </c>
      <c r="B254" t="str">
        <f>Table2[[#This Row],[Object identification code]]&amp;" "&amp;Table2[[#This Row],[Full catalogue path]]&amp;" "&amp;Table2[[#This Row],[Object name]]</f>
        <v>017440-GEN EP work tools &amp; rules &gt; Retirement, unemployment, mobility EU Rights at the end of service for Temporary and Contract Agents – information session</v>
      </c>
      <c r="C254" t="str">
        <f>Table2[[#This Row],[Object identification code]]&amp;" "&amp;Table2[[#This Row],[Full catalogue path]]</f>
        <v>017440-GEN EP work tools &amp; rules &gt; Retirement, unemployment, mobility</v>
      </c>
      <c r="D254" t="s">
        <v>533</v>
      </c>
      <c r="E254" t="s">
        <v>534</v>
      </c>
      <c r="F254" t="s">
        <v>21</v>
      </c>
      <c r="G254" t="s">
        <v>22</v>
      </c>
      <c r="H254">
        <v>85</v>
      </c>
      <c r="I254" s="2">
        <v>46133.583333333336</v>
      </c>
      <c r="J254" s="2">
        <v>46133.625</v>
      </c>
      <c r="K254" s="1">
        <v>46056</v>
      </c>
      <c r="L254" t="e">
        <f>VLOOKUP(Table2[[#This Row],[Helper colum]],Table1[],1,FALSE)</f>
        <v>#N/A</v>
      </c>
      <c r="M254" t="e">
        <f>VLOOKUP(Table2[[#This Row],[Column1]],#REF!,1,FALSE)</f>
        <v>#REF!</v>
      </c>
    </row>
    <row r="255" spans="1:13" ht="14.65">
      <c r="A255" t="s">
        <v>535</v>
      </c>
      <c r="B255" t="str">
        <f>Table2[[#This Row],[Object identification code]]&amp;" "&amp;Table2[[#This Row],[Full catalogue path]]&amp;" "&amp;Table2[[#This Row],[Object name]]</f>
        <v>038664-GEN EP work tools &amp; rules &gt; Retirement, unemployment, mobility EU Unemployment allowance rights – information session</v>
      </c>
      <c r="C255" t="str">
        <f>Table2[[#This Row],[Object identification code]]&amp;" "&amp;Table2[[#This Row],[Full catalogue path]]</f>
        <v>038664-GEN EP work tools &amp; rules &gt; Retirement, unemployment, mobility</v>
      </c>
      <c r="D255" t="s">
        <v>533</v>
      </c>
      <c r="E255" t="s">
        <v>536</v>
      </c>
      <c r="F255" t="s">
        <v>21</v>
      </c>
      <c r="G255" t="s">
        <v>22</v>
      </c>
      <c r="H255">
        <v>72</v>
      </c>
      <c r="I255" s="2">
        <v>46142.583333333336</v>
      </c>
      <c r="J255" s="2">
        <v>46142.645833333336</v>
      </c>
      <c r="K255" s="1">
        <v>46056</v>
      </c>
      <c r="L255" t="e">
        <f>VLOOKUP(Table2[[#This Row],[Helper colum]],Table1[],1,FALSE)</f>
        <v>#N/A</v>
      </c>
      <c r="M255" t="e">
        <f>VLOOKUP(Table2[[#This Row],[Column1]],#REF!,1,FALSE)</f>
        <v>#REF!</v>
      </c>
    </row>
    <row r="256" spans="1:13" ht="14.65">
      <c r="A256" t="s">
        <v>537</v>
      </c>
      <c r="B256" t="str">
        <f>Table2[[#This Row],[Object identification code]]&amp;" "&amp;Table2[[#This Row],[Full catalogue path]]&amp;" "&amp;Table2[[#This Row],[Object name]]</f>
        <v>038920-GEN EP work tools &amp; rules &gt; Retirement, unemployment, mobility Pension rights – information session</v>
      </c>
      <c r="C256" t="str">
        <f>Table2[[#This Row],[Object identification code]]&amp;" "&amp;Table2[[#This Row],[Full catalogue path]]</f>
        <v>038920-GEN EP work tools &amp; rules &gt; Retirement, unemployment, mobility</v>
      </c>
      <c r="D256" t="s">
        <v>533</v>
      </c>
      <c r="E256" t="s">
        <v>538</v>
      </c>
      <c r="F256" t="s">
        <v>21</v>
      </c>
      <c r="G256" t="s">
        <v>22</v>
      </c>
      <c r="H256">
        <v>257</v>
      </c>
      <c r="I256" s="2">
        <v>46133.583333333336</v>
      </c>
      <c r="J256" s="2">
        <v>46133.666666666664</v>
      </c>
      <c r="K256" s="1">
        <v>46056</v>
      </c>
      <c r="L256" t="e">
        <f>VLOOKUP(Table2[[#This Row],[Helper colum]],Table1[],1,FALSE)</f>
        <v>#N/A</v>
      </c>
      <c r="M256" t="e">
        <f>VLOOKUP(Table2[[#This Row],[Column1]],#REF!,1,FALSE)</f>
        <v>#REF!</v>
      </c>
    </row>
    <row r="257" spans="1:13" ht="14.65">
      <c r="A257" t="s">
        <v>539</v>
      </c>
      <c r="B257" t="str">
        <f>Table2[[#This Row],[Object identification code]]&amp;" "&amp;Table2[[#This Row],[Full catalogue path]]&amp;" "&amp;Table2[[#This Row],[Object name]]</f>
        <v>038901-GEN EP work tools &amp; rules &gt; Retirement, unemployment, mobility Transfer OUT of pension rights – information session</v>
      </c>
      <c r="C257" t="str">
        <f>Table2[[#This Row],[Object identification code]]&amp;" "&amp;Table2[[#This Row],[Full catalogue path]]</f>
        <v>038901-GEN EP work tools &amp; rules &gt; Retirement, unemployment, mobility</v>
      </c>
      <c r="D257" t="s">
        <v>533</v>
      </c>
      <c r="E257" t="s">
        <v>540</v>
      </c>
      <c r="F257" t="s">
        <v>21</v>
      </c>
      <c r="G257" t="s">
        <v>22</v>
      </c>
      <c r="H257">
        <v>49</v>
      </c>
      <c r="I257" s="2">
        <v>46141.583333333336</v>
      </c>
      <c r="J257" s="2">
        <v>46141.625</v>
      </c>
      <c r="K257" s="1">
        <v>46050</v>
      </c>
      <c r="L257" t="e">
        <f>VLOOKUP(Table2[[#This Row],[Helper colum]],Table1[],1,FALSE)</f>
        <v>#N/A</v>
      </c>
      <c r="M257" t="e">
        <f>VLOOKUP(Table2[[#This Row],[Column1]],#REF!,1,FALSE)</f>
        <v>#REF!</v>
      </c>
    </row>
    <row r="258" spans="1:13" ht="14.65">
      <c r="A258" t="s">
        <v>541</v>
      </c>
      <c r="B258" t="str">
        <f>Table2[[#This Row],[Object identification code]]&amp;" "&amp;Table2[[#This Row],[Full catalogue path]]&amp;" "&amp;Table2[[#This Row],[Object name]]</f>
        <v>024107-EP EU policies &amp; EP core business What you need to know about Economics (and were afraid to ask)</v>
      </c>
      <c r="C258" t="str">
        <f>Table2[[#This Row],[Object identification code]]&amp;" "&amp;Table2[[#This Row],[Full catalogue path]]</f>
        <v>024107-EP EU policies &amp; EP core business</v>
      </c>
      <c r="D258" t="s">
        <v>542</v>
      </c>
      <c r="E258" t="s">
        <v>543</v>
      </c>
      <c r="F258" t="s">
        <v>21</v>
      </c>
      <c r="G258" t="s">
        <v>22</v>
      </c>
      <c r="H258">
        <v>19</v>
      </c>
      <c r="I258" s="2">
        <v>46084.375</v>
      </c>
      <c r="J258" s="2">
        <v>46085.520833333336</v>
      </c>
      <c r="K258" s="1">
        <v>46056</v>
      </c>
      <c r="L258" t="e">
        <f>VLOOKUP(Table2[[#This Row],[Helper colum]],Table1[],1,FALSE)</f>
        <v>#N/A</v>
      </c>
      <c r="M258" t="e">
        <f>VLOOKUP(Table2[[#This Row],[Column1]],#REF!,1,FALSE)</f>
        <v>#REF!</v>
      </c>
    </row>
    <row r="259" spans="1:13" ht="14.65">
      <c r="A259" t="s">
        <v>544</v>
      </c>
      <c r="B259" t="str">
        <f>Table2[[#This Row],[Object identification code]]&amp;" "&amp;Table2[[#This Row],[Full catalogue path]]&amp;" "&amp;Table2[[#This Row],[Object name]]</f>
        <v>069224-EP EU policies &amp; EP core business &gt; How the EP works EU Delegated and Implementing Acts at a glance</v>
      </c>
      <c r="C259" t="str">
        <f>Table2[[#This Row],[Object identification code]]&amp;" "&amp;Table2[[#This Row],[Full catalogue path]]</f>
        <v>069224-EP EU policies &amp; EP core business &gt; How the EP works</v>
      </c>
      <c r="D259" t="s">
        <v>545</v>
      </c>
      <c r="E259" t="s">
        <v>546</v>
      </c>
      <c r="F259" t="s">
        <v>21</v>
      </c>
      <c r="G259" t="s">
        <v>25</v>
      </c>
      <c r="I259" s="2">
        <v>45699.333333333336</v>
      </c>
      <c r="J259" s="2">
        <v>47326.333333333336</v>
      </c>
      <c r="K259" t="s">
        <v>198</v>
      </c>
      <c r="L259" t="e">
        <f>VLOOKUP(Table2[[#This Row],[Helper colum]],Table1[],1,FALSE)</f>
        <v>#N/A</v>
      </c>
      <c r="M259" t="e">
        <f>VLOOKUP(Table2[[#This Row],[Column1]],#REF!,1,FALSE)</f>
        <v>#REF!</v>
      </c>
    </row>
    <row r="260" spans="1:13" ht="14.65">
      <c r="A260" t="s">
        <v>547</v>
      </c>
      <c r="B260" t="str">
        <f>Table2[[#This Row],[Object identification code]]&amp;" "&amp;Table2[[#This Row],[Full catalogue path]]&amp;" "&amp;Table2[[#This Row],[Object name]]</f>
        <v>061364-EP EU policies &amp; EP core business &gt; How the EP works EU Social Law</v>
      </c>
      <c r="C260" t="str">
        <f>Table2[[#This Row],[Object identification code]]&amp;" "&amp;Table2[[#This Row],[Full catalogue path]]</f>
        <v>061364-EP EU policies &amp; EP core business &gt; How the EP works</v>
      </c>
      <c r="D260" t="s">
        <v>545</v>
      </c>
      <c r="E260" t="s">
        <v>548</v>
      </c>
      <c r="F260" t="s">
        <v>21</v>
      </c>
      <c r="G260" t="s">
        <v>22</v>
      </c>
      <c r="H260">
        <v>24</v>
      </c>
      <c r="I260" s="2">
        <v>46084.375</v>
      </c>
      <c r="J260" s="2">
        <v>46084.708333333336</v>
      </c>
      <c r="K260" s="1">
        <v>46055</v>
      </c>
      <c r="L260" t="e">
        <f>VLOOKUP(Table2[[#This Row],[Helper colum]],Table1[],1,FALSE)</f>
        <v>#N/A</v>
      </c>
      <c r="M260" t="e">
        <f>VLOOKUP(Table2[[#This Row],[Column1]],#REF!,1,FALSE)</f>
        <v>#REF!</v>
      </c>
    </row>
    <row r="261" spans="1:13" ht="14.65">
      <c r="A261" t="s">
        <v>549</v>
      </c>
      <c r="B261" t="str">
        <f>Table2[[#This Row],[Object identification code]]&amp;" "&amp;Table2[[#This Row],[Full catalogue path]]&amp;" "&amp;Table2[[#This Row],[Object name]]</f>
        <v>069925-EP EU policies &amp; EP core business &gt; How the EP works EU law for non-lawyers</v>
      </c>
      <c r="C261" t="str">
        <f>Table2[[#This Row],[Object identification code]]&amp;" "&amp;Table2[[#This Row],[Full catalogue path]]</f>
        <v>069925-EP EU policies &amp; EP core business &gt; How the EP works</v>
      </c>
      <c r="D261" t="s">
        <v>545</v>
      </c>
      <c r="E261" t="s">
        <v>550</v>
      </c>
      <c r="F261" t="s">
        <v>21</v>
      </c>
      <c r="G261" t="s">
        <v>25</v>
      </c>
      <c r="I261" s="2">
        <v>45924.375</v>
      </c>
      <c r="J261" s="2">
        <v>47326.333333333336</v>
      </c>
      <c r="K261" t="s">
        <v>198</v>
      </c>
      <c r="L261" t="e">
        <f>VLOOKUP(Table2[[#This Row],[Helper colum]],Table1[],1,FALSE)</f>
        <v>#N/A</v>
      </c>
      <c r="M261" t="e">
        <f>VLOOKUP(Table2[[#This Row],[Column1]],#REF!,1,FALSE)</f>
        <v>#REF!</v>
      </c>
    </row>
    <row r="262" spans="1:13" ht="14.65">
      <c r="A262" t="s">
        <v>551</v>
      </c>
      <c r="B262" t="str">
        <f>Table2[[#This Row],[Object identification code]]&amp;" "&amp;Table2[[#This Row],[Full catalogue path]]&amp;" "&amp;Table2[[#This Row],[Object name]]</f>
        <v>070064-EP EU policies &amp; EP core business &gt; How the EP works Legislative Amendments from A-Z</v>
      </c>
      <c r="C262" t="str">
        <f>Table2[[#This Row],[Object identification code]]&amp;" "&amp;Table2[[#This Row],[Full catalogue path]]</f>
        <v>070064-EP EU policies &amp; EP core business &gt; How the EP works</v>
      </c>
      <c r="D262" t="s">
        <v>545</v>
      </c>
      <c r="E262" t="s">
        <v>552</v>
      </c>
      <c r="F262" t="s">
        <v>21</v>
      </c>
      <c r="G262" t="s">
        <v>25</v>
      </c>
      <c r="I262" s="2">
        <v>46055.333333333336</v>
      </c>
      <c r="J262" s="2">
        <v>47330.333333333336</v>
      </c>
      <c r="K262" t="s">
        <v>198</v>
      </c>
      <c r="L262" t="e">
        <f>VLOOKUP(Table2[[#This Row],[Helper colum]],Table1[],1,FALSE)</f>
        <v>#N/A</v>
      </c>
      <c r="M262" t="e">
        <f>VLOOKUP(Table2[[#This Row],[Column1]],#REF!,1,FALSE)</f>
        <v>#REF!</v>
      </c>
    </row>
    <row r="263" spans="1:13" ht="14.65">
      <c r="A263" t="s">
        <v>553</v>
      </c>
      <c r="B263" t="str">
        <f>Table2[[#This Row],[Object identification code]]&amp;" "&amp;Table2[[#This Row],[Full catalogue path]]&amp;" "&amp;Table2[[#This Row],[Object name]]</f>
        <v>073440-EP EU policies &amp; EP core business &gt; How the EP works Ordinary Legislative Procedure - Walkthrough the OLP / COD procedure - 1st reading</v>
      </c>
      <c r="C263" t="str">
        <f>Table2[[#This Row],[Object identification code]]&amp;" "&amp;Table2[[#This Row],[Full catalogue path]]</f>
        <v>073440-EP EU policies &amp; EP core business &gt; How the EP works</v>
      </c>
      <c r="D263" t="s">
        <v>545</v>
      </c>
      <c r="E263" t="s">
        <v>554</v>
      </c>
      <c r="F263" t="s">
        <v>21</v>
      </c>
      <c r="G263" t="s">
        <v>22</v>
      </c>
      <c r="H263">
        <v>2</v>
      </c>
      <c r="I263" s="2">
        <v>46154.375</v>
      </c>
      <c r="J263" s="2">
        <v>46154.729166666664</v>
      </c>
      <c r="K263" s="1">
        <v>46056</v>
      </c>
      <c r="L263" t="e">
        <f>VLOOKUP(Table2[[#This Row],[Helper colum]],Table1[],1,FALSE)</f>
        <v>#N/A</v>
      </c>
      <c r="M263" t="e">
        <f>VLOOKUP(Table2[[#This Row],[Column1]],#REF!,1,FALSE)</f>
        <v>#REF!</v>
      </c>
    </row>
    <row r="264" spans="1:13" ht="14.65">
      <c r="A264" t="s">
        <v>555</v>
      </c>
      <c r="B264" t="str">
        <f>Table2[[#This Row],[Object identification code]]&amp;" "&amp;Table2[[#This Row],[Full catalogue path]]&amp;" "&amp;Table2[[#This Row],[Object name]]</f>
        <v>037661-SG POLICY EU policies &amp; EP core business &gt; How the EP works Recorded Foresight talks &amp; Futures insights sessions</v>
      </c>
      <c r="C264" t="str">
        <f>Table2[[#This Row],[Object identification code]]&amp;" "&amp;Table2[[#This Row],[Full catalogue path]]</f>
        <v>037661-SG POLICY EU policies &amp; EP core business &gt; How the EP works</v>
      </c>
      <c r="D264" t="s">
        <v>545</v>
      </c>
      <c r="E264" t="s">
        <v>556</v>
      </c>
      <c r="F264" t="s">
        <v>21</v>
      </c>
      <c r="G264" t="s">
        <v>25</v>
      </c>
      <c r="K264" s="1">
        <v>46051</v>
      </c>
      <c r="L264" t="e">
        <f>VLOOKUP(Table2[[#This Row],[Helper colum]],Table1[],1,FALSE)</f>
        <v>#N/A</v>
      </c>
      <c r="M264" t="e">
        <f>VLOOKUP(Table2[[#This Row],[Column1]],#REF!,1,FALSE)</f>
        <v>#REF!</v>
      </c>
    </row>
    <row r="265" spans="1:13" ht="14.65">
      <c r="A265" t="s">
        <v>557</v>
      </c>
      <c r="B265" t="str">
        <f>Table2[[#This Row],[Object identification code]]&amp;" "&amp;Table2[[#This Row],[Full catalogue path]]&amp;" "&amp;Table2[[#This Row],[Object name]]</f>
        <v>054231-EP EU policies &amp; EP core business &gt; How the EP works Ten things you need to know about the European Parliament</v>
      </c>
      <c r="C265" t="str">
        <f>Table2[[#This Row],[Object identification code]]&amp;" "&amp;Table2[[#This Row],[Full catalogue path]]</f>
        <v>054231-EP EU policies &amp; EP core business &gt; How the EP works</v>
      </c>
      <c r="D265" t="s">
        <v>545</v>
      </c>
      <c r="E265" t="s">
        <v>558</v>
      </c>
      <c r="F265" t="s">
        <v>21</v>
      </c>
      <c r="G265" t="s">
        <v>22</v>
      </c>
      <c r="H265">
        <v>55</v>
      </c>
      <c r="I265" s="2">
        <v>46126.5625</v>
      </c>
      <c r="J265" s="2">
        <v>46126.708333333336</v>
      </c>
      <c r="K265" s="1">
        <v>46056</v>
      </c>
      <c r="L265" t="e">
        <f>VLOOKUP(Table2[[#This Row],[Helper colum]],Table1[],1,FALSE)</f>
        <v>#N/A</v>
      </c>
      <c r="M265" t="e">
        <f>VLOOKUP(Table2[[#This Row],[Column1]],#REF!,1,FALSE)</f>
        <v>#REF!</v>
      </c>
    </row>
    <row r="266" spans="1:13" ht="14.65">
      <c r="A266" t="s">
        <v>559</v>
      </c>
      <c r="B266" t="str">
        <f>Table2[[#This Row],[Object identification code]]&amp;" "&amp;Table2[[#This Row],[Full catalogue path]]&amp;" "&amp;Table2[[#This Row],[Object name]]</f>
        <v>031203-EP EU policies &amp; EP core business &gt; Policies Asylum, Migration and Border Management</v>
      </c>
      <c r="C266" t="str">
        <f>Table2[[#This Row],[Object identification code]]&amp;" "&amp;Table2[[#This Row],[Full catalogue path]]</f>
        <v>031203-EP EU policies &amp; EP core business &gt; Policies</v>
      </c>
      <c r="D266" t="s">
        <v>560</v>
      </c>
      <c r="E266" t="s">
        <v>561</v>
      </c>
      <c r="F266" t="s">
        <v>21</v>
      </c>
      <c r="G266" t="s">
        <v>25</v>
      </c>
      <c r="I266" s="2">
        <v>45918.375</v>
      </c>
      <c r="J266" s="2">
        <v>45918.708333333336</v>
      </c>
      <c r="K266" s="1">
        <v>46034</v>
      </c>
      <c r="L266" t="e">
        <f>VLOOKUP(Table2[[#This Row],[Helper colum]],Table1[],1,FALSE)</f>
        <v>#N/A</v>
      </c>
      <c r="M266" t="e">
        <f>VLOOKUP(Table2[[#This Row],[Column1]],#REF!,1,FALSE)</f>
        <v>#REF!</v>
      </c>
    </row>
    <row r="267" spans="1:13" ht="14.65">
      <c r="A267" t="s">
        <v>562</v>
      </c>
      <c r="B267" t="str">
        <f>Table2[[#This Row],[Object identification code]]&amp;" "&amp;Table2[[#This Row],[Full catalogue path]]&amp;" "&amp;Table2[[#This Row],[Object name]]</f>
        <v xml:space="preserve">073760-EP EU policies &amp; EP core business &gt; Policies Cybersecurity </v>
      </c>
      <c r="C267" t="str">
        <f>Table2[[#This Row],[Object identification code]]&amp;" "&amp;Table2[[#This Row],[Full catalogue path]]</f>
        <v>073760-EP EU policies &amp; EP core business &gt; Policies</v>
      </c>
      <c r="D267" t="s">
        <v>560</v>
      </c>
      <c r="E267" t="s">
        <v>563</v>
      </c>
      <c r="F267" t="s">
        <v>21</v>
      </c>
      <c r="G267" t="s">
        <v>22</v>
      </c>
      <c r="H267">
        <v>0</v>
      </c>
      <c r="I267" s="2">
        <v>46286.375</v>
      </c>
      <c r="J267" s="2">
        <v>46286.708333333336</v>
      </c>
      <c r="K267" s="1">
        <v>46055</v>
      </c>
      <c r="L267" t="e">
        <f>VLOOKUP(Table2[[#This Row],[Helper colum]],Table1[],1,FALSE)</f>
        <v>#N/A</v>
      </c>
      <c r="M267" t="e">
        <f>VLOOKUP(Table2[[#This Row],[Column1]],#REF!,1,FALSE)</f>
        <v>#REF!</v>
      </c>
    </row>
    <row r="268" spans="1:13" ht="14.65">
      <c r="A268" t="s">
        <v>564</v>
      </c>
      <c r="B268" t="str">
        <f>Table2[[#This Row],[Object identification code]]&amp;" "&amp;Table2[[#This Row],[Full catalogue path]]&amp;" "&amp;Table2[[#This Row],[Object name]]</f>
        <v xml:space="preserve">061620-EP EU policies &amp; EP core business &gt; Policies EU Food Law </v>
      </c>
      <c r="C268" t="str">
        <f>Table2[[#This Row],[Object identification code]]&amp;" "&amp;Table2[[#This Row],[Full catalogue path]]</f>
        <v>061620-EP EU policies &amp; EP core business &gt; Policies</v>
      </c>
      <c r="D268" t="s">
        <v>560</v>
      </c>
      <c r="E268" t="s">
        <v>565</v>
      </c>
      <c r="F268" t="s">
        <v>21</v>
      </c>
      <c r="G268" t="s">
        <v>22</v>
      </c>
      <c r="H268">
        <v>6</v>
      </c>
      <c r="I268" s="2">
        <v>46051.375</v>
      </c>
      <c r="J268" s="2">
        <v>46051.708333333336</v>
      </c>
      <c r="K268" s="1">
        <v>46055</v>
      </c>
      <c r="L268" t="e">
        <f>VLOOKUP(Table2[[#This Row],[Helper colum]],Table1[],1,FALSE)</f>
        <v>#N/A</v>
      </c>
      <c r="M268" t="e">
        <f>VLOOKUP(Table2[[#This Row],[Column1]],#REF!,1,FALSE)</f>
        <v>#REF!</v>
      </c>
    </row>
    <row r="269" spans="1:13" ht="14.65">
      <c r="A269" t="s">
        <v>566</v>
      </c>
      <c r="B269" t="str">
        <f>Table2[[#This Row],[Object identification code]]&amp;" "&amp;Table2[[#This Row],[Full catalogue path]]&amp;" "&amp;Table2[[#This Row],[Object name]]</f>
        <v>061624-EP EU policies &amp; EP core business &gt; Policies EU Public Health</v>
      </c>
      <c r="C269" t="str">
        <f>Table2[[#This Row],[Object identification code]]&amp;" "&amp;Table2[[#This Row],[Full catalogue path]]</f>
        <v>061624-EP EU policies &amp; EP core business &gt; Policies</v>
      </c>
      <c r="D269" t="s">
        <v>560</v>
      </c>
      <c r="E269" t="s">
        <v>567</v>
      </c>
      <c r="F269" t="s">
        <v>21</v>
      </c>
      <c r="G269" t="s">
        <v>22</v>
      </c>
      <c r="H269">
        <v>24</v>
      </c>
      <c r="I269" s="2">
        <v>46037.375</v>
      </c>
      <c r="J269" s="2">
        <v>46037.709027777775</v>
      </c>
      <c r="K269" s="1">
        <v>46045</v>
      </c>
      <c r="L269" t="e">
        <f>VLOOKUP(Table2[[#This Row],[Helper colum]],Table1[],1,FALSE)</f>
        <v>#N/A</v>
      </c>
      <c r="M269" t="e">
        <f>VLOOKUP(Table2[[#This Row],[Column1]],#REF!,1,FALSE)</f>
        <v>#REF!</v>
      </c>
    </row>
    <row r="270" spans="1:13" ht="14.65">
      <c r="A270" t="s">
        <v>568</v>
      </c>
      <c r="B270" t="str">
        <f>Table2[[#This Row],[Object identification code]]&amp;" "&amp;Table2[[#This Row],[Full catalogue path]]&amp;" "&amp;Table2[[#This Row],[Object name]]</f>
        <v xml:space="preserve">071430-EP EU policies &amp; EP core business &gt; Policies EU Trade Policy and Geoeconomics </v>
      </c>
      <c r="C270" t="str">
        <f>Table2[[#This Row],[Object identification code]]&amp;" "&amp;Table2[[#This Row],[Full catalogue path]]</f>
        <v>071430-EP EU policies &amp; EP core business &gt; Policies</v>
      </c>
      <c r="D270" t="s">
        <v>560</v>
      </c>
      <c r="E270" t="s">
        <v>569</v>
      </c>
      <c r="F270" t="s">
        <v>21</v>
      </c>
      <c r="G270" t="s">
        <v>22</v>
      </c>
      <c r="H270">
        <v>29</v>
      </c>
      <c r="I270" s="2">
        <v>45960.375</v>
      </c>
      <c r="J270" s="2">
        <v>45960.708333333336</v>
      </c>
      <c r="K270" s="1">
        <v>46056</v>
      </c>
      <c r="L270" t="e">
        <f>VLOOKUP(Table2[[#This Row],[Helper colum]],Table1[],1,FALSE)</f>
        <v>#N/A</v>
      </c>
      <c r="M270" t="e">
        <f>VLOOKUP(Table2[[#This Row],[Column1]],#REF!,1,FALSE)</f>
        <v>#REF!</v>
      </c>
    </row>
    <row r="271" spans="1:13" ht="14.65">
      <c r="A271" t="s">
        <v>570</v>
      </c>
      <c r="B271" t="str">
        <f>Table2[[#This Row],[Object identification code]]&amp;" "&amp;Table2[[#This Row],[Full catalogue path]]&amp;" "&amp;Table2[[#This Row],[Object name]]</f>
        <v>069208-EP EU policies &amp; EP core business &gt; Policies Environmental law and the European Green Deal</v>
      </c>
      <c r="C271" t="str">
        <f>Table2[[#This Row],[Object identification code]]&amp;" "&amp;Table2[[#This Row],[Full catalogue path]]</f>
        <v>069208-EP EU policies &amp; EP core business &gt; Policies</v>
      </c>
      <c r="D271" t="s">
        <v>560</v>
      </c>
      <c r="E271" t="s">
        <v>571</v>
      </c>
      <c r="F271" t="s">
        <v>21</v>
      </c>
      <c r="G271" t="s">
        <v>25</v>
      </c>
      <c r="I271" s="2">
        <v>45700.333333333336</v>
      </c>
      <c r="J271" s="2">
        <v>47690.333333333336</v>
      </c>
      <c r="K271" t="s">
        <v>198</v>
      </c>
      <c r="L271" t="e">
        <f>VLOOKUP(Table2[[#This Row],[Helper colum]],Table1[],1,FALSE)</f>
        <v>#N/A</v>
      </c>
      <c r="M271" t="e">
        <f>VLOOKUP(Table2[[#This Row],[Column1]],#REF!,1,FALSE)</f>
        <v>#REF!</v>
      </c>
    </row>
    <row r="272" spans="1:13" ht="14.65">
      <c r="A272" t="s">
        <v>572</v>
      </c>
      <c r="B272" t="str">
        <f>Table2[[#This Row],[Object identification code]]&amp;" "&amp;Table2[[#This Row],[Full catalogue path]]&amp;" "&amp;Table2[[#This Row],[Object name]]</f>
        <v xml:space="preserve">024154-SG POLICY EU policies &amp; EP core business &gt; Policies General introduction to business continuity management - Remote live training  </v>
      </c>
      <c r="C272" t="str">
        <f>Table2[[#This Row],[Object identification code]]&amp;" "&amp;Table2[[#This Row],[Full catalogue path]]</f>
        <v>024154-SG POLICY EU policies &amp; EP core business &gt; Policies</v>
      </c>
      <c r="D272" t="s">
        <v>560</v>
      </c>
      <c r="E272" t="s">
        <v>573</v>
      </c>
      <c r="F272" t="s">
        <v>21</v>
      </c>
      <c r="G272" t="s">
        <v>22</v>
      </c>
      <c r="H272">
        <v>38</v>
      </c>
      <c r="I272" s="2">
        <v>45916.385416666664</v>
      </c>
      <c r="J272" s="2">
        <v>45916.5</v>
      </c>
      <c r="K272" s="1">
        <v>46055</v>
      </c>
      <c r="L272" t="e">
        <f>VLOOKUP(Table2[[#This Row],[Helper colum]],Table1[],1,FALSE)</f>
        <v>#N/A</v>
      </c>
      <c r="M272" t="e">
        <f>VLOOKUP(Table2[[#This Row],[Column1]],#REF!,1,FALSE)</f>
        <v>#REF!</v>
      </c>
    </row>
    <row r="273" spans="1:13" ht="14.65">
      <c r="A273" t="s">
        <v>574</v>
      </c>
      <c r="B273" t="str">
        <f>Table2[[#This Row],[Object identification code]]&amp;" "&amp;Table2[[#This Row],[Full catalogue path]]&amp;" "&amp;Table2[[#This Row],[Object name]]</f>
        <v>070994-SG POLICY EU policies &amp; EP core business &gt; Policies Innovative Policymaking - MasterClass</v>
      </c>
      <c r="C273" t="str">
        <f>Table2[[#This Row],[Object identification code]]&amp;" "&amp;Table2[[#This Row],[Full catalogue path]]</f>
        <v>070994-SG POLICY EU policies &amp; EP core business &gt; Policies</v>
      </c>
      <c r="D273" t="s">
        <v>560</v>
      </c>
      <c r="E273" t="s">
        <v>575</v>
      </c>
      <c r="F273" t="s">
        <v>21</v>
      </c>
      <c r="G273" t="s">
        <v>25</v>
      </c>
      <c r="I273" s="2">
        <v>46079.604166666664</v>
      </c>
      <c r="J273" s="2">
        <v>46079.645833333336</v>
      </c>
      <c r="K273" s="1">
        <v>46056</v>
      </c>
      <c r="L273" t="e">
        <f>VLOOKUP(Table2[[#This Row],[Helper colum]],Table1[],1,FALSE)</f>
        <v>#N/A</v>
      </c>
      <c r="M273" t="e">
        <f>VLOOKUP(Table2[[#This Row],[Column1]],#REF!,1,FALSE)</f>
        <v>#REF!</v>
      </c>
    </row>
    <row r="274" spans="1:13" ht="14.65">
      <c r="A274" t="s">
        <v>576</v>
      </c>
      <c r="B274" t="str">
        <f>Table2[[#This Row],[Object identification code]]&amp;" "&amp;Table2[[#This Row],[Full catalogue path]]&amp;" "&amp;Table2[[#This Row],[Object name]]</f>
        <v>023500-EP EU policies &amp; EP core business &gt; Policies Legislating for the European Union</v>
      </c>
      <c r="C274" t="str">
        <f>Table2[[#This Row],[Object identification code]]&amp;" "&amp;Table2[[#This Row],[Full catalogue path]]</f>
        <v>023500-EP EU policies &amp; EP core business &gt; Policies</v>
      </c>
      <c r="D274" t="s">
        <v>560</v>
      </c>
      <c r="E274" t="s">
        <v>577</v>
      </c>
      <c r="F274" t="s">
        <v>21</v>
      </c>
      <c r="G274" t="s">
        <v>22</v>
      </c>
      <c r="H274">
        <v>146</v>
      </c>
      <c r="I274" s="2">
        <v>46122.375</v>
      </c>
      <c r="J274" s="2">
        <v>46122.520833333336</v>
      </c>
      <c r="K274" s="1">
        <v>46056</v>
      </c>
      <c r="L274" t="e">
        <f>VLOOKUP(Table2[[#This Row],[Helper colum]],Table1[],1,FALSE)</f>
        <v>#N/A</v>
      </c>
      <c r="M274" t="e">
        <f>VLOOKUP(Table2[[#This Row],[Column1]],#REF!,1,FALSE)</f>
        <v>#REF!</v>
      </c>
    </row>
    <row r="275" spans="1:13" ht="14.65">
      <c r="A275" t="s">
        <v>578</v>
      </c>
      <c r="B275" t="str">
        <f>Table2[[#This Row],[Object identification code]]&amp;" "&amp;Table2[[#This Row],[Full catalogue path]]&amp;" "&amp;Table2[[#This Row],[Object name]]</f>
        <v>072448-EP-0002-EN-GB EU policies &amp; EP core business &gt; Policies Security, Defence and the EU</v>
      </c>
      <c r="C275" t="str">
        <f>Table2[[#This Row],[Object identification code]]&amp;" "&amp;Table2[[#This Row],[Full catalogue path]]</f>
        <v>072448-EP-0002-EN-GB EU policies &amp; EP core business &gt; Policies</v>
      </c>
      <c r="D275" t="s">
        <v>560</v>
      </c>
      <c r="E275" t="s">
        <v>579</v>
      </c>
      <c r="F275" t="s">
        <v>16</v>
      </c>
      <c r="I275" s="2">
        <v>46059.375</v>
      </c>
      <c r="J275" s="2">
        <v>46059.708333333336</v>
      </c>
      <c r="K275" s="1">
        <v>46056</v>
      </c>
      <c r="L275" t="e">
        <f>VLOOKUP(Table2[[#This Row],[Helper colum]],Table1[],1,FALSE)</f>
        <v>#N/A</v>
      </c>
      <c r="M275" t="e">
        <f>VLOOKUP(Table2[[#This Row],[Column1]],#REF!,1,FALSE)</f>
        <v>#REF!</v>
      </c>
    </row>
    <row r="276" spans="1:13" ht="14.65">
      <c r="A276" t="s">
        <v>580</v>
      </c>
      <c r="B276" t="str">
        <f>Table2[[#This Row],[Object identification code]]&amp;" "&amp;Table2[[#This Row],[Full catalogue path]]&amp;" "&amp;Table2[[#This Row],[Object name]]</f>
        <v>049483-EP EU policies &amp; EP core business &gt; Policies Security, Defence and the EU</v>
      </c>
      <c r="C276" t="str">
        <f>Table2[[#This Row],[Object identification code]]&amp;" "&amp;Table2[[#This Row],[Full catalogue path]]</f>
        <v>049483-EP EU policies &amp; EP core business &gt; Policies</v>
      </c>
      <c r="D276" t="s">
        <v>560</v>
      </c>
      <c r="E276" t="s">
        <v>579</v>
      </c>
      <c r="F276" t="s">
        <v>21</v>
      </c>
      <c r="G276" t="s">
        <v>25</v>
      </c>
      <c r="I276" s="2">
        <v>46175.375</v>
      </c>
      <c r="J276" s="2">
        <v>46175.708333333336</v>
      </c>
      <c r="K276" s="1">
        <v>45852</v>
      </c>
      <c r="L276" t="e">
        <f>VLOOKUP(Table2[[#This Row],[Helper colum]],Table1[],1,FALSE)</f>
        <v>#N/A</v>
      </c>
      <c r="M276" t="e">
        <f>VLOOKUP(Table2[[#This Row],[Column1]],#REF!,1,FALSE)</f>
        <v>#REF!</v>
      </c>
    </row>
    <row r="277" spans="1:13" ht="14.65">
      <c r="A277" t="s">
        <v>581</v>
      </c>
      <c r="B277" t="str">
        <f>Table2[[#This Row],[Object identification code]]&amp;" "&amp;Table2[[#This Row],[Full catalogue path]]&amp;" "&amp;Table2[[#This Row],[Object name]]</f>
        <v>069207-EP EU policies &amp; EP core business &gt; Policies The future of our energy: what is the EU’s policy?</v>
      </c>
      <c r="C277" t="str">
        <f>Table2[[#This Row],[Object identification code]]&amp;" "&amp;Table2[[#This Row],[Full catalogue path]]</f>
        <v>069207-EP EU policies &amp; EP core business &gt; Policies</v>
      </c>
      <c r="D277" t="s">
        <v>560</v>
      </c>
      <c r="E277" t="s">
        <v>582</v>
      </c>
      <c r="F277" t="s">
        <v>21</v>
      </c>
      <c r="G277" t="s">
        <v>25</v>
      </c>
      <c r="I277" s="2">
        <v>45696.333333333336</v>
      </c>
      <c r="J277" s="2">
        <v>47330.333333333336</v>
      </c>
      <c r="K277" t="s">
        <v>198</v>
      </c>
      <c r="L277" t="e">
        <f>VLOOKUP(Table2[[#This Row],[Helper colum]],Table1[],1,FALSE)</f>
        <v>#N/A</v>
      </c>
      <c r="M277" t="e">
        <f>VLOOKUP(Table2[[#This Row],[Column1]],#REF!,1,FALSE)</f>
        <v>#REF!</v>
      </c>
    </row>
    <row r="278" spans="1:13" ht="14.65">
      <c r="A278" t="s">
        <v>583</v>
      </c>
      <c r="B278" t="str">
        <f>Table2[[#This Row],[Object identification code]]&amp;" "&amp;Table2[[#This Row],[Full catalogue path]]&amp;" "&amp;Table2[[#This Row],[Object name]]</f>
        <v>069222-EP EU policies &amp; EP core business &gt; Powers EP powers and EU policies</v>
      </c>
      <c r="C278" t="str">
        <f>Table2[[#This Row],[Object identification code]]&amp;" "&amp;Table2[[#This Row],[Full catalogue path]]</f>
        <v>069222-EP EU policies &amp; EP core business &gt; Powers</v>
      </c>
      <c r="D278" t="s">
        <v>584</v>
      </c>
      <c r="E278" t="s">
        <v>585</v>
      </c>
      <c r="F278" t="s">
        <v>21</v>
      </c>
      <c r="G278" t="s">
        <v>25</v>
      </c>
      <c r="I278" s="2">
        <v>45689.333333333336</v>
      </c>
      <c r="J278" s="2">
        <v>47325.333333333336</v>
      </c>
      <c r="K278" t="s">
        <v>198</v>
      </c>
      <c r="L278" t="e">
        <f>VLOOKUP(Table2[[#This Row],[Helper colum]],Table1[],1,FALSE)</f>
        <v>#N/A</v>
      </c>
      <c r="M278" t="e">
        <f>VLOOKUP(Table2[[#This Row],[Column1]],#REF!,1,FALSE)</f>
        <v>#REF!</v>
      </c>
    </row>
    <row r="279" spans="1:13" ht="14.65">
      <c r="A279" t="s">
        <v>586</v>
      </c>
      <c r="B279" t="str">
        <f>Table2[[#This Row],[Object identification code]]&amp;" "&amp;Table2[[#This Row],[Full catalogue path]]&amp;" "&amp;Table2[[#This Row],[Object name]]</f>
        <v xml:space="preserve">071273-EP EU policies &amp; EP core business &gt; Powers Powers of Scrutiny of the European Parliament </v>
      </c>
      <c r="C279" t="str">
        <f>Table2[[#This Row],[Object identification code]]&amp;" "&amp;Table2[[#This Row],[Full catalogue path]]</f>
        <v>071273-EP EU policies &amp; EP core business &gt; Powers</v>
      </c>
      <c r="D279" t="s">
        <v>584</v>
      </c>
      <c r="E279" t="s">
        <v>587</v>
      </c>
      <c r="F279" t="s">
        <v>21</v>
      </c>
      <c r="G279" t="s">
        <v>22</v>
      </c>
      <c r="H279">
        <v>16</v>
      </c>
      <c r="I279" s="2">
        <v>46055.375</v>
      </c>
      <c r="J279" s="2">
        <v>46055.708333333336</v>
      </c>
      <c r="K279" s="1">
        <v>46056</v>
      </c>
      <c r="L279" t="e">
        <f>VLOOKUP(Table2[[#This Row],[Helper colum]],Table1[],1,FALSE)</f>
        <v>#N/A</v>
      </c>
      <c r="M279" t="e">
        <f>VLOOKUP(Table2[[#This Row],[Column1]],#REF!,1,FALSE)</f>
        <v>#REF!</v>
      </c>
    </row>
    <row r="280" spans="1:13" ht="14.65">
      <c r="A280" t="s">
        <v>588</v>
      </c>
      <c r="B280" t="str">
        <f>Table2[[#This Row],[Object identification code]]&amp;" "&amp;Table2[[#This Row],[Full catalogue path]]&amp;" "&amp;Table2[[#This Row],[Object name]]</f>
        <v>029173-EP EU policies &amp; EP core business &gt; Powers Rule of Law as a fundamental value of the European Union</v>
      </c>
      <c r="C280" t="str">
        <f>Table2[[#This Row],[Object identification code]]&amp;" "&amp;Table2[[#This Row],[Full catalogue path]]</f>
        <v>029173-EP EU policies &amp; EP core business &gt; Powers</v>
      </c>
      <c r="D280" t="s">
        <v>584</v>
      </c>
      <c r="E280" t="s">
        <v>589</v>
      </c>
      <c r="F280" t="s">
        <v>21</v>
      </c>
      <c r="G280" t="s">
        <v>25</v>
      </c>
      <c r="I280" s="2">
        <v>46155.375</v>
      </c>
      <c r="J280" s="2">
        <v>46155.708333333336</v>
      </c>
      <c r="K280" s="1">
        <v>45539</v>
      </c>
      <c r="L280" t="e">
        <f>VLOOKUP(Table2[[#This Row],[Helper colum]],Table1[],1,FALSE)</f>
        <v>#N/A</v>
      </c>
      <c r="M280" t="e">
        <f>VLOOKUP(Table2[[#This Row],[Column1]],#REF!,1,FALSE)</f>
        <v>#REF!</v>
      </c>
    </row>
    <row r="281" spans="1:13" ht="14.65">
      <c r="A281" t="s">
        <v>590</v>
      </c>
      <c r="B281" t="str">
        <f>Table2[[#This Row],[Object identification code]]&amp;" "&amp;Table2[[#This Row],[Full catalogue path]]&amp;" "&amp;Table2[[#This Row],[Object name]]</f>
        <v>068961-EP EU policies &amp; EP core business &gt; Powers Rules of Procedure</v>
      </c>
      <c r="C281" t="str">
        <f>Table2[[#This Row],[Object identification code]]&amp;" "&amp;Table2[[#This Row],[Full catalogue path]]</f>
        <v>068961-EP EU policies &amp; EP core business &gt; Powers</v>
      </c>
      <c r="D281" t="s">
        <v>584</v>
      </c>
      <c r="E281" t="s">
        <v>591</v>
      </c>
      <c r="F281" t="s">
        <v>21</v>
      </c>
      <c r="G281" t="s">
        <v>25</v>
      </c>
      <c r="I281" s="2">
        <v>45536.333333333336</v>
      </c>
      <c r="J281" s="2">
        <v>47362.333333333336</v>
      </c>
      <c r="K281" t="s">
        <v>198</v>
      </c>
      <c r="L281" t="e">
        <f>VLOOKUP(Table2[[#This Row],[Helper colum]],Table1[],1,FALSE)</f>
        <v>#N/A</v>
      </c>
      <c r="M281" t="e">
        <f>VLOOKUP(Table2[[#This Row],[Column1]],#REF!,1,FALSE)</f>
        <v>#REF!</v>
      </c>
    </row>
    <row r="282" spans="1:13" ht="14.65">
      <c r="A282" t="s">
        <v>592</v>
      </c>
      <c r="B282" t="str">
        <f>Table2[[#This Row],[Object identification code]]&amp;" "&amp;Table2[[#This Row],[Full catalogue path]]&amp;" "&amp;Table2[[#This Row],[Object name]]</f>
        <v>069223-EP EU policies &amp; EP core business &gt; Powers Understanding the EU Budget</v>
      </c>
      <c r="C282" t="str">
        <f>Table2[[#This Row],[Object identification code]]&amp;" "&amp;Table2[[#This Row],[Full catalogue path]]</f>
        <v>069223-EP EU policies &amp; EP core business &gt; Powers</v>
      </c>
      <c r="D282" t="s">
        <v>584</v>
      </c>
      <c r="E282" t="s">
        <v>593</v>
      </c>
      <c r="F282" t="s">
        <v>21</v>
      </c>
      <c r="G282" t="s">
        <v>25</v>
      </c>
      <c r="I282" s="2">
        <v>45666.708333333336</v>
      </c>
      <c r="J282" s="2">
        <v>47325.333333333336</v>
      </c>
      <c r="K282" t="s">
        <v>198</v>
      </c>
      <c r="L282" t="e">
        <f>VLOOKUP(Table2[[#This Row],[Helper colum]],Table1[],1,FALSE)</f>
        <v>#N/A</v>
      </c>
      <c r="M282" t="e">
        <f>VLOOKUP(Table2[[#This Row],[Column1]],#REF!,1,FALSE)</f>
        <v>#REF!</v>
      </c>
    </row>
    <row r="283" spans="1:13" ht="14.65">
      <c r="A283" t="s">
        <v>594</v>
      </c>
      <c r="B283" t="str">
        <f>Table2[[#This Row],[Object identification code]]&amp;" "&amp;Table2[[#This Row],[Full catalogue path]]&amp;" "&amp;Table2[[#This Row],[Object name]]</f>
        <v>070388-EP Ethics &amp; data protection Data Protection - Role of the Controllers</v>
      </c>
      <c r="C283" t="str">
        <f>Table2[[#This Row],[Object identification code]]&amp;" "&amp;Table2[[#This Row],[Full catalogue path]]</f>
        <v>070388-EP Ethics &amp; data protection</v>
      </c>
      <c r="D283" t="s">
        <v>595</v>
      </c>
      <c r="E283" t="s">
        <v>596</v>
      </c>
      <c r="F283" t="s">
        <v>21</v>
      </c>
      <c r="G283" t="s">
        <v>22</v>
      </c>
      <c r="H283">
        <v>1</v>
      </c>
      <c r="I283" s="2">
        <v>45980.395833333336</v>
      </c>
      <c r="J283" s="2">
        <v>45980.5</v>
      </c>
      <c r="K283" s="1">
        <v>45989</v>
      </c>
      <c r="L283" t="e">
        <f>VLOOKUP(Table2[[#This Row],[Helper colum]],Table1[],1,FALSE)</f>
        <v>#N/A</v>
      </c>
      <c r="M283" t="e">
        <f>VLOOKUP(Table2[[#This Row],[Column1]],#REF!,1,FALSE)</f>
        <v>#REF!</v>
      </c>
    </row>
    <row r="284" spans="1:13" ht="14.65">
      <c r="A284" t="s">
        <v>597</v>
      </c>
      <c r="B284" t="str">
        <f>Table2[[#This Row],[Object identification code]]&amp;" "&amp;Table2[[#This Row],[Full catalogue path]]&amp;" "&amp;Table2[[#This Row],[Object name]]</f>
        <v>037982-EP Ethics &amp; data protection Data protection in human resources processing operations</v>
      </c>
      <c r="C284" t="str">
        <f>Table2[[#This Row],[Object identification code]]&amp;" "&amp;Table2[[#This Row],[Full catalogue path]]</f>
        <v>037982-EP Ethics &amp; data protection</v>
      </c>
      <c r="D284" t="s">
        <v>595</v>
      </c>
      <c r="E284" t="s">
        <v>598</v>
      </c>
      <c r="F284" t="s">
        <v>21</v>
      </c>
      <c r="G284" t="s">
        <v>22</v>
      </c>
      <c r="H284">
        <v>17</v>
      </c>
      <c r="I284" s="2">
        <v>46001.4375</v>
      </c>
      <c r="J284" s="2">
        <v>46001.520833333336</v>
      </c>
      <c r="K284" s="1">
        <v>46050</v>
      </c>
      <c r="L284" t="e">
        <f>VLOOKUP(Table2[[#This Row],[Helper colum]],Table1[],1,FALSE)</f>
        <v>#N/A</v>
      </c>
      <c r="M284" t="e">
        <f>VLOOKUP(Table2[[#This Row],[Column1]],#REF!,1,FALSE)</f>
        <v>#REF!</v>
      </c>
    </row>
    <row r="285" spans="1:13" ht="14.65">
      <c r="A285" t="s">
        <v>599</v>
      </c>
      <c r="B285" t="str">
        <f>Table2[[#This Row],[Object identification code]]&amp;" "&amp;Table2[[#This Row],[Full catalogue path]]&amp;" "&amp;Table2[[#This Row],[Object name]]</f>
        <v>038560-EP Ethics &amp; data protection Data protection in public procurements</v>
      </c>
      <c r="C285" t="str">
        <f>Table2[[#This Row],[Object identification code]]&amp;" "&amp;Table2[[#This Row],[Full catalogue path]]</f>
        <v>038560-EP Ethics &amp; data protection</v>
      </c>
      <c r="D285" t="s">
        <v>595</v>
      </c>
      <c r="E285" t="s">
        <v>600</v>
      </c>
      <c r="F285" t="s">
        <v>21</v>
      </c>
      <c r="G285" t="s">
        <v>22</v>
      </c>
      <c r="H285">
        <v>23</v>
      </c>
      <c r="I285" s="2">
        <v>46037.4375</v>
      </c>
      <c r="J285" s="2">
        <v>46037.520833333336</v>
      </c>
      <c r="K285" s="1">
        <v>46048</v>
      </c>
      <c r="L285" t="e">
        <f>VLOOKUP(Table2[[#This Row],[Helper colum]],Table1[],1,FALSE)</f>
        <v>#N/A</v>
      </c>
      <c r="M285" t="e">
        <f>VLOOKUP(Table2[[#This Row],[Column1]],#REF!,1,FALSE)</f>
        <v>#REF!</v>
      </c>
    </row>
    <row r="286" spans="1:13" ht="14.65">
      <c r="A286" t="s">
        <v>601</v>
      </c>
      <c r="B286" t="str">
        <f>Table2[[#This Row],[Object identification code]]&amp;" "&amp;Table2[[#This Row],[Full catalogue path]]&amp;" "&amp;Table2[[#This Row],[Object name]]</f>
        <v>071260-EP Ethics &amp; data protection Data protection in the age of AI</v>
      </c>
      <c r="C286" t="str">
        <f>Table2[[#This Row],[Object identification code]]&amp;" "&amp;Table2[[#This Row],[Full catalogue path]]</f>
        <v>071260-EP Ethics &amp; data protection</v>
      </c>
      <c r="D286" t="s">
        <v>595</v>
      </c>
      <c r="E286" t="s">
        <v>602</v>
      </c>
      <c r="F286" t="s">
        <v>21</v>
      </c>
      <c r="G286" t="s">
        <v>25</v>
      </c>
      <c r="I286" s="2">
        <v>46135.604166666664</v>
      </c>
      <c r="J286" s="2">
        <v>46135.666666666664</v>
      </c>
      <c r="K286" s="1">
        <v>46056</v>
      </c>
      <c r="L286" t="e">
        <f>VLOOKUP(Table2[[#This Row],[Helper colum]],Table1[],1,FALSE)</f>
        <v>#N/A</v>
      </c>
      <c r="M286" t="e">
        <f>VLOOKUP(Table2[[#This Row],[Column1]],#REF!,1,FALSE)</f>
        <v>#REF!</v>
      </c>
    </row>
    <row r="287" spans="1:13" ht="14.65">
      <c r="A287" t="s">
        <v>603</v>
      </c>
      <c r="B287" t="str">
        <f>Table2[[#This Row],[Object identification code]]&amp;" "&amp;Table2[[#This Row],[Full catalogue path]]&amp;" "&amp;Table2[[#This Row],[Object name]]</f>
        <v xml:space="preserve">023221-EP Ethics &amp; data protection Dealing effectively with lobbyists </v>
      </c>
      <c r="C287" t="str">
        <f>Table2[[#This Row],[Object identification code]]&amp;" "&amp;Table2[[#This Row],[Full catalogue path]]</f>
        <v>023221-EP Ethics &amp; data protection</v>
      </c>
      <c r="D287" t="s">
        <v>595</v>
      </c>
      <c r="E287" t="s">
        <v>604</v>
      </c>
      <c r="F287" t="s">
        <v>21</v>
      </c>
      <c r="G287" t="s">
        <v>22</v>
      </c>
      <c r="H287">
        <v>31</v>
      </c>
      <c r="I287" s="2">
        <v>46001.395833333336</v>
      </c>
      <c r="J287" s="2">
        <v>46001.729166666664</v>
      </c>
      <c r="K287" s="1">
        <v>46038</v>
      </c>
      <c r="L287" t="e">
        <f>VLOOKUP(Table2[[#This Row],[Helper colum]],Table1[],1,FALSE)</f>
        <v>#N/A</v>
      </c>
      <c r="M287" t="e">
        <f>VLOOKUP(Table2[[#This Row],[Column1]],#REF!,1,FALSE)</f>
        <v>#REF!</v>
      </c>
    </row>
    <row r="288" spans="1:13" ht="14.65">
      <c r="A288" t="s">
        <v>605</v>
      </c>
      <c r="B288" t="str">
        <f>Table2[[#This Row],[Object identification code]]&amp;" "&amp;Table2[[#This Row],[Full catalogue path]]&amp;" "&amp;Table2[[#This Row],[Object name]]</f>
        <v>023379-EP Ethics &amp; data protection Essentials of data protection in the European Parliament</v>
      </c>
      <c r="C288" t="str">
        <f>Table2[[#This Row],[Object identification code]]&amp;" "&amp;Table2[[#This Row],[Full catalogue path]]</f>
        <v>023379-EP Ethics &amp; data protection</v>
      </c>
      <c r="D288" t="s">
        <v>595</v>
      </c>
      <c r="E288" t="s">
        <v>606</v>
      </c>
      <c r="F288" t="s">
        <v>21</v>
      </c>
      <c r="G288" t="s">
        <v>22</v>
      </c>
      <c r="H288">
        <v>139</v>
      </c>
      <c r="I288" s="2">
        <v>46358.375</v>
      </c>
      <c r="J288" s="2">
        <v>46359.520833333336</v>
      </c>
      <c r="K288" s="1">
        <v>46054</v>
      </c>
      <c r="L288" t="e">
        <f>VLOOKUP(Table2[[#This Row],[Helper colum]],Table1[],1,FALSE)</f>
        <v>#N/A</v>
      </c>
      <c r="M288" t="e">
        <f>VLOOKUP(Table2[[#This Row],[Column1]],#REF!,1,FALSE)</f>
        <v>#REF!</v>
      </c>
    </row>
    <row r="289" spans="1:13" ht="14.65">
      <c r="A289" t="s">
        <v>607</v>
      </c>
      <c r="B289" t="str">
        <f>Table2[[#This Row],[Object identification code]]&amp;" "&amp;Table2[[#This Row],[Full catalogue path]]&amp;" "&amp;Table2[[#This Row],[Object name]]</f>
        <v>058680-EP Ethics &amp; data protection Essentials of data protection in the European Parliament</v>
      </c>
      <c r="C289" t="str">
        <f>Table2[[#This Row],[Object identification code]]&amp;" "&amp;Table2[[#This Row],[Full catalogue path]]</f>
        <v>058680-EP Ethics &amp; data protection</v>
      </c>
      <c r="D289" t="s">
        <v>595</v>
      </c>
      <c r="E289" t="s">
        <v>606</v>
      </c>
      <c r="F289" t="s">
        <v>21</v>
      </c>
      <c r="G289" t="s">
        <v>22</v>
      </c>
      <c r="H289">
        <v>29</v>
      </c>
      <c r="I289" s="2">
        <v>46345.395833333336</v>
      </c>
      <c r="J289" s="2">
        <v>46345.729166666664</v>
      </c>
      <c r="K289" s="1">
        <v>46055</v>
      </c>
      <c r="L289" t="e">
        <f>VLOOKUP(Table2[[#This Row],[Helper colum]],Table1[],1,FALSE)</f>
        <v>#N/A</v>
      </c>
      <c r="M289" t="e">
        <f>VLOOKUP(Table2[[#This Row],[Column1]],#REF!,1,FALSE)</f>
        <v>#REF!</v>
      </c>
    </row>
    <row r="290" spans="1:13" ht="14.65">
      <c r="A290" t="s">
        <v>608</v>
      </c>
      <c r="B290" t="str">
        <f>Table2[[#This Row],[Object identification code]]&amp;" "&amp;Table2[[#This Row],[Full catalogue path]]&amp;" "&amp;Table2[[#This Row],[Object name]]</f>
        <v>070182-EP Ethics &amp; data protection Let's Talk Ethics</v>
      </c>
      <c r="C290" t="str">
        <f>Table2[[#This Row],[Object identification code]]&amp;" "&amp;Table2[[#This Row],[Full catalogue path]]</f>
        <v>070182-EP Ethics &amp; data protection</v>
      </c>
      <c r="D290" t="s">
        <v>595</v>
      </c>
      <c r="E290" t="s">
        <v>609</v>
      </c>
      <c r="F290" t="s">
        <v>21</v>
      </c>
      <c r="G290" t="s">
        <v>25</v>
      </c>
      <c r="I290" s="2">
        <v>45708.333333333336</v>
      </c>
      <c r="J290" s="2">
        <v>47330.333333333336</v>
      </c>
      <c r="K290" t="s">
        <v>198</v>
      </c>
      <c r="L290" t="e">
        <f>VLOOKUP(Table2[[#This Row],[Helper colum]],Table1[],1,FALSE)</f>
        <v>#N/A</v>
      </c>
      <c r="M290" t="e">
        <f>VLOOKUP(Table2[[#This Row],[Column1]],#REF!,1,FALSE)</f>
        <v>#REF!</v>
      </c>
    </row>
    <row r="291" spans="1:13" ht="14.65">
      <c r="A291" t="s">
        <v>610</v>
      </c>
      <c r="B291" t="str">
        <f>Table2[[#This Row],[Object identification code]]&amp;" "&amp;Table2[[#This Row],[Full catalogue path]]&amp;" "&amp;Table2[[#This Row],[Object name]]</f>
        <v>061922-EP Ethics &amp; data protection Personal Data Breaches - identify and act</v>
      </c>
      <c r="C291" t="str">
        <f>Table2[[#This Row],[Object identification code]]&amp;" "&amp;Table2[[#This Row],[Full catalogue path]]</f>
        <v>061922-EP Ethics &amp; data protection</v>
      </c>
      <c r="D291" t="s">
        <v>595</v>
      </c>
      <c r="E291" t="s">
        <v>611</v>
      </c>
      <c r="F291" t="s">
        <v>21</v>
      </c>
      <c r="G291" t="s">
        <v>22</v>
      </c>
      <c r="H291">
        <v>21</v>
      </c>
      <c r="I291" s="2">
        <v>45776.604166666664</v>
      </c>
      <c r="J291" s="2">
        <v>45776.6875</v>
      </c>
      <c r="K291" s="1">
        <v>45994</v>
      </c>
      <c r="L291" t="e">
        <f>VLOOKUP(Table2[[#This Row],[Helper colum]],Table1[],1,FALSE)</f>
        <v>#N/A</v>
      </c>
      <c r="M291" t="e">
        <f>VLOOKUP(Table2[[#This Row],[Column1]],#REF!,1,FALSE)</f>
        <v>#REF!</v>
      </c>
    </row>
    <row r="292" spans="1:13" ht="14.65">
      <c r="A292" t="s">
        <v>612</v>
      </c>
      <c r="B292" t="str">
        <f>Table2[[#This Row],[Object identification code]]&amp;" "&amp;Table2[[#This Row],[Full catalogue path]]&amp;" "&amp;Table2[[#This Row],[Object name]]</f>
        <v>061923-EP Ethics &amp; data protection Personal Data Breaches - identify and act</v>
      </c>
      <c r="C292" t="str">
        <f>Table2[[#This Row],[Object identification code]]&amp;" "&amp;Table2[[#This Row],[Full catalogue path]]</f>
        <v>061923-EP Ethics &amp; data protection</v>
      </c>
      <c r="D292" t="s">
        <v>595</v>
      </c>
      <c r="E292" t="s">
        <v>611</v>
      </c>
      <c r="F292" t="s">
        <v>21</v>
      </c>
      <c r="G292" t="s">
        <v>22</v>
      </c>
      <c r="H292">
        <v>22</v>
      </c>
      <c r="I292" s="2">
        <v>45957.395833333336</v>
      </c>
      <c r="J292" s="2">
        <v>45957.520833333336</v>
      </c>
      <c r="K292" s="1">
        <v>46048</v>
      </c>
      <c r="L292" t="e">
        <f>VLOOKUP(Table2[[#This Row],[Helper colum]],Table1[],1,FALSE)</f>
        <v>#N/A</v>
      </c>
      <c r="M292" t="e">
        <f>VLOOKUP(Table2[[#This Row],[Column1]],#REF!,1,FALSE)</f>
        <v>#REF!</v>
      </c>
    </row>
    <row r="293" spans="1:13" ht="14.65">
      <c r="A293" t="s">
        <v>613</v>
      </c>
      <c r="B293" t="str">
        <f>Table2[[#This Row],[Object identification code]]&amp;" "&amp;Table2[[#This Row],[Full catalogue path]]&amp;" "&amp;Table2[[#This Row],[Object name]]</f>
        <v>061870-EP Ethics &amp; data protection Privacy Enhancing Technologies (PETs)</v>
      </c>
      <c r="C293" t="str">
        <f>Table2[[#This Row],[Object identification code]]&amp;" "&amp;Table2[[#This Row],[Full catalogue path]]</f>
        <v>061870-EP Ethics &amp; data protection</v>
      </c>
      <c r="D293" t="s">
        <v>595</v>
      </c>
      <c r="E293" t="s">
        <v>614</v>
      </c>
      <c r="F293" t="s">
        <v>21</v>
      </c>
      <c r="G293" t="s">
        <v>22</v>
      </c>
      <c r="H293">
        <v>14</v>
      </c>
      <c r="I293" s="2">
        <v>45456.416666666664</v>
      </c>
      <c r="J293" s="2">
        <v>45456.5</v>
      </c>
      <c r="K293" s="1">
        <v>45994</v>
      </c>
      <c r="L293" t="e">
        <f>VLOOKUP(Table2[[#This Row],[Helper colum]],Table1[],1,FALSE)</f>
        <v>#N/A</v>
      </c>
      <c r="M293" t="e">
        <f>VLOOKUP(Table2[[#This Row],[Column1]],#REF!,1,FALSE)</f>
        <v>#REF!</v>
      </c>
    </row>
    <row r="294" spans="1:13" ht="14.65">
      <c r="A294" t="s">
        <v>615</v>
      </c>
      <c r="B294" t="str">
        <f>Table2[[#This Row],[Object identification code]]&amp;" "&amp;Table2[[#This Row],[Full catalogue path]]&amp;" "&amp;Table2[[#This Row],[Object name]]</f>
        <v>061925-EP Ethics &amp; data protection Privacy Enhancing Technologies (PETs)</v>
      </c>
      <c r="C294" t="str">
        <f>Table2[[#This Row],[Object identification code]]&amp;" "&amp;Table2[[#This Row],[Full catalogue path]]</f>
        <v>061925-EP Ethics &amp; data protection</v>
      </c>
      <c r="D294" t="s">
        <v>595</v>
      </c>
      <c r="E294" t="s">
        <v>614</v>
      </c>
      <c r="F294" t="s">
        <v>21</v>
      </c>
      <c r="G294" t="s">
        <v>22</v>
      </c>
      <c r="H294">
        <v>10</v>
      </c>
      <c r="I294" s="2">
        <v>45959.604166666664</v>
      </c>
      <c r="J294" s="2">
        <v>45959.708333333336</v>
      </c>
      <c r="K294" s="1">
        <v>45995</v>
      </c>
      <c r="L294" t="e">
        <f>VLOOKUP(Table2[[#This Row],[Helper colum]],Table1[],1,FALSE)</f>
        <v>#N/A</v>
      </c>
      <c r="M294" t="e">
        <f>VLOOKUP(Table2[[#This Row],[Column1]],#REF!,1,FALSE)</f>
        <v>#REF!</v>
      </c>
    </row>
    <row r="295" spans="1:13" ht="14.65">
      <c r="A295" t="s">
        <v>616</v>
      </c>
      <c r="B295" t="str">
        <f>Table2[[#This Row],[Object identification code]]&amp;" "&amp;Table2[[#This Row],[Full catalogue path]]&amp;" "&amp;Table2[[#This Row],[Object name]]</f>
        <v>071133-EP Ethics &amp; data protection Privacy risks and Data Protection Impact Assessment</v>
      </c>
      <c r="C295" t="str">
        <f>Table2[[#This Row],[Object identification code]]&amp;" "&amp;Table2[[#This Row],[Full catalogue path]]</f>
        <v>071133-EP Ethics &amp; data protection</v>
      </c>
      <c r="D295" t="s">
        <v>595</v>
      </c>
      <c r="E295" t="s">
        <v>617</v>
      </c>
      <c r="F295" t="s">
        <v>21</v>
      </c>
      <c r="G295" t="s">
        <v>22</v>
      </c>
      <c r="H295">
        <v>5</v>
      </c>
      <c r="I295" s="2">
        <v>46001.395833333336</v>
      </c>
      <c r="J295" s="2">
        <v>46001.5</v>
      </c>
      <c r="K295" s="1">
        <v>45996</v>
      </c>
      <c r="L295" t="e">
        <f>VLOOKUP(Table2[[#This Row],[Helper colum]],Table1[],1,FALSE)</f>
        <v>#N/A</v>
      </c>
      <c r="M295" t="e">
        <f>VLOOKUP(Table2[[#This Row],[Column1]],#REF!,1,FALSE)</f>
        <v>#REF!</v>
      </c>
    </row>
    <row r="296" spans="1:13" ht="14.65">
      <c r="A296" t="s">
        <v>618</v>
      </c>
      <c r="B296" t="str">
        <f>Table2[[#This Row],[Object identification code]]&amp;" "&amp;Table2[[#This Row],[Full catalogue path]]&amp;" "&amp;Table2[[#This Row],[Object name]]</f>
        <v>071135-EP Ethics &amp; data protection Risk Assessment and DPIA - workshop</v>
      </c>
      <c r="C296" t="str">
        <f>Table2[[#This Row],[Object identification code]]&amp;" "&amp;Table2[[#This Row],[Full catalogue path]]</f>
        <v>071135-EP Ethics &amp; data protection</v>
      </c>
      <c r="D296" t="s">
        <v>595</v>
      </c>
      <c r="E296" t="s">
        <v>619</v>
      </c>
      <c r="F296" t="s">
        <v>21</v>
      </c>
      <c r="G296" t="s">
        <v>22</v>
      </c>
      <c r="H296">
        <v>3</v>
      </c>
      <c r="I296" s="2">
        <v>46001.604166666664</v>
      </c>
      <c r="J296" s="2">
        <v>46001.708333333336</v>
      </c>
      <c r="K296" s="1">
        <v>46048</v>
      </c>
      <c r="L296" t="e">
        <f>VLOOKUP(Table2[[#This Row],[Helper colum]],Table1[],1,FALSE)</f>
        <v>#N/A</v>
      </c>
      <c r="M296" t="e">
        <f>VLOOKUP(Table2[[#This Row],[Column1]],#REF!,1,FALSE)</f>
        <v>#REF!</v>
      </c>
    </row>
    <row r="297" spans="1:13" ht="14.65">
      <c r="A297" t="s">
        <v>620</v>
      </c>
      <c r="B297" t="str">
        <f>Table2[[#This Row],[Object identification code]]&amp;" "&amp;Table2[[#This Row],[Full catalogue path]]&amp;" "&amp;Table2[[#This Row],[Object name]]</f>
        <v>071681-EP Ethics &amp; data protection Transfer Impact Assessment in the European Parliament (TIA)</v>
      </c>
      <c r="C297" t="str">
        <f>Table2[[#This Row],[Object identification code]]&amp;" "&amp;Table2[[#This Row],[Full catalogue path]]</f>
        <v>071681-EP Ethics &amp; data protection</v>
      </c>
      <c r="D297" t="s">
        <v>595</v>
      </c>
      <c r="E297" t="s">
        <v>621</v>
      </c>
      <c r="F297" t="s">
        <v>21</v>
      </c>
      <c r="G297" t="s">
        <v>22</v>
      </c>
      <c r="H297">
        <v>4</v>
      </c>
      <c r="I297" s="2">
        <v>45973.416666666664</v>
      </c>
      <c r="J297" s="2">
        <v>45973.520833333336</v>
      </c>
      <c r="K297" s="1">
        <v>46048</v>
      </c>
      <c r="L297" t="e">
        <f>VLOOKUP(Table2[[#This Row],[Helper colum]],Table1[],1,FALSE)</f>
        <v>#N/A</v>
      </c>
      <c r="M297" t="e">
        <f>VLOOKUP(Table2[[#This Row],[Column1]],#REF!,1,FALSE)</f>
        <v>#REF!</v>
      </c>
    </row>
    <row r="298" spans="1:13" ht="14.65">
      <c r="A298" t="s">
        <v>622</v>
      </c>
      <c r="B298" t="str">
        <f>Table2[[#This Row],[Object identification code]]&amp;" "&amp;Table2[[#This Row],[Full catalogue path]]&amp;" "&amp;Table2[[#This Row],[Object name]]</f>
        <v xml:space="preserve">071851-EP Events DG PERS Learning Community </v>
      </c>
      <c r="C298" t="str">
        <f>Table2[[#This Row],[Object identification code]]&amp;" "&amp;Table2[[#This Row],[Full catalogue path]]</f>
        <v>071851-EP Events</v>
      </c>
      <c r="D298" t="s">
        <v>623</v>
      </c>
      <c r="E298" t="s">
        <v>624</v>
      </c>
      <c r="F298" t="s">
        <v>21</v>
      </c>
      <c r="G298" t="s">
        <v>22</v>
      </c>
      <c r="H298">
        <v>2</v>
      </c>
      <c r="I298" s="2">
        <v>45992.392361111109</v>
      </c>
      <c r="J298" s="2">
        <v>46295.333333333336</v>
      </c>
      <c r="K298" s="1">
        <v>46043</v>
      </c>
      <c r="L298" t="e">
        <f>VLOOKUP(Table2[[#This Row],[Helper colum]],Table1[],1,FALSE)</f>
        <v>#N/A</v>
      </c>
      <c r="M298" t="e">
        <f>VLOOKUP(Table2[[#This Row],[Column1]],#REF!,1,FALSE)</f>
        <v>#REF!</v>
      </c>
    </row>
    <row r="299" spans="1:13" ht="14.65">
      <c r="A299" t="s">
        <v>625</v>
      </c>
      <c r="B299" t="str">
        <f>Table2[[#This Row],[Object identification code]]&amp;" "&amp;Table2[[#This Row],[Full catalogue path]]&amp;" "&amp;Table2[[#This Row],[Object name]]</f>
        <v>071716-EP Events EP Choir - open to staff from all Brussels’ based EU institutions</v>
      </c>
      <c r="C299" t="str">
        <f>Table2[[#This Row],[Object identification code]]&amp;" "&amp;Table2[[#This Row],[Full catalogue path]]</f>
        <v>071716-EP Events</v>
      </c>
      <c r="D299" t="s">
        <v>623</v>
      </c>
      <c r="E299" t="s">
        <v>626</v>
      </c>
      <c r="F299" t="s">
        <v>21</v>
      </c>
      <c r="G299" t="s">
        <v>25</v>
      </c>
      <c r="I299" s="2">
        <v>45891.393055555556</v>
      </c>
      <c r="J299" s="2">
        <v>47312.393055555556</v>
      </c>
      <c r="K299" t="s">
        <v>198</v>
      </c>
      <c r="L299" t="e">
        <f>VLOOKUP(Table2[[#This Row],[Helper colum]],Table1[],1,FALSE)</f>
        <v>#N/A</v>
      </c>
      <c r="M299" t="e">
        <f>VLOOKUP(Table2[[#This Row],[Column1]],#REF!,1,FALSE)</f>
        <v>#REF!</v>
      </c>
    </row>
    <row r="300" spans="1:13" ht="14.65">
      <c r="A300" t="s">
        <v>627</v>
      </c>
      <c r="B300" t="str">
        <f>Table2[[#This Row],[Object identification code]]&amp;" "&amp;Table2[[#This Row],[Full catalogue path]]&amp;" "&amp;Table2[[#This Row],[Object name]]</f>
        <v>069085-EP-0007-EN-GB Events EP Talks Channel</v>
      </c>
      <c r="C300" t="str">
        <f>Table2[[#This Row],[Object identification code]]&amp;" "&amp;Table2[[#This Row],[Full catalogue path]]</f>
        <v>069085-EP-0007-EN-GB Events</v>
      </c>
      <c r="D300" t="s">
        <v>623</v>
      </c>
      <c r="E300" t="s">
        <v>628</v>
      </c>
      <c r="F300" t="s">
        <v>16</v>
      </c>
      <c r="I300" t="s">
        <v>17</v>
      </c>
      <c r="L300" t="e">
        <f>VLOOKUP(Table2[[#This Row],[Helper colum]],Table1[],1,FALSE)</f>
        <v>#N/A</v>
      </c>
      <c r="M300" t="e">
        <f>VLOOKUP(Table2[[#This Row],[Column1]],#REF!,1,FALSE)</f>
        <v>#REF!</v>
      </c>
    </row>
    <row r="301" spans="1:13" ht="14.65">
      <c r="A301" t="s">
        <v>629</v>
      </c>
      <c r="B301" t="str">
        <f>Table2[[#This Row],[Object identification code]]&amp;" "&amp;Table2[[#This Row],[Full catalogue path]]&amp;" "&amp;Table2[[#This Row],[Object name]]</f>
        <v>068964-EP Events EP role play</v>
      </c>
      <c r="C301" t="str">
        <f>Table2[[#This Row],[Object identification code]]&amp;" "&amp;Table2[[#This Row],[Full catalogue path]]</f>
        <v>068964-EP Events</v>
      </c>
      <c r="D301" t="s">
        <v>623</v>
      </c>
      <c r="E301" t="s">
        <v>630</v>
      </c>
      <c r="F301" t="s">
        <v>21</v>
      </c>
      <c r="G301" t="s">
        <v>25</v>
      </c>
      <c r="I301" s="2">
        <v>45628.333333333336</v>
      </c>
      <c r="J301" s="2">
        <v>47301.333333333336</v>
      </c>
      <c r="K301" t="s">
        <v>198</v>
      </c>
      <c r="L301" t="e">
        <f>VLOOKUP(Table2[[#This Row],[Helper colum]],Table1[],1,FALSE)</f>
        <v>#N/A</v>
      </c>
      <c r="M301" t="e">
        <f>VLOOKUP(Table2[[#This Row],[Column1]],#REF!,1,FALSE)</f>
        <v>#REF!</v>
      </c>
    </row>
    <row r="302" spans="1:13" ht="14.65">
      <c r="A302" t="s">
        <v>631</v>
      </c>
      <c r="B302" t="str">
        <f>Table2[[#This Row],[Object identification code]]&amp;" "&amp;Table2[[#This Row],[Full catalogue path]]&amp;" "&amp;Table2[[#This Row],[Object name]]</f>
        <v>027384-SG POLICY Events EU Policy Making HUB e-talk series  – What`s new in Better Regulation?</v>
      </c>
      <c r="C302" t="str">
        <f>Table2[[#This Row],[Object identification code]]&amp;" "&amp;Table2[[#This Row],[Full catalogue path]]</f>
        <v>027384-SG POLICY Events</v>
      </c>
      <c r="D302" t="s">
        <v>623</v>
      </c>
      <c r="E302" t="s">
        <v>632</v>
      </c>
      <c r="F302" t="s">
        <v>21</v>
      </c>
      <c r="G302" t="s">
        <v>22</v>
      </c>
      <c r="H302">
        <v>24</v>
      </c>
      <c r="I302" s="2">
        <v>45559.604166666664</v>
      </c>
      <c r="J302" s="2">
        <v>45559.645833333336</v>
      </c>
      <c r="K302" s="1">
        <v>46051</v>
      </c>
      <c r="L302" t="e">
        <f>VLOOKUP(Table2[[#This Row],[Helper colum]],Table1[],1,FALSE)</f>
        <v>#N/A</v>
      </c>
      <c r="M302" t="e">
        <f>VLOOKUP(Table2[[#This Row],[Column1]],#REF!,1,FALSE)</f>
        <v>#REF!</v>
      </c>
    </row>
    <row r="303" spans="1:13" ht="14.65">
      <c r="A303" t="s">
        <v>633</v>
      </c>
      <c r="B303" t="str">
        <f>Table2[[#This Row],[Object identification code]]&amp;" "&amp;Table2[[#This Row],[Full catalogue path]]&amp;" "&amp;Table2[[#This Row],[Object name]]</f>
        <v>EP SAFE_000159 Events Evacuation Volunteers - Learning Path Trainings - Brussels</v>
      </c>
      <c r="C303" t="str">
        <f>Table2[[#This Row],[Object identification code]]&amp;" "&amp;Table2[[#This Row],[Full catalogue path]]</f>
        <v>EP SAFE_000159 Events</v>
      </c>
      <c r="D303" t="s">
        <v>623</v>
      </c>
      <c r="E303" t="s">
        <v>634</v>
      </c>
      <c r="F303" t="s">
        <v>38</v>
      </c>
      <c r="K303" s="1">
        <v>45979</v>
      </c>
      <c r="L303" t="e">
        <f>VLOOKUP(Table2[[#This Row],[Helper colum]],Table1[],1,FALSE)</f>
        <v>#N/A</v>
      </c>
      <c r="M303" t="e">
        <f>VLOOKUP(Table2[[#This Row],[Column1]],#REF!,1,FALSE)</f>
        <v>#REF!</v>
      </c>
    </row>
    <row r="304" spans="1:13" ht="14.65">
      <c r="A304" t="s">
        <v>635</v>
      </c>
      <c r="B304" t="str">
        <f>Table2[[#This Row],[Object identification code]]&amp;" "&amp;Table2[[#This Row],[Full catalogue path]]&amp;" "&amp;Table2[[#This Row],[Object name]]</f>
        <v>EP SAFE_000240 Events Evacuation Volunteers - Learning Path Trainings - Luxembourg</v>
      </c>
      <c r="C304" t="str">
        <f>Table2[[#This Row],[Object identification code]]&amp;" "&amp;Table2[[#This Row],[Full catalogue path]]</f>
        <v>EP SAFE_000240 Events</v>
      </c>
      <c r="D304" t="s">
        <v>623</v>
      </c>
      <c r="E304" t="s">
        <v>636</v>
      </c>
      <c r="F304" t="s">
        <v>38</v>
      </c>
      <c r="K304" s="1">
        <v>45951</v>
      </c>
      <c r="L304" t="e">
        <f>VLOOKUP(Table2[[#This Row],[Helper colum]],Table1[],1,FALSE)</f>
        <v>#N/A</v>
      </c>
      <c r="M304" t="e">
        <f>VLOOKUP(Table2[[#This Row],[Column1]],#REF!,1,FALSE)</f>
        <v>#REF!</v>
      </c>
    </row>
    <row r="305" spans="1:13" ht="14.65">
      <c r="A305" t="s">
        <v>637</v>
      </c>
      <c r="B305" t="str">
        <f>Table2[[#This Row],[Object identification code]]&amp;" "&amp;Table2[[#This Row],[Full catalogue path]]&amp;" "&amp;Table2[[#This Row],[Object name]]</f>
        <v>EP SAFE_000459 Events Evacuation Volunteers - Learning Path Trainings - Strasbourg</v>
      </c>
      <c r="C305" t="str">
        <f>Table2[[#This Row],[Object identification code]]&amp;" "&amp;Table2[[#This Row],[Full catalogue path]]</f>
        <v>EP SAFE_000459 Events</v>
      </c>
      <c r="D305" t="s">
        <v>623</v>
      </c>
      <c r="E305" t="s">
        <v>638</v>
      </c>
      <c r="F305" t="s">
        <v>38</v>
      </c>
      <c r="K305" s="1">
        <v>45875</v>
      </c>
      <c r="L305" t="e">
        <f>VLOOKUP(Table2[[#This Row],[Helper colum]],Table1[],1,FALSE)</f>
        <v>#N/A</v>
      </c>
      <c r="M305" t="e">
        <f>VLOOKUP(Table2[[#This Row],[Column1]],#REF!,1,FALSE)</f>
        <v>#REF!</v>
      </c>
    </row>
    <row r="306" spans="1:13" ht="14.65">
      <c r="A306" t="s">
        <v>639</v>
      </c>
      <c r="B306" t="str">
        <f>Table2[[#This Row],[Object identification code]]&amp;" "&amp;Table2[[#This Row],[Full catalogue path]]&amp;" "&amp;Table2[[#This Row],[Object name]]</f>
        <v>070324-EP Events Getting Started with Digital Facilitation in Howspace</v>
      </c>
      <c r="C306" t="str">
        <f>Table2[[#This Row],[Object identification code]]&amp;" "&amp;Table2[[#This Row],[Full catalogue path]]</f>
        <v>070324-EP Events</v>
      </c>
      <c r="D306" t="s">
        <v>623</v>
      </c>
      <c r="E306" t="s">
        <v>640</v>
      </c>
      <c r="F306" t="s">
        <v>21</v>
      </c>
      <c r="G306" t="s">
        <v>22</v>
      </c>
      <c r="H306">
        <v>4</v>
      </c>
      <c r="I306" s="2">
        <v>45993.604861111111</v>
      </c>
      <c r="J306" s="2">
        <v>45993.6875</v>
      </c>
      <c r="K306" s="1">
        <v>45999</v>
      </c>
      <c r="L306" t="e">
        <f>VLOOKUP(Table2[[#This Row],[Helper colum]],Table1[],1,FALSE)</f>
        <v>#N/A</v>
      </c>
      <c r="M306" t="e">
        <f>VLOOKUP(Table2[[#This Row],[Column1]],#REF!,1,FALSE)</f>
        <v>#REF!</v>
      </c>
    </row>
    <row r="307" spans="1:13" ht="14.65">
      <c r="A307" t="s">
        <v>641</v>
      </c>
      <c r="B307" t="str">
        <f>Table2[[#This Row],[Object identification code]]&amp;" "&amp;Table2[[#This Row],[Full catalogue path]]&amp;" "&amp;Table2[[#This Row],[Object name]]</f>
        <v>056794-LUX GEN Events Make your CV and cover letter stand out! face-to-face in Luxembourg</v>
      </c>
      <c r="C307" t="str">
        <f>Table2[[#This Row],[Object identification code]]&amp;" "&amp;Table2[[#This Row],[Full catalogue path]]</f>
        <v>056794-LUX GEN Events</v>
      </c>
      <c r="D307" t="s">
        <v>623</v>
      </c>
      <c r="E307" t="s">
        <v>642</v>
      </c>
      <c r="F307" t="s">
        <v>21</v>
      </c>
      <c r="G307" t="s">
        <v>25</v>
      </c>
      <c r="I307" s="2">
        <v>45736.416666666664</v>
      </c>
      <c r="J307" s="2">
        <v>45736.520833333336</v>
      </c>
      <c r="K307" s="1">
        <v>45737</v>
      </c>
      <c r="L307" t="e">
        <f>VLOOKUP(Table2[[#This Row],[Helper colum]],Table1[],1,FALSE)</f>
        <v>#N/A</v>
      </c>
      <c r="M307" t="e">
        <f>VLOOKUP(Table2[[#This Row],[Column1]],#REF!,1,FALSE)</f>
        <v>#REF!</v>
      </c>
    </row>
    <row r="308" spans="1:13" ht="14.65">
      <c r="B308" t="str">
        <f>Table2[[#This Row],[Object identification code]]&amp;" "&amp;Table2[[#This Row],[Full catalogue path]]&amp;" "&amp;Table2[[#This Row],[Object name]]</f>
        <v xml:space="preserve"> Events Pre-Award User Group (Preparation, Submission &amp; Evaluation) - 23/10/2024</v>
      </c>
      <c r="C308" t="str">
        <f>Table2[[#This Row],[Object identification code]]&amp;" "&amp;Table2[[#This Row],[Full catalogue path]]</f>
        <v xml:space="preserve"> Events</v>
      </c>
      <c r="D308" t="s">
        <v>623</v>
      </c>
      <c r="E308" t="s">
        <v>643</v>
      </c>
      <c r="F308" t="s">
        <v>76</v>
      </c>
      <c r="L308" t="e">
        <f>VLOOKUP(Table2[[#This Row],[Helper colum]],Table1[],1,FALSE)</f>
        <v>#N/A</v>
      </c>
      <c r="M308" t="e">
        <f>VLOOKUP(Table2[[#This Row],[Column1]],#REF!,1,FALSE)</f>
        <v>#REF!</v>
      </c>
    </row>
    <row r="309" spans="1:13" ht="14.65">
      <c r="A309" t="s">
        <v>644</v>
      </c>
      <c r="B309" t="str">
        <f>Table2[[#This Row],[Object identification code]]&amp;" "&amp;Table2[[#This Row],[Full catalogue path]]&amp;" "&amp;Table2[[#This Row],[Object name]]</f>
        <v>069230-EP Events Treasure Hunt at the Museum</v>
      </c>
      <c r="C309" t="str">
        <f>Table2[[#This Row],[Object identification code]]&amp;" "&amp;Table2[[#This Row],[Full catalogue path]]</f>
        <v>069230-EP Events</v>
      </c>
      <c r="D309" t="s">
        <v>623</v>
      </c>
      <c r="E309" t="s">
        <v>645</v>
      </c>
      <c r="F309" t="s">
        <v>21</v>
      </c>
      <c r="G309" t="s">
        <v>22</v>
      </c>
      <c r="H309">
        <v>6</v>
      </c>
      <c r="I309" s="2">
        <v>45832.395833333336</v>
      </c>
      <c r="J309" s="2">
        <v>45832.520833333336</v>
      </c>
      <c r="K309" s="1">
        <v>46029</v>
      </c>
      <c r="L309" t="e">
        <f>VLOOKUP(Table2[[#This Row],[Helper colum]],Table1[],1,FALSE)</f>
        <v>#N/A</v>
      </c>
      <c r="M309" t="e">
        <f>VLOOKUP(Table2[[#This Row],[Column1]],#REF!,1,FALSE)</f>
        <v>#REF!</v>
      </c>
    </row>
    <row r="310" spans="1:13" ht="14.65">
      <c r="A310" t="s">
        <v>646</v>
      </c>
      <c r="B310" t="str">
        <f>Table2[[#This Row],[Object identification code]]&amp;" "&amp;Table2[[#This Row],[Full catalogue path]]&amp;" "&amp;Table2[[#This Row],[Object name]]</f>
        <v>071852-EP Events Workshop on hosting a Peer Learning Group</v>
      </c>
      <c r="C310" t="str">
        <f>Table2[[#This Row],[Object identification code]]&amp;" "&amp;Table2[[#This Row],[Full catalogue path]]</f>
        <v>071852-EP Events</v>
      </c>
      <c r="D310" t="s">
        <v>623</v>
      </c>
      <c r="E310" t="s">
        <v>647</v>
      </c>
      <c r="F310" t="s">
        <v>21</v>
      </c>
      <c r="G310" t="s">
        <v>22</v>
      </c>
      <c r="H310">
        <v>5</v>
      </c>
      <c r="I310" s="2">
        <v>45968.416666666664</v>
      </c>
      <c r="J310" s="2">
        <v>45968.5</v>
      </c>
      <c r="K310" s="1">
        <v>45989</v>
      </c>
      <c r="L310" t="e">
        <f>VLOOKUP(Table2[[#This Row],[Helper colum]],Table1[],1,FALSE)</f>
        <v>#N/A</v>
      </c>
      <c r="M310" t="e">
        <f>VLOOKUP(Table2[[#This Row],[Column1]],#REF!,1,FALSE)</f>
        <v>#REF!</v>
      </c>
    </row>
    <row r="311" spans="1:13" ht="14.65">
      <c r="A311" t="s">
        <v>648</v>
      </c>
      <c r="B311" t="str">
        <f>Table2[[#This Row],[Object identification code]]&amp;" "&amp;Table2[[#This Row],[Full catalogue path]]&amp;" "&amp;Table2[[#This Row],[Object name]]</f>
        <v>071159-COMP-0001-EN-GB Finance tools &amp; regulations Bid rigging</v>
      </c>
      <c r="C311" t="str">
        <f>Table2[[#This Row],[Object identification code]]&amp;" "&amp;Table2[[#This Row],[Full catalogue path]]</f>
        <v>071159-COMP-0001-EN-GB Finance tools &amp; regulations</v>
      </c>
      <c r="D311" t="s">
        <v>649</v>
      </c>
      <c r="E311" t="s">
        <v>650</v>
      </c>
      <c r="F311" t="s">
        <v>16</v>
      </c>
      <c r="I311" t="s">
        <v>17</v>
      </c>
      <c r="K311" s="1">
        <v>46056</v>
      </c>
      <c r="L311" t="e">
        <f>VLOOKUP(Table2[[#This Row],[Helper colum]],Table1[],1,FALSE)</f>
        <v>#N/A</v>
      </c>
      <c r="M311" t="e">
        <f>VLOOKUP(Table2[[#This Row],[Column1]],#REF!,1,FALSE)</f>
        <v>#REF!</v>
      </c>
    </row>
    <row r="312" spans="1:13" ht="14.65">
      <c r="A312" t="s">
        <v>651</v>
      </c>
      <c r="B312" t="str">
        <f>Table2[[#This Row],[Object identification code]]&amp;" "&amp;Table2[[#This Row],[Full catalogue path]]&amp;" "&amp;Table2[[#This Row],[Object name]]</f>
        <v>063241-EP Finance tools &amp; regulations Business Objects (BO) for WebContracts</v>
      </c>
      <c r="C312" t="str">
        <f>Table2[[#This Row],[Object identification code]]&amp;" "&amp;Table2[[#This Row],[Full catalogue path]]</f>
        <v>063241-EP Finance tools &amp; regulations</v>
      </c>
      <c r="D312" t="s">
        <v>649</v>
      </c>
      <c r="E312" t="s">
        <v>652</v>
      </c>
      <c r="F312" t="s">
        <v>21</v>
      </c>
      <c r="G312" t="s">
        <v>22</v>
      </c>
      <c r="H312">
        <v>13</v>
      </c>
      <c r="K312" s="1">
        <v>45981</v>
      </c>
      <c r="L312" t="e">
        <f>VLOOKUP(Table2[[#This Row],[Helper colum]],Table1[],1,FALSE)</f>
        <v>#N/A</v>
      </c>
      <c r="M312" t="e">
        <f>VLOOKUP(Table2[[#This Row],[Column1]],#REF!,1,FALSE)</f>
        <v>#REF!</v>
      </c>
    </row>
    <row r="313" spans="1:13" ht="14.65">
      <c r="A313" t="s">
        <v>653</v>
      </c>
      <c r="B313" t="str">
        <f>Table2[[#This Row],[Object identification code]]&amp;" "&amp;Table2[[#This Row],[Full catalogue path]]&amp;" "&amp;Table2[[#This Row],[Object name]]</f>
        <v>026964-GEN Finance tools &amp; regulations Introduction to BUDGpedia (classroom)</v>
      </c>
      <c r="C313" t="str">
        <f>Table2[[#This Row],[Object identification code]]&amp;" "&amp;Table2[[#This Row],[Full catalogue path]]</f>
        <v>026964-GEN Finance tools &amp; regulations</v>
      </c>
      <c r="D313" t="s">
        <v>649</v>
      </c>
      <c r="E313" t="s">
        <v>654</v>
      </c>
      <c r="F313" t="s">
        <v>21</v>
      </c>
      <c r="G313" t="s">
        <v>22</v>
      </c>
      <c r="H313">
        <v>110</v>
      </c>
      <c r="I313" s="2">
        <v>45553.416666666664</v>
      </c>
      <c r="J313" s="2">
        <v>45553.458333333336</v>
      </c>
      <c r="K313" s="1">
        <v>46051</v>
      </c>
      <c r="L313" t="e">
        <f>VLOOKUP(Table2[[#This Row],[Helper colum]],Table1[],1,FALSE)</f>
        <v>#N/A</v>
      </c>
      <c r="M313" t="e">
        <f>VLOOKUP(Table2[[#This Row],[Column1]],#REF!,1,FALSE)</f>
        <v>#REF!</v>
      </c>
    </row>
    <row r="314" spans="1:13" ht="14.65">
      <c r="A314" t="s">
        <v>655</v>
      </c>
      <c r="B314" t="str">
        <f>Table2[[#This Row],[Object identification code]]&amp;" "&amp;Table2[[#This Row],[Full catalogue path]]&amp;" "&amp;Table2[[#This Row],[Object name]]</f>
        <v>052903-GEN Finance tools &amp; regulations Introduction to BUDGpedia on SharePoint Online (online)</v>
      </c>
      <c r="C314" t="str">
        <f>Table2[[#This Row],[Object identification code]]&amp;" "&amp;Table2[[#This Row],[Full catalogue path]]</f>
        <v>052903-GEN Finance tools &amp; regulations</v>
      </c>
      <c r="D314" t="s">
        <v>649</v>
      </c>
      <c r="E314" t="s">
        <v>656</v>
      </c>
      <c r="F314" t="s">
        <v>21</v>
      </c>
      <c r="G314" t="s">
        <v>22</v>
      </c>
      <c r="H314">
        <v>40</v>
      </c>
      <c r="I314" s="2">
        <v>46344.458333333336</v>
      </c>
      <c r="J314" s="2">
        <v>46344.5</v>
      </c>
      <c r="K314" s="1">
        <v>46055</v>
      </c>
      <c r="L314" t="e">
        <f>VLOOKUP(Table2[[#This Row],[Helper colum]],Table1[],1,FALSE)</f>
        <v>#N/A</v>
      </c>
      <c r="M314" t="e">
        <f>VLOOKUP(Table2[[#This Row],[Column1]],#REF!,1,FALSE)</f>
        <v>#REF!</v>
      </c>
    </row>
    <row r="315" spans="1:13" ht="14.65">
      <c r="A315" t="s">
        <v>657</v>
      </c>
      <c r="B315" t="str">
        <f>Table2[[#This Row],[Object identification code]]&amp;" "&amp;Table2[[#This Row],[Full catalogue path]]&amp;" "&amp;Table2[[#This Row],[Object name]]</f>
        <v>055040-EP Finance tools &amp; regulations Introduction to public contracts - legal aspects</v>
      </c>
      <c r="C315" t="str">
        <f>Table2[[#This Row],[Object identification code]]&amp;" "&amp;Table2[[#This Row],[Full catalogue path]]</f>
        <v>055040-EP Finance tools &amp; regulations</v>
      </c>
      <c r="D315" t="s">
        <v>649</v>
      </c>
      <c r="E315" t="s">
        <v>658</v>
      </c>
      <c r="F315" t="s">
        <v>21</v>
      </c>
      <c r="G315" t="s">
        <v>22</v>
      </c>
      <c r="H315">
        <v>24</v>
      </c>
      <c r="I315" s="2">
        <v>46309.395833333336</v>
      </c>
      <c r="J315" s="2">
        <v>46309.708333333336</v>
      </c>
      <c r="K315" s="1">
        <v>46053</v>
      </c>
      <c r="L315" t="e">
        <f>VLOOKUP(Table2[[#This Row],[Helper colum]],Table1[],1,FALSE)</f>
        <v>#N/A</v>
      </c>
      <c r="M315" t="e">
        <f>VLOOKUP(Table2[[#This Row],[Column1]],#REF!,1,FALSE)</f>
        <v>#REF!</v>
      </c>
    </row>
    <row r="316" spans="1:13" ht="14.65">
      <c r="A316" t="s">
        <v>659</v>
      </c>
      <c r="B316" t="str">
        <f>Table2[[#This Row],[Object identification code]]&amp;" "&amp;Table2[[#This Row],[Full catalogue path]]&amp;" "&amp;Table2[[#This Row],[Object name]]</f>
        <v>023444-EP Finance tools &amp; regulations Procurement workshop</v>
      </c>
      <c r="C316" t="str">
        <f>Table2[[#This Row],[Object identification code]]&amp;" "&amp;Table2[[#This Row],[Full catalogue path]]</f>
        <v>023444-EP Finance tools &amp; regulations</v>
      </c>
      <c r="D316" t="s">
        <v>649</v>
      </c>
      <c r="E316" t="s">
        <v>660</v>
      </c>
      <c r="F316" t="s">
        <v>21</v>
      </c>
      <c r="G316" t="s">
        <v>22</v>
      </c>
      <c r="H316">
        <v>57</v>
      </c>
      <c r="I316" s="2">
        <v>45316.375</v>
      </c>
      <c r="J316" s="2">
        <v>45316.708333333336</v>
      </c>
      <c r="K316" s="1">
        <v>46038</v>
      </c>
      <c r="L316" t="e">
        <f>VLOOKUP(Table2[[#This Row],[Helper colum]],Table1[],1,FALSE)</f>
        <v>#N/A</v>
      </c>
      <c r="M316" t="e">
        <f>VLOOKUP(Table2[[#This Row],[Column1]],#REF!,1,FALSE)</f>
        <v>#REF!</v>
      </c>
    </row>
    <row r="317" spans="1:13" ht="14.65">
      <c r="B317" t="str">
        <f>Table2[[#This Row],[Object identification code]]&amp;" "&amp;Table2[[#This Row],[Full catalogue path]]&amp;" "&amp;Table2[[#This Row],[Object name]]</f>
        <v xml:space="preserve"> Finance tools &amp; regulations eProcurement User Group pre-award (Preparation, Submission &amp; Evaluation) recording - 04/10/2023</v>
      </c>
      <c r="C317" t="str">
        <f>Table2[[#This Row],[Object identification code]]&amp;" "&amp;Table2[[#This Row],[Full catalogue path]]</f>
        <v xml:space="preserve"> Finance tools &amp; regulations</v>
      </c>
      <c r="D317" t="s">
        <v>649</v>
      </c>
      <c r="E317" t="s">
        <v>661</v>
      </c>
      <c r="F317" t="s">
        <v>76</v>
      </c>
      <c r="L317" t="e">
        <f>VLOOKUP(Table2[[#This Row],[Helper colum]],Table1[],1,FALSE)</f>
        <v>#N/A</v>
      </c>
      <c r="M317" t="e">
        <f>VLOOKUP(Table2[[#This Row],[Column1]],#REF!,1,FALSE)</f>
        <v>#REF!</v>
      </c>
    </row>
    <row r="318" spans="1:13" ht="14.65">
      <c r="A318" t="s">
        <v>662</v>
      </c>
      <c r="B318" t="str">
        <f>Table2[[#This Row],[Object identification code]]&amp;" "&amp;Table2[[#This Row],[Full catalogue path]]&amp;" "&amp;Table2[[#This Row],[Object name]]</f>
        <v>071826-EP-0002-EN-GB Finance tools &amp; regulations &gt; Flash sessions FMS Flash Session: AirPlus Invoicing Process</v>
      </c>
      <c r="C318" t="str">
        <f>Table2[[#This Row],[Object identification code]]&amp;" "&amp;Table2[[#This Row],[Full catalogue path]]</f>
        <v>071826-EP-0002-EN-GB Finance tools &amp; regulations &gt; Flash sessions</v>
      </c>
      <c r="D318" t="s">
        <v>663</v>
      </c>
      <c r="E318" t="s">
        <v>664</v>
      </c>
      <c r="F318" t="s">
        <v>16</v>
      </c>
      <c r="I318" s="2">
        <v>46042.375</v>
      </c>
      <c r="J318" s="2">
        <v>46042.4375</v>
      </c>
      <c r="K318" s="1">
        <v>46043</v>
      </c>
      <c r="L318" t="e">
        <f>VLOOKUP(Table2[[#This Row],[Helper colum]],Table1[],1,FALSE)</f>
        <v>#N/A</v>
      </c>
      <c r="M318" t="e">
        <f>VLOOKUP(Table2[[#This Row],[Column1]],#REF!,1,FALSE)</f>
        <v>#REF!</v>
      </c>
    </row>
    <row r="319" spans="1:13" ht="14.65">
      <c r="A319" t="s">
        <v>665</v>
      </c>
      <c r="B319" t="str">
        <f>Table2[[#This Row],[Object identification code]]&amp;" "&amp;Table2[[#This Row],[Full catalogue path]]&amp;" "&amp;Table2[[#This Row],[Object name]]</f>
        <v>071924-EP Finance tools &amp; regulations &gt; Flash sessions FMS Flash session - FMS Management Reporting</v>
      </c>
      <c r="C319" t="str">
        <f>Table2[[#This Row],[Object identification code]]&amp;" "&amp;Table2[[#This Row],[Full catalogue path]]</f>
        <v>071924-EP Finance tools &amp; regulations &gt; Flash sessions</v>
      </c>
      <c r="D319" t="s">
        <v>663</v>
      </c>
      <c r="E319" t="s">
        <v>666</v>
      </c>
      <c r="F319" t="s">
        <v>21</v>
      </c>
      <c r="G319" t="s">
        <v>25</v>
      </c>
      <c r="I319" s="2">
        <v>45974.395833333336</v>
      </c>
      <c r="J319" s="2">
        <v>45974.520833333336</v>
      </c>
      <c r="K319" s="1">
        <v>45986</v>
      </c>
      <c r="L319" t="e">
        <f>VLOOKUP(Table2[[#This Row],[Helper colum]],Table1[],1,FALSE)</f>
        <v>#N/A</v>
      </c>
      <c r="M319" t="e">
        <f>VLOOKUP(Table2[[#This Row],[Column1]],#REF!,1,FALSE)</f>
        <v>#REF!</v>
      </c>
    </row>
    <row r="320" spans="1:13" ht="14.65">
      <c r="A320" t="s">
        <v>667</v>
      </c>
      <c r="B320" t="str">
        <f>Table2[[#This Row],[Object identification code]]&amp;" "&amp;Table2[[#This Row],[Full catalogue path]]&amp;" "&amp;Table2[[#This Row],[Object name]]</f>
        <v>072031-EP Finance tools &amp; regulations &gt; Flash sessions FMS Flash session - Introduction to the New FMS User Portal (EP Finance Academy) and SAP Companion Tool</v>
      </c>
      <c r="C320" t="str">
        <f>Table2[[#This Row],[Object identification code]]&amp;" "&amp;Table2[[#This Row],[Full catalogue path]]</f>
        <v>072031-EP Finance tools &amp; regulations &gt; Flash sessions</v>
      </c>
      <c r="D320" t="s">
        <v>663</v>
      </c>
      <c r="E320" t="s">
        <v>668</v>
      </c>
      <c r="F320" t="s">
        <v>21</v>
      </c>
      <c r="G320" t="s">
        <v>22</v>
      </c>
      <c r="H320">
        <v>22</v>
      </c>
      <c r="I320" s="2">
        <v>45973.416666666664</v>
      </c>
      <c r="J320" s="2">
        <v>45973.503472222219</v>
      </c>
      <c r="K320" s="1">
        <v>46050</v>
      </c>
      <c r="L320" t="e">
        <f>VLOOKUP(Table2[[#This Row],[Helper colum]],Table1[],1,FALSE)</f>
        <v>#N/A</v>
      </c>
      <c r="M320" t="e">
        <f>VLOOKUP(Table2[[#This Row],[Column1]],#REF!,1,FALSE)</f>
        <v>#REF!</v>
      </c>
    </row>
    <row r="321" spans="1:13" ht="14.65">
      <c r="A321" t="s">
        <v>669</v>
      </c>
      <c r="B321" t="str">
        <f>Table2[[#This Row],[Object identification code]]&amp;" "&amp;Table2[[#This Row],[Full catalogue path]]&amp;" "&amp;Table2[[#This Row],[Object name]]</f>
        <v>072100-EP Finance tools &amp; regulations &gt; Flash sessions FMS flash session - Decentralisation of AO subdelegations</v>
      </c>
      <c r="C321" t="str">
        <f>Table2[[#This Row],[Object identification code]]&amp;" "&amp;Table2[[#This Row],[Full catalogue path]]</f>
        <v>072100-EP Finance tools &amp; regulations &gt; Flash sessions</v>
      </c>
      <c r="D321" t="s">
        <v>663</v>
      </c>
      <c r="E321" t="s">
        <v>670</v>
      </c>
      <c r="F321" t="s">
        <v>21</v>
      </c>
      <c r="G321" t="s">
        <v>25</v>
      </c>
      <c r="I321" s="2">
        <v>45988.395833333336</v>
      </c>
      <c r="J321" s="2">
        <v>45988.4375</v>
      </c>
      <c r="K321" s="1">
        <v>45992</v>
      </c>
      <c r="L321" t="e">
        <f>VLOOKUP(Table2[[#This Row],[Helper colum]],Table1[],1,FALSE)</f>
        <v>#N/A</v>
      </c>
      <c r="M321" t="e">
        <f>VLOOKUP(Table2[[#This Row],[Column1]],#REF!,1,FALSE)</f>
        <v>#REF!</v>
      </c>
    </row>
    <row r="322" spans="1:13" ht="14.65">
      <c r="A322" t="s">
        <v>671</v>
      </c>
      <c r="B322" t="str">
        <f>Table2[[#This Row],[Object identification code]]&amp;" "&amp;Table2[[#This Row],[Full catalogue path]]&amp;" "&amp;Table2[[#This Row],[Object name]]</f>
        <v>072102-EP Finance tools &amp; regulations &gt; Flash sessions FMS flash session - Recovery orders’ debit note signature using DISP</v>
      </c>
      <c r="C322" t="str">
        <f>Table2[[#This Row],[Object identification code]]&amp;" "&amp;Table2[[#This Row],[Full catalogue path]]</f>
        <v>072102-EP Finance tools &amp; regulations &gt; Flash sessions</v>
      </c>
      <c r="D322" t="s">
        <v>663</v>
      </c>
      <c r="E322" t="s">
        <v>672</v>
      </c>
      <c r="F322" t="s">
        <v>21</v>
      </c>
      <c r="G322" t="s">
        <v>25</v>
      </c>
      <c r="I322" s="2">
        <v>46106.416666666664</v>
      </c>
      <c r="J322" s="2">
        <v>46106.5</v>
      </c>
      <c r="K322" s="1">
        <v>46050</v>
      </c>
      <c r="L322" t="e">
        <f>VLOOKUP(Table2[[#This Row],[Helper colum]],Table1[],1,FALSE)</f>
        <v>#N/A</v>
      </c>
      <c r="M322" t="e">
        <f>VLOOKUP(Table2[[#This Row],[Column1]],#REF!,1,FALSE)</f>
        <v>#REF!</v>
      </c>
    </row>
    <row r="323" spans="1:13" ht="14.65">
      <c r="A323" t="s">
        <v>673</v>
      </c>
      <c r="B323" t="str">
        <f>Table2[[#This Row],[Object identification code]]&amp;" "&amp;Table2[[#This Row],[Full catalogue path]]&amp;" "&amp;Table2[[#This Row],[Object name]]</f>
        <v>EP_005140 Finance tools &amp; regulations &gt; Learning Paths by actors Accountant/Accounting officer</v>
      </c>
      <c r="C323" t="str">
        <f>Table2[[#This Row],[Object identification code]]&amp;" "&amp;Table2[[#This Row],[Full catalogue path]]</f>
        <v>EP_005140 Finance tools &amp; regulations &gt; Learning Paths by actors</v>
      </c>
      <c r="D323" t="s">
        <v>674</v>
      </c>
      <c r="E323" t="s">
        <v>675</v>
      </c>
      <c r="F323" t="s">
        <v>38</v>
      </c>
      <c r="K323" s="1">
        <v>45974</v>
      </c>
      <c r="L323" t="e">
        <f>VLOOKUP(Table2[[#This Row],[Helper colum]],Table1[],1,FALSE)</f>
        <v>#N/A</v>
      </c>
      <c r="M323" t="e">
        <f>VLOOKUP(Table2[[#This Row],[Column1]],#REF!,1,FALSE)</f>
        <v>#REF!</v>
      </c>
    </row>
    <row r="324" spans="1:13" ht="14.65">
      <c r="A324" t="s">
        <v>676</v>
      </c>
      <c r="B324" t="str">
        <f>Table2[[#This Row],[Object identification code]]&amp;" "&amp;Table2[[#This Row],[Full catalogue path]]&amp;" "&amp;Table2[[#This Row],[Object name]]</f>
        <v>EP_005144 Finance tools &amp; regulations &gt; Learning Paths by actors Agent / Staff involved in the preparation of the financial statements in connection with the missions of Commissions and delegations</v>
      </c>
      <c r="C324" t="str">
        <f>Table2[[#This Row],[Object identification code]]&amp;" "&amp;Table2[[#This Row],[Full catalogue path]]</f>
        <v>EP_005144 Finance tools &amp; regulations &gt; Learning Paths by actors</v>
      </c>
      <c r="D324" t="s">
        <v>674</v>
      </c>
      <c r="E324" t="s">
        <v>677</v>
      </c>
      <c r="F324" t="s">
        <v>38</v>
      </c>
      <c r="K324" s="1">
        <v>45942</v>
      </c>
      <c r="L324" t="e">
        <f>VLOOKUP(Table2[[#This Row],[Helper colum]],Table1[],1,FALSE)</f>
        <v>#N/A</v>
      </c>
      <c r="M324" t="e">
        <f>VLOOKUP(Table2[[#This Row],[Column1]],#REF!,1,FALSE)</f>
        <v>#REF!</v>
      </c>
    </row>
    <row r="325" spans="1:13" ht="14.65">
      <c r="A325" t="s">
        <v>678</v>
      </c>
      <c r="B325" t="str">
        <f>Table2[[#This Row],[Object identification code]]&amp;" "&amp;Table2[[#This Row],[Full catalogue path]]&amp;" "&amp;Table2[[#This Row],[Object name]]</f>
        <v>EP_005143 Finance tools &amp; regulations &gt; Learning Paths by actors Agent / Staff responsible for preparing budget estimates</v>
      </c>
      <c r="C325" t="str">
        <f>Table2[[#This Row],[Object identification code]]&amp;" "&amp;Table2[[#This Row],[Full catalogue path]]</f>
        <v>EP_005143 Finance tools &amp; regulations &gt; Learning Paths by actors</v>
      </c>
      <c r="D325" t="s">
        <v>674</v>
      </c>
      <c r="E325" t="s">
        <v>679</v>
      </c>
      <c r="F325" t="s">
        <v>38</v>
      </c>
      <c r="K325" s="1">
        <v>46043</v>
      </c>
      <c r="L325" t="e">
        <f>VLOOKUP(Table2[[#This Row],[Helper colum]],Table1[],1,FALSE)</f>
        <v>#N/A</v>
      </c>
      <c r="M325" t="e">
        <f>VLOOKUP(Table2[[#This Row],[Column1]],#REF!,1,FALSE)</f>
        <v>#REF!</v>
      </c>
    </row>
    <row r="326" spans="1:13" ht="14.65">
      <c r="A326" t="s">
        <v>680</v>
      </c>
      <c r="B326" t="str">
        <f>Table2[[#This Row],[Object identification code]]&amp;" "&amp;Table2[[#This Row],[Full catalogue path]]&amp;" "&amp;Table2[[#This Row],[Object name]]</f>
        <v>EP_005145 Finance tools &amp; regulations &gt; Learning Paths by actors Agents / Staff involved in the asset management</v>
      </c>
      <c r="C326" t="str">
        <f>Table2[[#This Row],[Object identification code]]&amp;" "&amp;Table2[[#This Row],[Full catalogue path]]</f>
        <v>EP_005145 Finance tools &amp; regulations &gt; Learning Paths by actors</v>
      </c>
      <c r="D326" t="s">
        <v>674</v>
      </c>
      <c r="E326" t="s">
        <v>681</v>
      </c>
      <c r="F326" t="s">
        <v>38</v>
      </c>
      <c r="K326" s="1">
        <v>46036</v>
      </c>
      <c r="L326" t="e">
        <f>VLOOKUP(Table2[[#This Row],[Helper colum]],Table1[],1,FALSE)</f>
        <v>#N/A</v>
      </c>
      <c r="M326" t="e">
        <f>VLOOKUP(Table2[[#This Row],[Column1]],#REF!,1,FALSE)</f>
        <v>#REF!</v>
      </c>
    </row>
    <row r="327" spans="1:13" ht="14.65">
      <c r="A327" t="s">
        <v>682</v>
      </c>
      <c r="B327" t="str">
        <f>Table2[[#This Row],[Object identification code]]&amp;" "&amp;Table2[[#This Row],[Full catalogue path]]&amp;" "&amp;Table2[[#This Row],[Object name]]</f>
        <v>EP_005119 Finance tools &amp; regulations &gt; Learning Paths by actors Authorising officer by (sub)delegation</v>
      </c>
      <c r="C327" t="str">
        <f>Table2[[#This Row],[Object identification code]]&amp;" "&amp;Table2[[#This Row],[Full catalogue path]]</f>
        <v>EP_005119 Finance tools &amp; regulations &gt; Learning Paths by actors</v>
      </c>
      <c r="D327" t="s">
        <v>674</v>
      </c>
      <c r="E327" t="s">
        <v>683</v>
      </c>
      <c r="F327" t="s">
        <v>38</v>
      </c>
      <c r="K327" s="1">
        <v>46038</v>
      </c>
      <c r="L327" t="e">
        <f>VLOOKUP(Table2[[#This Row],[Helper colum]],Table1[],1,FALSE)</f>
        <v>#N/A</v>
      </c>
      <c r="M327" t="e">
        <f>VLOOKUP(Table2[[#This Row],[Column1]],#REF!,1,FALSE)</f>
        <v>#REF!</v>
      </c>
    </row>
    <row r="328" spans="1:13" ht="14.65">
      <c r="A328" t="s">
        <v>684</v>
      </c>
      <c r="B328" t="str">
        <f>Table2[[#This Row],[Object identification code]]&amp;" "&amp;Table2[[#This Row],[Full catalogue path]]&amp;" "&amp;Table2[[#This Row],[Object name]]</f>
        <v>EP_005139 Finance tools &amp; regulations &gt; Learning Paths by actors Ex-ante verifier</v>
      </c>
      <c r="C328" t="str">
        <f>Table2[[#This Row],[Object identification code]]&amp;" "&amp;Table2[[#This Row],[Full catalogue path]]</f>
        <v>EP_005139 Finance tools &amp; regulations &gt; Learning Paths by actors</v>
      </c>
      <c r="D328" t="s">
        <v>674</v>
      </c>
      <c r="E328" t="s">
        <v>685</v>
      </c>
      <c r="F328" t="s">
        <v>38</v>
      </c>
      <c r="K328" s="1">
        <v>46031</v>
      </c>
      <c r="L328" t="e">
        <f>VLOOKUP(Table2[[#This Row],[Helper colum]],Table1[],1,FALSE)</f>
        <v>#N/A</v>
      </c>
      <c r="M328" t="e">
        <f>VLOOKUP(Table2[[#This Row],[Column1]],#REF!,1,FALSE)</f>
        <v>#REF!</v>
      </c>
    </row>
    <row r="329" spans="1:13" ht="14.65">
      <c r="A329" t="s">
        <v>686</v>
      </c>
      <c r="B329" t="str">
        <f>Table2[[#This Row],[Object identification code]]&amp;" "&amp;Table2[[#This Row],[Full catalogue path]]&amp;" "&amp;Table2[[#This Row],[Object name]]</f>
        <v>EP_005120 Finance tools &amp; regulations &gt; Learning Paths by actors Financial initiator</v>
      </c>
      <c r="C329" t="str">
        <f>Table2[[#This Row],[Object identification code]]&amp;" "&amp;Table2[[#This Row],[Full catalogue path]]</f>
        <v>EP_005120 Finance tools &amp; regulations &gt; Learning Paths by actors</v>
      </c>
      <c r="D329" t="s">
        <v>674</v>
      </c>
      <c r="E329" t="s">
        <v>687</v>
      </c>
      <c r="F329" t="s">
        <v>38</v>
      </c>
      <c r="K329" s="1">
        <v>46044</v>
      </c>
      <c r="L329" t="e">
        <f>VLOOKUP(Table2[[#This Row],[Helper colum]],Table1[],1,FALSE)</f>
        <v>#N/A</v>
      </c>
      <c r="M329" t="e">
        <f>VLOOKUP(Table2[[#This Row],[Column1]],#REF!,1,FALSE)</f>
        <v>#REF!</v>
      </c>
    </row>
    <row r="330" spans="1:13" ht="14.65">
      <c r="A330" t="s">
        <v>688</v>
      </c>
      <c r="B330" t="str">
        <f>Table2[[#This Row],[Object identification code]]&amp;" "&amp;Table2[[#This Row],[Full catalogue path]]&amp;" "&amp;Table2[[#This Row],[Object name]]</f>
        <v>EP_005141 Finance tools &amp; regulations &gt; Learning Paths by actors Imprest administrator</v>
      </c>
      <c r="C330" t="str">
        <f>Table2[[#This Row],[Object identification code]]&amp;" "&amp;Table2[[#This Row],[Full catalogue path]]</f>
        <v>EP_005141 Finance tools &amp; regulations &gt; Learning Paths by actors</v>
      </c>
      <c r="D330" t="s">
        <v>674</v>
      </c>
      <c r="E330" t="s">
        <v>689</v>
      </c>
      <c r="F330" t="s">
        <v>38</v>
      </c>
      <c r="K330" s="1">
        <v>46049</v>
      </c>
      <c r="L330" t="e">
        <f>VLOOKUP(Table2[[#This Row],[Helper colum]],Table1[],1,FALSE)</f>
        <v>#N/A</v>
      </c>
      <c r="M330" t="e">
        <f>VLOOKUP(Table2[[#This Row],[Column1]],#REF!,1,FALSE)</f>
        <v>#REF!</v>
      </c>
    </row>
    <row r="331" spans="1:13" ht="14.65">
      <c r="A331" t="s">
        <v>690</v>
      </c>
      <c r="B331" t="str">
        <f>Table2[[#This Row],[Object identification code]]&amp;" "&amp;Table2[[#This Row],[Full catalogue path]]&amp;" "&amp;Table2[[#This Row],[Object name]]</f>
        <v>EP_005142 Finance tools &amp; regulations &gt; Learning Paths by actors Procurement officer</v>
      </c>
      <c r="C331" t="str">
        <f>Table2[[#This Row],[Object identification code]]&amp;" "&amp;Table2[[#This Row],[Full catalogue path]]</f>
        <v>EP_005142 Finance tools &amp; regulations &gt; Learning Paths by actors</v>
      </c>
      <c r="D331" t="s">
        <v>674</v>
      </c>
      <c r="E331" t="s">
        <v>691</v>
      </c>
      <c r="F331" t="s">
        <v>38</v>
      </c>
      <c r="K331" s="1">
        <v>46048</v>
      </c>
      <c r="L331" t="e">
        <f>VLOOKUP(Table2[[#This Row],[Helper colum]],Table1[],1,FALSE)</f>
        <v>#N/A</v>
      </c>
      <c r="M331" t="e">
        <f>VLOOKUP(Table2[[#This Row],[Column1]],#REF!,1,FALSE)</f>
        <v>#REF!</v>
      </c>
    </row>
    <row r="332" spans="1:13" ht="14.65">
      <c r="A332" t="s">
        <v>692</v>
      </c>
      <c r="B332" t="str">
        <f>Table2[[#This Row],[Object identification code]]&amp;" "&amp;Table2[[#This Row],[Full catalogue path]]&amp;" "&amp;Table2[[#This Row],[Object name]]</f>
        <v>023424-EP Finance tools &amp; regulations &gt; Miscellaneous Budgetary principles/ Budgetary cycle and budget implementation</v>
      </c>
      <c r="C332" t="str">
        <f>Table2[[#This Row],[Object identification code]]&amp;" "&amp;Table2[[#This Row],[Full catalogue path]]</f>
        <v>023424-EP Finance tools &amp; regulations &gt; Miscellaneous</v>
      </c>
      <c r="D332" t="s">
        <v>693</v>
      </c>
      <c r="E332" t="s">
        <v>694</v>
      </c>
      <c r="F332" t="s">
        <v>21</v>
      </c>
      <c r="G332" t="s">
        <v>22</v>
      </c>
      <c r="H332">
        <v>65</v>
      </c>
      <c r="I332" s="2">
        <v>46183.375</v>
      </c>
      <c r="J332" s="2">
        <v>46183.708333333336</v>
      </c>
      <c r="K332" s="1">
        <v>46055</v>
      </c>
      <c r="L332" t="e">
        <f>VLOOKUP(Table2[[#This Row],[Helper colum]],Table1[],1,FALSE)</f>
        <v>#N/A</v>
      </c>
      <c r="M332" t="e">
        <f>VLOOKUP(Table2[[#This Row],[Column1]],#REF!,1,FALSE)</f>
        <v>#REF!</v>
      </c>
    </row>
    <row r="333" spans="1:13" ht="14.65">
      <c r="A333" t="s">
        <v>695</v>
      </c>
      <c r="B333" t="str">
        <f>Table2[[#This Row],[Object identification code]]&amp;" "&amp;Table2[[#This Row],[Full catalogue path]]&amp;" "&amp;Table2[[#This Row],[Object name]]</f>
        <v>063400-EP Finance tools &amp; regulations &gt; Miscellaneous Dealing with VAT exemption in the EP</v>
      </c>
      <c r="C333" t="str">
        <f>Table2[[#This Row],[Object identification code]]&amp;" "&amp;Table2[[#This Row],[Full catalogue path]]</f>
        <v>063400-EP Finance tools &amp; regulations &gt; Miscellaneous</v>
      </c>
      <c r="D333" t="s">
        <v>693</v>
      </c>
      <c r="E333" t="s">
        <v>696</v>
      </c>
      <c r="F333" t="s">
        <v>21</v>
      </c>
      <c r="G333" t="s">
        <v>22</v>
      </c>
      <c r="H333">
        <v>62</v>
      </c>
      <c r="I333" s="2">
        <v>45932.375</v>
      </c>
      <c r="J333" s="2">
        <v>45932.520833333336</v>
      </c>
      <c r="K333" s="1">
        <v>46055</v>
      </c>
      <c r="L333" t="e">
        <f>VLOOKUP(Table2[[#This Row],[Helper colum]],Table1[],1,FALSE)</f>
        <v>#N/A</v>
      </c>
      <c r="M333" t="e">
        <f>VLOOKUP(Table2[[#This Row],[Column1]],#REF!,1,FALSE)</f>
        <v>#REF!</v>
      </c>
    </row>
    <row r="334" spans="1:13" ht="14.65">
      <c r="A334" t="s">
        <v>697</v>
      </c>
      <c r="B334" t="str">
        <f>Table2[[#This Row],[Object identification code]]&amp;" "&amp;Table2[[#This Row],[Full catalogue path]]&amp;" "&amp;Table2[[#This Row],[Object name]]</f>
        <v>000584-ECA-0003-EN-GB Finance tools &amp; regulations &gt; Miscellaneous ECA - Performance audit methodology (e-learning)</v>
      </c>
      <c r="C334" t="str">
        <f>Table2[[#This Row],[Object identification code]]&amp;" "&amp;Table2[[#This Row],[Full catalogue path]]</f>
        <v>000584-ECA-0003-EN-GB Finance tools &amp; regulations &gt; Miscellaneous</v>
      </c>
      <c r="D334" t="s">
        <v>693</v>
      </c>
      <c r="E334" t="s">
        <v>698</v>
      </c>
      <c r="F334" t="s">
        <v>16</v>
      </c>
      <c r="I334" t="s">
        <v>17</v>
      </c>
      <c r="K334" s="1">
        <v>46056</v>
      </c>
      <c r="L334" t="e">
        <f>VLOOKUP(Table2[[#This Row],[Helper colum]],Table1[],1,FALSE)</f>
        <v>#N/A</v>
      </c>
      <c r="M334" t="e">
        <f>VLOOKUP(Table2[[#This Row],[Column1]],#REF!,1,FALSE)</f>
        <v>#REF!</v>
      </c>
    </row>
    <row r="335" spans="1:13" ht="14.65">
      <c r="A335" t="s">
        <v>699</v>
      </c>
      <c r="B335" t="str">
        <f>Table2[[#This Row],[Object identification code]]&amp;" "&amp;Table2[[#This Row],[Full catalogue path]]&amp;" "&amp;Table2[[#This Row],[Object name]]</f>
        <v>070005-EP Finance tools &amp; regulations &gt; Miscellaneous FMS for Authorising Officer</v>
      </c>
      <c r="C335" t="str">
        <f>Table2[[#This Row],[Object identification code]]&amp;" "&amp;Table2[[#This Row],[Full catalogue path]]</f>
        <v>070005-EP Finance tools &amp; regulations &gt; Miscellaneous</v>
      </c>
      <c r="D335" t="s">
        <v>693</v>
      </c>
      <c r="E335" t="s">
        <v>700</v>
      </c>
      <c r="F335" t="s">
        <v>21</v>
      </c>
      <c r="G335" t="s">
        <v>22</v>
      </c>
      <c r="H335">
        <v>15</v>
      </c>
      <c r="I335" s="2">
        <v>45972.583333333336</v>
      </c>
      <c r="J335" s="2">
        <v>45972.729166666664</v>
      </c>
      <c r="K335" s="1">
        <v>46048</v>
      </c>
      <c r="L335" t="e">
        <f>VLOOKUP(Table2[[#This Row],[Helper colum]],Table1[],1,FALSE)</f>
        <v>#N/A</v>
      </c>
      <c r="M335" t="e">
        <f>VLOOKUP(Table2[[#This Row],[Column1]],#REF!,1,FALSE)</f>
        <v>#REF!</v>
      </c>
    </row>
    <row r="336" spans="1:13" ht="14.65">
      <c r="A336" t="s">
        <v>701</v>
      </c>
      <c r="B336" t="str">
        <f>Table2[[#This Row],[Object identification code]]&amp;" "&amp;Table2[[#This Row],[Full catalogue path]]&amp;" "&amp;Table2[[#This Row],[Object name]]</f>
        <v>034180-EP Finance tools &amp; regulations &gt; Miscellaneous FMS for CAF agents</v>
      </c>
      <c r="C336" t="str">
        <f>Table2[[#This Row],[Object identification code]]&amp;" "&amp;Table2[[#This Row],[Full catalogue path]]</f>
        <v>034180-EP Finance tools &amp; regulations &gt; Miscellaneous</v>
      </c>
      <c r="D336" t="s">
        <v>693</v>
      </c>
      <c r="E336" t="s">
        <v>702</v>
      </c>
      <c r="F336" t="s">
        <v>21</v>
      </c>
      <c r="G336" t="s">
        <v>22</v>
      </c>
      <c r="H336">
        <v>15</v>
      </c>
      <c r="I336" s="2">
        <v>46356.375</v>
      </c>
      <c r="J336" s="2">
        <v>46356.520833333336</v>
      </c>
      <c r="K336" s="1">
        <v>46051</v>
      </c>
      <c r="L336" t="e">
        <f>VLOOKUP(Table2[[#This Row],[Helper colum]],Table1[],1,FALSE)</f>
        <v>#N/A</v>
      </c>
      <c r="M336" t="e">
        <f>VLOOKUP(Table2[[#This Row],[Column1]],#REF!,1,FALSE)</f>
        <v>#REF!</v>
      </c>
    </row>
    <row r="337" spans="1:13" ht="14.65">
      <c r="A337" t="s">
        <v>703</v>
      </c>
      <c r="B337" t="str">
        <f>Table2[[#This Row],[Object identification code]]&amp;" "&amp;Table2[[#This Row],[Full catalogue path]]&amp;" "&amp;Table2[[#This Row],[Object name]]</f>
        <v>025096-EP Finance tools &amp; regulations &gt; Miscellaneous FMS for Financial initiating agents and ex ante verifiers</v>
      </c>
      <c r="C337" t="str">
        <f>Table2[[#This Row],[Object identification code]]&amp;" "&amp;Table2[[#This Row],[Full catalogue path]]</f>
        <v>025096-EP Finance tools &amp; regulations &gt; Miscellaneous</v>
      </c>
      <c r="D337" t="s">
        <v>693</v>
      </c>
      <c r="E337" t="s">
        <v>704</v>
      </c>
      <c r="F337" t="s">
        <v>21</v>
      </c>
      <c r="G337" t="s">
        <v>22</v>
      </c>
      <c r="H337">
        <v>36</v>
      </c>
      <c r="I337" s="2">
        <v>46352.375</v>
      </c>
      <c r="J337" s="2">
        <v>46356.729166666664</v>
      </c>
      <c r="K337" s="1">
        <v>46055</v>
      </c>
      <c r="L337" t="e">
        <f>VLOOKUP(Table2[[#This Row],[Helper colum]],Table1[],1,FALSE)</f>
        <v>#N/A</v>
      </c>
      <c r="M337" t="e">
        <f>VLOOKUP(Table2[[#This Row],[Column1]],#REF!,1,FALSE)</f>
        <v>#REF!</v>
      </c>
    </row>
    <row r="338" spans="1:13" ht="14.65">
      <c r="A338" t="s">
        <v>705</v>
      </c>
      <c r="B338" t="str">
        <f>Table2[[#This Row],[Object identification code]]&amp;" "&amp;Table2[[#This Row],[Full catalogue path]]&amp;" "&amp;Table2[[#This Row],[Object name]]</f>
        <v>033160-EP Finance tools &amp; regulations &gt; Miscellaneous FMS for Reception agents</v>
      </c>
      <c r="C338" t="str">
        <f>Table2[[#This Row],[Object identification code]]&amp;" "&amp;Table2[[#This Row],[Full catalogue path]]</f>
        <v>033160-EP Finance tools &amp; regulations &gt; Miscellaneous</v>
      </c>
      <c r="D338" t="s">
        <v>693</v>
      </c>
      <c r="E338" t="s">
        <v>706</v>
      </c>
      <c r="F338" t="s">
        <v>21</v>
      </c>
      <c r="G338" t="s">
        <v>22</v>
      </c>
      <c r="H338">
        <v>13</v>
      </c>
      <c r="I338" s="2">
        <v>46352.583333333336</v>
      </c>
      <c r="J338" s="2">
        <v>46352.729166666664</v>
      </c>
      <c r="K338" s="1">
        <v>46049</v>
      </c>
      <c r="L338" t="e">
        <f>VLOOKUP(Table2[[#This Row],[Helper colum]],Table1[],1,FALSE)</f>
        <v>#N/A</v>
      </c>
      <c r="M338" t="e">
        <f>VLOOKUP(Table2[[#This Row],[Column1]],#REF!,1,FALSE)</f>
        <v>#REF!</v>
      </c>
    </row>
    <row r="339" spans="1:13" ht="14.65">
      <c r="A339" t="s">
        <v>707</v>
      </c>
      <c r="B339" t="str">
        <f>Table2[[#This Row],[Object identification code]]&amp;" "&amp;Table2[[#This Row],[Full catalogue path]]&amp;" "&amp;Table2[[#This Row],[Object name]]</f>
        <v>064889-EP Finance tools &amp; regulations &gt; Miscellaneous FMS gestion de l'inventaire et transactions spécifiques (ASI, MGT, CATAGAO) - combined course 2024</v>
      </c>
      <c r="C339" t="str">
        <f>Table2[[#This Row],[Object identification code]]&amp;" "&amp;Table2[[#This Row],[Full catalogue path]]</f>
        <v>064889-EP Finance tools &amp; regulations &gt; Miscellaneous</v>
      </c>
      <c r="D339" t="s">
        <v>693</v>
      </c>
      <c r="E339" t="s">
        <v>708</v>
      </c>
      <c r="F339" t="s">
        <v>21</v>
      </c>
      <c r="G339" t="s">
        <v>22</v>
      </c>
      <c r="H339">
        <v>21</v>
      </c>
      <c r="I339" s="2">
        <v>46133.395833333336</v>
      </c>
      <c r="J339" s="2">
        <v>46134.708333333336</v>
      </c>
      <c r="K339" s="1">
        <v>46056</v>
      </c>
      <c r="L339" t="e">
        <f>VLOOKUP(Table2[[#This Row],[Helper colum]],Table1[],1,FALSE)</f>
        <v>#N/A</v>
      </c>
      <c r="M339" t="e">
        <f>VLOOKUP(Table2[[#This Row],[Column1]],#REF!,1,FALSE)</f>
        <v>#REF!</v>
      </c>
    </row>
    <row r="340" spans="1:13" ht="14.65">
      <c r="A340" t="s">
        <v>709</v>
      </c>
      <c r="B340" t="str">
        <f>Table2[[#This Row],[Object identification code]]&amp;" "&amp;Table2[[#This Row],[Full catalogue path]]&amp;" "&amp;Table2[[#This Row],[Object name]]</f>
        <v>025102-EP Finance tools &amp; regulations &gt; Miscellaneous FMS operational reports</v>
      </c>
      <c r="C340" t="str">
        <f>Table2[[#This Row],[Object identification code]]&amp;" "&amp;Table2[[#This Row],[Full catalogue path]]</f>
        <v>025102-EP Finance tools &amp; regulations &gt; Miscellaneous</v>
      </c>
      <c r="D340" t="s">
        <v>693</v>
      </c>
      <c r="E340" t="s">
        <v>710</v>
      </c>
      <c r="F340" t="s">
        <v>21</v>
      </c>
      <c r="G340" t="s">
        <v>22</v>
      </c>
      <c r="H340">
        <v>33</v>
      </c>
      <c r="I340" s="2">
        <v>46128.375</v>
      </c>
      <c r="J340" s="2">
        <v>46128.520833333336</v>
      </c>
      <c r="K340" s="1">
        <v>46044</v>
      </c>
      <c r="L340" t="e">
        <f>VLOOKUP(Table2[[#This Row],[Helper colum]],Table1[],1,FALSE)</f>
        <v>#N/A</v>
      </c>
      <c r="M340" t="e">
        <f>VLOOKUP(Table2[[#This Row],[Column1]],#REF!,1,FALSE)</f>
        <v>#REF!</v>
      </c>
    </row>
    <row r="341" spans="1:13" ht="14.65">
      <c r="A341" t="s">
        <v>711</v>
      </c>
      <c r="B341" t="str">
        <f>Table2[[#This Row],[Object identification code]]&amp;" "&amp;Table2[[#This Row],[Full catalogue path]]&amp;" "&amp;Table2[[#This Row],[Object name]]</f>
        <v>067540-EP-0001-EN-GB Finance tools &amp; regulations &gt; Miscellaneous Financial Intensive training for newly appointed top-managers and managers</v>
      </c>
      <c r="C341" t="str">
        <f>Table2[[#This Row],[Object identification code]]&amp;" "&amp;Table2[[#This Row],[Full catalogue path]]</f>
        <v>067540-EP-0001-EN-GB Finance tools &amp; regulations &gt; Miscellaneous</v>
      </c>
      <c r="D341" t="s">
        <v>693</v>
      </c>
      <c r="E341" t="s">
        <v>712</v>
      </c>
      <c r="F341" t="s">
        <v>16</v>
      </c>
      <c r="I341" s="2">
        <v>45735.4375</v>
      </c>
      <c r="J341" s="2">
        <v>45736.71875</v>
      </c>
      <c r="K341" s="1">
        <v>45737</v>
      </c>
      <c r="L341" t="e">
        <f>VLOOKUP(Table2[[#This Row],[Helper colum]],Table1[],1,FALSE)</f>
        <v>#N/A</v>
      </c>
      <c r="M341" t="e">
        <f>VLOOKUP(Table2[[#This Row],[Column1]],#REF!,1,FALSE)</f>
        <v>#REF!</v>
      </c>
    </row>
    <row r="342" spans="1:13" ht="14.65">
      <c r="A342" t="s">
        <v>713</v>
      </c>
      <c r="B342" t="str">
        <f>Table2[[#This Row],[Object identification code]]&amp;" "&amp;Table2[[#This Row],[Full catalogue path]]&amp;" "&amp;Table2[[#This Row],[Object name]]</f>
        <v xml:space="preserve">067540-EP Finance tools &amp; regulations &gt; Miscellaneous Financial Intensive training for newly appointed top-managers and managers </v>
      </c>
      <c r="C342" t="str">
        <f>Table2[[#This Row],[Object identification code]]&amp;" "&amp;Table2[[#This Row],[Full catalogue path]]</f>
        <v>067540-EP Finance tools &amp; regulations &gt; Miscellaneous</v>
      </c>
      <c r="D342" t="s">
        <v>693</v>
      </c>
      <c r="E342" t="s">
        <v>714</v>
      </c>
      <c r="F342" t="s">
        <v>21</v>
      </c>
      <c r="G342" t="s">
        <v>22</v>
      </c>
      <c r="H342">
        <v>21</v>
      </c>
      <c r="I342" s="2">
        <v>46133.4375</v>
      </c>
      <c r="J342" s="2">
        <v>46134.729166666664</v>
      </c>
      <c r="K342" s="1">
        <v>46055</v>
      </c>
      <c r="L342" t="e">
        <f>VLOOKUP(Table2[[#This Row],[Helper colum]],Table1[],1,FALSE)</f>
        <v>#N/A</v>
      </c>
      <c r="M342" t="e">
        <f>VLOOKUP(Table2[[#This Row],[Column1]],#REF!,1,FALSE)</f>
        <v>#REF!</v>
      </c>
    </row>
    <row r="343" spans="1:13" ht="14.65">
      <c r="A343" t="s">
        <v>715</v>
      </c>
      <c r="B343" t="str">
        <f>Table2[[#This Row],[Object identification code]]&amp;" "&amp;Table2[[#This Row],[Full catalogue path]]&amp;" "&amp;Table2[[#This Row],[Object name]]</f>
        <v>050643-EP Finance tools &amp; regulations &gt; Miscellaneous Financial statements</v>
      </c>
      <c r="C343" t="str">
        <f>Table2[[#This Row],[Object identification code]]&amp;" "&amp;Table2[[#This Row],[Full catalogue path]]</f>
        <v>050643-EP Finance tools &amp; regulations &gt; Miscellaneous</v>
      </c>
      <c r="D343" t="s">
        <v>693</v>
      </c>
      <c r="E343" t="s">
        <v>716</v>
      </c>
      <c r="F343" t="s">
        <v>21</v>
      </c>
      <c r="G343" t="s">
        <v>22</v>
      </c>
      <c r="H343">
        <v>34</v>
      </c>
      <c r="I343" s="2">
        <v>45944.375</v>
      </c>
      <c r="J343" s="2">
        <v>45944.520833333336</v>
      </c>
      <c r="K343" s="1">
        <v>46041</v>
      </c>
      <c r="L343" t="e">
        <f>VLOOKUP(Table2[[#This Row],[Helper colum]],Table1[],1,FALSE)</f>
        <v>#N/A</v>
      </c>
      <c r="M343" t="e">
        <f>VLOOKUP(Table2[[#This Row],[Column1]],#REF!,1,FALSE)</f>
        <v>#REF!</v>
      </c>
    </row>
    <row r="344" spans="1:13" ht="14.65">
      <c r="A344" t="s">
        <v>717</v>
      </c>
      <c r="B344" t="str">
        <f>Table2[[#This Row],[Object identification code]]&amp;" "&amp;Table2[[#This Row],[Full catalogue path]]&amp;" "&amp;Table2[[#This Row],[Object name]]</f>
        <v>023443-EP Finance tools &amp; regulations &gt; Miscellaneous High value contracts</v>
      </c>
      <c r="C344" t="str">
        <f>Table2[[#This Row],[Object identification code]]&amp;" "&amp;Table2[[#This Row],[Full catalogue path]]</f>
        <v>023443-EP Finance tools &amp; regulations &gt; Miscellaneous</v>
      </c>
      <c r="D344" t="s">
        <v>693</v>
      </c>
      <c r="E344" t="s">
        <v>718</v>
      </c>
      <c r="F344" t="s">
        <v>21</v>
      </c>
      <c r="G344" t="s">
        <v>22</v>
      </c>
      <c r="H344">
        <v>32</v>
      </c>
      <c r="I344" s="2">
        <v>46177.375</v>
      </c>
      <c r="J344" s="2">
        <v>46177.708333333336</v>
      </c>
      <c r="K344" s="1">
        <v>46044</v>
      </c>
      <c r="L344" t="e">
        <f>VLOOKUP(Table2[[#This Row],[Helper colum]],Table1[],1,FALSE)</f>
        <v>#N/A</v>
      </c>
      <c r="M344" t="e">
        <f>VLOOKUP(Table2[[#This Row],[Column1]],#REF!,1,FALSE)</f>
        <v>#REF!</v>
      </c>
    </row>
    <row r="345" spans="1:13" ht="14.65">
      <c r="A345" t="s">
        <v>719</v>
      </c>
      <c r="B345" t="str">
        <f>Table2[[#This Row],[Object identification code]]&amp;" "&amp;Table2[[#This Row],[Full catalogue path]]&amp;" "&amp;Table2[[#This Row],[Object name]]</f>
        <v>028889-EP Finance tools &amp; regulations &gt; Miscellaneous Imprest Accounts: Pay on behalf of the EP</v>
      </c>
      <c r="C345" t="str">
        <f>Table2[[#This Row],[Object identification code]]&amp;" "&amp;Table2[[#This Row],[Full catalogue path]]</f>
        <v>028889-EP Finance tools &amp; regulations &gt; Miscellaneous</v>
      </c>
      <c r="D345" t="s">
        <v>693</v>
      </c>
      <c r="E345" t="s">
        <v>720</v>
      </c>
      <c r="F345" t="s">
        <v>21</v>
      </c>
      <c r="G345" t="s">
        <v>22</v>
      </c>
      <c r="H345">
        <v>24</v>
      </c>
      <c r="I345" s="2">
        <v>46049.375</v>
      </c>
      <c r="J345" s="2">
        <v>46049.708333333336</v>
      </c>
      <c r="K345" s="1">
        <v>46049</v>
      </c>
      <c r="L345" t="e">
        <f>VLOOKUP(Table2[[#This Row],[Helper colum]],Table1[],1,FALSE)</f>
        <v>#N/A</v>
      </c>
      <c r="M345" t="e">
        <f>VLOOKUP(Table2[[#This Row],[Column1]],#REF!,1,FALSE)</f>
        <v>#REF!</v>
      </c>
    </row>
    <row r="346" spans="1:13" ht="14.65">
      <c r="A346" t="s">
        <v>721</v>
      </c>
      <c r="B346" t="str">
        <f>Table2[[#This Row],[Object identification code]]&amp;" "&amp;Table2[[#This Row],[Full catalogue path]]&amp;" "&amp;Table2[[#This Row],[Object name]]</f>
        <v xml:space="preserve">023441-EP Finance tools &amp; regulations &gt; Miscellaneous Introduction to Public Procurement </v>
      </c>
      <c r="C346" t="str">
        <f>Table2[[#This Row],[Object identification code]]&amp;" "&amp;Table2[[#This Row],[Full catalogue path]]</f>
        <v>023441-EP Finance tools &amp; regulations &gt; Miscellaneous</v>
      </c>
      <c r="D346" t="s">
        <v>693</v>
      </c>
      <c r="E346" t="s">
        <v>722</v>
      </c>
      <c r="F346" t="s">
        <v>21</v>
      </c>
      <c r="G346" t="s">
        <v>22</v>
      </c>
      <c r="H346">
        <v>55</v>
      </c>
      <c r="I346" s="2">
        <v>46190.375</v>
      </c>
      <c r="J346" s="2">
        <v>46190.708333333336</v>
      </c>
      <c r="K346" s="1">
        <v>46050</v>
      </c>
      <c r="L346" t="e">
        <f>VLOOKUP(Table2[[#This Row],[Helper colum]],Table1[],1,FALSE)</f>
        <v>#N/A</v>
      </c>
      <c r="M346" t="e">
        <f>VLOOKUP(Table2[[#This Row],[Column1]],#REF!,1,FALSE)</f>
        <v>#REF!</v>
      </c>
    </row>
    <row r="347" spans="1:13" ht="14.65">
      <c r="A347" t="s">
        <v>723</v>
      </c>
      <c r="B347" t="str">
        <f>Table2[[#This Row],[Object identification code]]&amp;" "&amp;Table2[[#This Row],[Full catalogue path]]&amp;" "&amp;Table2[[#This Row],[Object name]]</f>
        <v>023442-EP Finance tools &amp; regulations &gt; Miscellaneous Low and middle value contracts</v>
      </c>
      <c r="C347" t="str">
        <f>Table2[[#This Row],[Object identification code]]&amp;" "&amp;Table2[[#This Row],[Full catalogue path]]</f>
        <v>023442-EP Finance tools &amp; regulations &gt; Miscellaneous</v>
      </c>
      <c r="D347" t="s">
        <v>693</v>
      </c>
      <c r="E347" t="s">
        <v>724</v>
      </c>
      <c r="F347" t="s">
        <v>21</v>
      </c>
      <c r="G347" t="s">
        <v>22</v>
      </c>
      <c r="H347">
        <v>44</v>
      </c>
      <c r="I347" s="2">
        <v>46176.375</v>
      </c>
      <c r="J347" s="2">
        <v>46176.708333333336</v>
      </c>
      <c r="K347" s="1">
        <v>46055</v>
      </c>
      <c r="L347" t="e">
        <f>VLOOKUP(Table2[[#This Row],[Helper colum]],Table1[],1,FALSE)</f>
        <v>#N/A</v>
      </c>
      <c r="M347" t="e">
        <f>VLOOKUP(Table2[[#This Row],[Column1]],#REF!,1,FALSE)</f>
        <v>#REF!</v>
      </c>
    </row>
    <row r="348" spans="1:13" ht="14.65">
      <c r="A348" t="s">
        <v>725</v>
      </c>
      <c r="B348" t="str">
        <f>Table2[[#This Row],[Object identification code]]&amp;" "&amp;Table2[[#This Row],[Full catalogue path]]&amp;" "&amp;Table2[[#This Row],[Object name]]</f>
        <v>026488-DIGIT Finance tools &amp; regulations &gt; Miscellaneous PPMT – Procedure (Common provisions procurement)</v>
      </c>
      <c r="C348" t="str">
        <f>Table2[[#This Row],[Object identification code]]&amp;" "&amp;Table2[[#This Row],[Full catalogue path]]</f>
        <v>026488-DIGIT Finance tools &amp; regulations &gt; Miscellaneous</v>
      </c>
      <c r="D348" t="s">
        <v>693</v>
      </c>
      <c r="E348" t="s">
        <v>726</v>
      </c>
      <c r="F348" t="s">
        <v>21</v>
      </c>
      <c r="G348" t="s">
        <v>22</v>
      </c>
      <c r="H348">
        <v>117</v>
      </c>
      <c r="I348" s="2">
        <v>46093.416666666664</v>
      </c>
      <c r="J348" s="2">
        <v>46093.666666666664</v>
      </c>
      <c r="K348" s="1">
        <v>46056</v>
      </c>
      <c r="L348" t="e">
        <f>VLOOKUP(Table2[[#This Row],[Helper colum]],Table1[],1,FALSE)</f>
        <v>#N/A</v>
      </c>
      <c r="M348" t="e">
        <f>VLOOKUP(Table2[[#This Row],[Column1]],#REF!,1,FALSE)</f>
        <v>#REF!</v>
      </c>
    </row>
    <row r="349" spans="1:13" ht="14.65">
      <c r="A349" t="s">
        <v>727</v>
      </c>
      <c r="B349" t="str">
        <f>Table2[[#This Row],[Object identification code]]&amp;" "&amp;Table2[[#This Row],[Full catalogue path]]&amp;" "&amp;Table2[[#This Row],[Object name]]</f>
        <v>026486-DIGIT Finance tools &amp; regulations &gt; Miscellaneous PPMT – Request</v>
      </c>
      <c r="C349" t="str">
        <f>Table2[[#This Row],[Object identification code]]&amp;" "&amp;Table2[[#This Row],[Full catalogue path]]</f>
        <v>026486-DIGIT Finance tools &amp; regulations &gt; Miscellaneous</v>
      </c>
      <c r="D349" t="s">
        <v>693</v>
      </c>
      <c r="E349" t="s">
        <v>728</v>
      </c>
      <c r="F349" t="s">
        <v>21</v>
      </c>
      <c r="G349" t="s">
        <v>22</v>
      </c>
      <c r="H349">
        <v>75</v>
      </c>
      <c r="I349" s="2">
        <v>46181.604166666664</v>
      </c>
      <c r="J349" s="2">
        <v>46181.6875</v>
      </c>
      <c r="K349" s="1">
        <v>46056</v>
      </c>
      <c r="L349" t="e">
        <f>VLOOKUP(Table2[[#This Row],[Helper colum]],Table1[],1,FALSE)</f>
        <v>#N/A</v>
      </c>
      <c r="M349" t="e">
        <f>VLOOKUP(Table2[[#This Row],[Column1]],#REF!,1,FALSE)</f>
        <v>#REF!</v>
      </c>
    </row>
    <row r="350" spans="1:13" ht="14.65">
      <c r="A350" t="s">
        <v>729</v>
      </c>
      <c r="B350" t="str">
        <f>Table2[[#This Row],[Object identification code]]&amp;" "&amp;Table2[[#This Row],[Full catalogue path]]&amp;" "&amp;Table2[[#This Row],[Object name]]</f>
        <v>071439-GEN Finance tools &amp; regulations &gt; Miscellaneous Procurement Basics in practice Workshop (Online)</v>
      </c>
      <c r="C350" t="str">
        <f>Table2[[#This Row],[Object identification code]]&amp;" "&amp;Table2[[#This Row],[Full catalogue path]]</f>
        <v>071439-GEN Finance tools &amp; regulations &gt; Miscellaneous</v>
      </c>
      <c r="D350" t="s">
        <v>693</v>
      </c>
      <c r="E350" t="s">
        <v>730</v>
      </c>
      <c r="F350" t="s">
        <v>21</v>
      </c>
      <c r="G350" t="s">
        <v>22</v>
      </c>
      <c r="H350">
        <v>57</v>
      </c>
      <c r="I350" s="2">
        <v>46107.385416666664</v>
      </c>
      <c r="J350" s="2">
        <v>46107.708333333336</v>
      </c>
      <c r="K350" s="1">
        <v>46055</v>
      </c>
      <c r="L350" t="e">
        <f>VLOOKUP(Table2[[#This Row],[Helper colum]],Table1[],1,FALSE)</f>
        <v>#N/A</v>
      </c>
      <c r="M350" t="e">
        <f>VLOOKUP(Table2[[#This Row],[Column1]],#REF!,1,FALSE)</f>
        <v>#REF!</v>
      </c>
    </row>
    <row r="351" spans="1:13" ht="14.65">
      <c r="A351" t="s">
        <v>731</v>
      </c>
      <c r="B351" t="str">
        <f>Table2[[#This Row],[Object identification code]]&amp;" "&amp;Table2[[#This Row],[Full catalogue path]]&amp;" "&amp;Table2[[#This Row],[Object name]]</f>
        <v>052918-GEN Finance tools &amp; regulations &gt; Miscellaneous Procurement Contract Management Workshop (online)</v>
      </c>
      <c r="C351" t="str">
        <f>Table2[[#This Row],[Object identification code]]&amp;" "&amp;Table2[[#This Row],[Full catalogue path]]</f>
        <v>052918-GEN Finance tools &amp; regulations &gt; Miscellaneous</v>
      </c>
      <c r="D351" t="s">
        <v>693</v>
      </c>
      <c r="E351" t="s">
        <v>732</v>
      </c>
      <c r="F351" t="s">
        <v>21</v>
      </c>
      <c r="G351" t="s">
        <v>22</v>
      </c>
      <c r="H351">
        <v>95</v>
      </c>
      <c r="I351" s="2">
        <v>46198.385416666664</v>
      </c>
      <c r="J351" s="2">
        <v>46198.708333333336</v>
      </c>
      <c r="K351" s="1">
        <v>46052</v>
      </c>
      <c r="L351" t="e">
        <f>VLOOKUP(Table2[[#This Row],[Helper colum]],Table1[],1,FALSE)</f>
        <v>#N/A</v>
      </c>
      <c r="M351" t="e">
        <f>VLOOKUP(Table2[[#This Row],[Column1]],#REF!,1,FALSE)</f>
        <v>#REF!</v>
      </c>
    </row>
    <row r="352" spans="1:13" ht="14.65">
      <c r="A352" t="s">
        <v>733</v>
      </c>
      <c r="B352" t="str">
        <f>Table2[[#This Row],[Object identification code]]&amp;" "&amp;Table2[[#This Row],[Full catalogue path]]&amp;" "&amp;Table2[[#This Row],[Object name]]</f>
        <v>052981-GEN Finance tools &amp; regulations &gt; Miscellaneous Procurement Intermediate Workshop (online)</v>
      </c>
      <c r="C352" t="str">
        <f>Table2[[#This Row],[Object identification code]]&amp;" "&amp;Table2[[#This Row],[Full catalogue path]]</f>
        <v>052981-GEN Finance tools &amp; regulations &gt; Miscellaneous</v>
      </c>
      <c r="D352" t="s">
        <v>693</v>
      </c>
      <c r="E352" t="s">
        <v>734</v>
      </c>
      <c r="F352" t="s">
        <v>21</v>
      </c>
      <c r="G352" t="s">
        <v>22</v>
      </c>
      <c r="H352">
        <v>89</v>
      </c>
      <c r="I352" s="2">
        <v>46163.385416666664</v>
      </c>
      <c r="J352" s="2">
        <v>46163.708333333336</v>
      </c>
      <c r="K352" s="1">
        <v>46056</v>
      </c>
      <c r="L352" t="e">
        <f>VLOOKUP(Table2[[#This Row],[Helper colum]],Table1[],1,FALSE)</f>
        <v>#N/A</v>
      </c>
      <c r="M352" t="e">
        <f>VLOOKUP(Table2[[#This Row],[Column1]],#REF!,1,FALSE)</f>
        <v>#REF!</v>
      </c>
    </row>
    <row r="353" spans="1:13" ht="14.65">
      <c r="A353" t="s">
        <v>735</v>
      </c>
      <c r="B353" t="str">
        <f>Table2[[#This Row],[Object identification code]]&amp;" "&amp;Table2[[#This Row],[Full catalogue path]]&amp;" "&amp;Table2[[#This Row],[Object name]]</f>
        <v>069124-DIGIT Finance tools &amp; regulations &gt; Miscellaneous Q&amp;A MyWorkplace - ABAC Assets - SUMMA</v>
      </c>
      <c r="C353" t="str">
        <f>Table2[[#This Row],[Object identification code]]&amp;" "&amp;Table2[[#This Row],[Full catalogue path]]</f>
        <v>069124-DIGIT Finance tools &amp; regulations &gt; Miscellaneous</v>
      </c>
      <c r="D353" t="s">
        <v>693</v>
      </c>
      <c r="E353" t="s">
        <v>736</v>
      </c>
      <c r="F353" t="s">
        <v>21</v>
      </c>
      <c r="G353" t="s">
        <v>22</v>
      </c>
      <c r="H353">
        <v>11</v>
      </c>
      <c r="I353" s="2">
        <v>46106.583333333336</v>
      </c>
      <c r="J353" s="2">
        <v>46106.625</v>
      </c>
      <c r="K353" s="1">
        <v>46056</v>
      </c>
      <c r="L353" t="e">
        <f>VLOOKUP(Table2[[#This Row],[Helper colum]],Table1[],1,FALSE)</f>
        <v>#N/A</v>
      </c>
      <c r="M353" t="e">
        <f>VLOOKUP(Table2[[#This Row],[Column1]],#REF!,1,FALSE)</f>
        <v>#REF!</v>
      </c>
    </row>
    <row r="354" spans="1:13" ht="14.65">
      <c r="A354" t="s">
        <v>737</v>
      </c>
      <c r="B354" t="str">
        <f>Table2[[#This Row],[Object identification code]]&amp;" "&amp;Table2[[#This Row],[Full catalogue path]]&amp;" "&amp;Table2[[#This Row],[Object name]]</f>
        <v>028290-DIGIT Finance tools &amp; regulations &gt; Miscellaneous Q&amp;A sessions for eProcurement pre-award (ePreparation and eSubmission)</v>
      </c>
      <c r="C354" t="str">
        <f>Table2[[#This Row],[Object identification code]]&amp;" "&amp;Table2[[#This Row],[Full catalogue path]]</f>
        <v>028290-DIGIT Finance tools &amp; regulations &gt; Miscellaneous</v>
      </c>
      <c r="D354" t="s">
        <v>693</v>
      </c>
      <c r="E354" t="s">
        <v>738</v>
      </c>
      <c r="F354" t="s">
        <v>21</v>
      </c>
      <c r="G354" t="s">
        <v>22</v>
      </c>
      <c r="H354">
        <v>35</v>
      </c>
      <c r="I354" s="2">
        <v>46105.416666666664</v>
      </c>
      <c r="J354" s="2">
        <v>46105.5</v>
      </c>
      <c r="K354" s="1">
        <v>46052</v>
      </c>
      <c r="L354" t="e">
        <f>VLOOKUP(Table2[[#This Row],[Helper colum]],Table1[],1,FALSE)</f>
        <v>#N/A</v>
      </c>
      <c r="M354" t="e">
        <f>VLOOKUP(Table2[[#This Row],[Column1]],#REF!,1,FALSE)</f>
        <v>#REF!</v>
      </c>
    </row>
    <row r="355" spans="1:13" ht="14.65">
      <c r="A355" t="s">
        <v>739</v>
      </c>
      <c r="B355" t="str">
        <f>Table2[[#This Row],[Object identification code]]&amp;" "&amp;Table2[[#This Row],[Full catalogue path]]&amp;" "&amp;Table2[[#This Row],[Object name]]</f>
        <v>060030-DIGIT Finance tools &amp; regulations &gt; Miscellaneous Q&amp;A sessions on  contracts in the corporate eProcurement solution</v>
      </c>
      <c r="C355" t="str">
        <f>Table2[[#This Row],[Object identification code]]&amp;" "&amp;Table2[[#This Row],[Full catalogue path]]</f>
        <v>060030-DIGIT Finance tools &amp; regulations &gt; Miscellaneous</v>
      </c>
      <c r="D355" t="s">
        <v>693</v>
      </c>
      <c r="E355" t="s">
        <v>740</v>
      </c>
      <c r="F355" t="s">
        <v>21</v>
      </c>
      <c r="G355" t="s">
        <v>22</v>
      </c>
      <c r="H355">
        <v>19</v>
      </c>
      <c r="I355" s="2">
        <v>46098.416666666664</v>
      </c>
      <c r="J355" s="2">
        <v>46098.458333333336</v>
      </c>
      <c r="K355" s="1">
        <v>46055</v>
      </c>
      <c r="L355" t="e">
        <f>VLOOKUP(Table2[[#This Row],[Helper colum]],Table1[],1,FALSE)</f>
        <v>#N/A</v>
      </c>
      <c r="M355" t="e">
        <f>VLOOKUP(Table2[[#This Row],[Column1]],#REF!,1,FALSE)</f>
        <v>#REF!</v>
      </c>
    </row>
    <row r="356" spans="1:13" ht="14.65">
      <c r="A356" t="s">
        <v>741</v>
      </c>
      <c r="B356" t="str">
        <f>Table2[[#This Row],[Object identification code]]&amp;" "&amp;Table2[[#This Row],[Full catalogue path]]&amp;" "&amp;Table2[[#This Row],[Object name]]</f>
        <v>069088-REA Finance tools &amp; regulations &gt; Miscellaneous REA online training - Hands-on training on participant validation</v>
      </c>
      <c r="C356" t="str">
        <f>Table2[[#This Row],[Object identification code]]&amp;" "&amp;Table2[[#This Row],[Full catalogue path]]</f>
        <v>069088-REA Finance tools &amp; regulations &gt; Miscellaneous</v>
      </c>
      <c r="D356" t="s">
        <v>693</v>
      </c>
      <c r="E356" t="s">
        <v>742</v>
      </c>
      <c r="F356" t="s">
        <v>21</v>
      </c>
      <c r="G356" t="s">
        <v>25</v>
      </c>
      <c r="I356" s="2">
        <v>46364.395833333336</v>
      </c>
      <c r="J356" s="2">
        <v>46364.666666666664</v>
      </c>
      <c r="K356" s="1">
        <v>46055</v>
      </c>
      <c r="L356" t="e">
        <f>VLOOKUP(Table2[[#This Row],[Helper colum]],Table1[],1,FALSE)</f>
        <v>#N/A</v>
      </c>
      <c r="M356" t="e">
        <f>VLOOKUP(Table2[[#This Row],[Column1]],#REF!,1,FALSE)</f>
        <v>#REF!</v>
      </c>
    </row>
    <row r="357" spans="1:13" ht="14.65">
      <c r="A357" t="s">
        <v>743</v>
      </c>
      <c r="B357" t="str">
        <f>Table2[[#This Row],[Object identification code]]&amp;" "&amp;Table2[[#This Row],[Full catalogue path]]&amp;" "&amp;Table2[[#This Row],[Object name]]</f>
        <v>069225-REA Finance tools &amp; regulations &gt; Miscellaneous REA online training - Validation of participants: legal and financial rules</v>
      </c>
      <c r="C357" t="str">
        <f>Table2[[#This Row],[Object identification code]]&amp;" "&amp;Table2[[#This Row],[Full catalogue path]]</f>
        <v>069225-REA Finance tools &amp; regulations &gt; Miscellaneous</v>
      </c>
      <c r="D357" t="s">
        <v>693</v>
      </c>
      <c r="E357" t="s">
        <v>744</v>
      </c>
      <c r="F357" t="s">
        <v>21</v>
      </c>
      <c r="G357" t="s">
        <v>25</v>
      </c>
      <c r="I357" s="2">
        <v>46357.416666666664</v>
      </c>
      <c r="J357" s="2">
        <v>46357.5</v>
      </c>
      <c r="K357" s="1">
        <v>46055</v>
      </c>
      <c r="L357" t="e">
        <f>VLOOKUP(Table2[[#This Row],[Helper colum]],Table1[],1,FALSE)</f>
        <v>#N/A</v>
      </c>
      <c r="M357" t="e">
        <f>VLOOKUP(Table2[[#This Row],[Column1]],#REF!,1,FALSE)</f>
        <v>#REF!</v>
      </c>
    </row>
    <row r="358" spans="1:13" ht="14.65">
      <c r="A358" t="s">
        <v>745</v>
      </c>
      <c r="B358" t="str">
        <f>Table2[[#This Row],[Object identification code]]&amp;" "&amp;Table2[[#This Row],[Full catalogue path]]&amp;" "&amp;Table2[[#This Row],[Object name]]</f>
        <v>070074-EP Finance tools &amp; regulations &gt; Miscellaneous Risk management - umbrella</v>
      </c>
      <c r="C358" t="str">
        <f>Table2[[#This Row],[Object identification code]]&amp;" "&amp;Table2[[#This Row],[Full catalogue path]]</f>
        <v>070074-EP Finance tools &amp; regulations &gt; Miscellaneous</v>
      </c>
      <c r="D358" t="s">
        <v>693</v>
      </c>
      <c r="E358" t="s">
        <v>746</v>
      </c>
      <c r="F358" t="s">
        <v>21</v>
      </c>
      <c r="G358" t="s">
        <v>25</v>
      </c>
      <c r="I358" s="2">
        <v>45826.333333333336</v>
      </c>
      <c r="J358" s="2">
        <v>47298.333333333336</v>
      </c>
      <c r="K358" t="s">
        <v>198</v>
      </c>
      <c r="L358" t="e">
        <f>VLOOKUP(Table2[[#This Row],[Helper colum]],Table1[],1,FALSE)</f>
        <v>#N/A</v>
      </c>
      <c r="M358" t="e">
        <f>VLOOKUP(Table2[[#This Row],[Column1]],#REF!,1,FALSE)</f>
        <v>#REF!</v>
      </c>
    </row>
    <row r="359" spans="1:13" ht="14.65">
      <c r="A359" t="s">
        <v>747</v>
      </c>
      <c r="B359" t="str">
        <f>Table2[[#This Row],[Object identification code]]&amp;" "&amp;Table2[[#This Row],[Full catalogue path]]&amp;" "&amp;Table2[[#This Row],[Object name]]</f>
        <v>025027-DIGIT Finance tools &amp; regulations &gt; Miscellaneous Template for eSubmission eLearnings</v>
      </c>
      <c r="C359" t="str">
        <f>Table2[[#This Row],[Object identification code]]&amp;" "&amp;Table2[[#This Row],[Full catalogue path]]</f>
        <v>025027-DIGIT Finance tools &amp; regulations &gt; Miscellaneous</v>
      </c>
      <c r="D359" t="s">
        <v>693</v>
      </c>
      <c r="E359" t="s">
        <v>748</v>
      </c>
      <c r="F359" t="s">
        <v>21</v>
      </c>
      <c r="G359" t="s">
        <v>25</v>
      </c>
      <c r="K359" s="1">
        <v>46056</v>
      </c>
      <c r="L359" t="e">
        <f>VLOOKUP(Table2[[#This Row],[Helper colum]],Table1[],1,FALSE)</f>
        <v>#N/A</v>
      </c>
      <c r="M359" t="e">
        <f>VLOOKUP(Table2[[#This Row],[Column1]],#REF!,1,FALSE)</f>
        <v>#REF!</v>
      </c>
    </row>
    <row r="360" spans="1:13" ht="14.65">
      <c r="A360" t="s">
        <v>749</v>
      </c>
      <c r="B360" t="str">
        <f>Table2[[#This Row],[Object identification code]]&amp;" "&amp;Table2[[#This Row],[Full catalogue path]]&amp;" "&amp;Table2[[#This Row],[Object name]]</f>
        <v>023360-DIGIT Finance tools &amp; regulations &gt; Miscellaneous The Corporate eProcurement Solution: Introduction (Virtual Classroom)</v>
      </c>
      <c r="C360" t="str">
        <f>Table2[[#This Row],[Object identification code]]&amp;" "&amp;Table2[[#This Row],[Full catalogue path]]</f>
        <v>023360-DIGIT Finance tools &amp; regulations &gt; Miscellaneous</v>
      </c>
      <c r="D360" t="s">
        <v>693</v>
      </c>
      <c r="E360" t="s">
        <v>750</v>
      </c>
      <c r="F360" t="s">
        <v>21</v>
      </c>
      <c r="G360" t="s">
        <v>22</v>
      </c>
      <c r="H360">
        <v>73</v>
      </c>
      <c r="I360" s="2">
        <v>46108.395833333336</v>
      </c>
      <c r="J360" s="2">
        <v>46108.5</v>
      </c>
      <c r="K360" s="1">
        <v>46055</v>
      </c>
      <c r="L360" t="e">
        <f>VLOOKUP(Table2[[#This Row],[Helper colum]],Table1[],1,FALSE)</f>
        <v>#N/A</v>
      </c>
      <c r="M360" t="e">
        <f>VLOOKUP(Table2[[#This Row],[Column1]],#REF!,1,FALSE)</f>
        <v>#REF!</v>
      </c>
    </row>
    <row r="361" spans="1:13" ht="14.65">
      <c r="A361" t="s">
        <v>751</v>
      </c>
      <c r="B361" t="str">
        <f>Table2[[#This Row],[Object identification code]]&amp;" "&amp;Table2[[#This Row],[Full catalogue path]]&amp;" "&amp;Table2[[#This Row],[Object name]]</f>
        <v>071019-DIGIT Finance tools &amp; regulations &gt; Miscellaneous The Corporate eProcurement Solution: eContracting Invoice&amp;Payment solution in MyWorkplace</v>
      </c>
      <c r="C361" t="str">
        <f>Table2[[#This Row],[Object identification code]]&amp;" "&amp;Table2[[#This Row],[Full catalogue path]]</f>
        <v>071019-DIGIT Finance tools &amp; regulations &gt; Miscellaneous</v>
      </c>
      <c r="D361" t="s">
        <v>693</v>
      </c>
      <c r="E361" t="s">
        <v>752</v>
      </c>
      <c r="F361" t="s">
        <v>21</v>
      </c>
      <c r="G361" t="s">
        <v>22</v>
      </c>
      <c r="H361">
        <v>28</v>
      </c>
      <c r="I361" s="2">
        <v>46091.583333333336</v>
      </c>
      <c r="J361" s="2">
        <v>46091.666666666664</v>
      </c>
      <c r="K361" s="1">
        <v>46055</v>
      </c>
      <c r="L361" t="e">
        <f>VLOOKUP(Table2[[#This Row],[Helper colum]],Table1[],1,FALSE)</f>
        <v>#N/A</v>
      </c>
      <c r="M361" t="e">
        <f>VLOOKUP(Table2[[#This Row],[Column1]],#REF!,1,FALSE)</f>
        <v>#REF!</v>
      </c>
    </row>
    <row r="362" spans="1:13" ht="14.65">
      <c r="A362" t="s">
        <v>753</v>
      </c>
      <c r="B362" t="str">
        <f>Table2[[#This Row],[Object identification code]]&amp;" "&amp;Table2[[#This Row],[Full catalogue path]]&amp;" "&amp;Table2[[#This Row],[Object name]]</f>
        <v>070487-DIGIT Finance tools &amp; regulations &gt; Miscellaneous The Corporate eProcurement Solution: simplified solution for contracting</v>
      </c>
      <c r="C362" t="str">
        <f>Table2[[#This Row],[Object identification code]]&amp;" "&amp;Table2[[#This Row],[Full catalogue path]]</f>
        <v>070487-DIGIT Finance tools &amp; regulations &gt; Miscellaneous</v>
      </c>
      <c r="D362" t="s">
        <v>693</v>
      </c>
      <c r="E362" t="s">
        <v>754</v>
      </c>
      <c r="F362" t="s">
        <v>21</v>
      </c>
      <c r="G362" t="s">
        <v>22</v>
      </c>
      <c r="H362">
        <v>5</v>
      </c>
      <c r="I362" s="2">
        <v>46098.583333333336</v>
      </c>
      <c r="J362" s="2">
        <v>46098.6875</v>
      </c>
      <c r="K362" s="1">
        <v>46055</v>
      </c>
      <c r="L362" t="e">
        <f>VLOOKUP(Table2[[#This Row],[Helper colum]],Table1[],1,FALSE)</f>
        <v>#N/A</v>
      </c>
      <c r="M362" t="e">
        <f>VLOOKUP(Table2[[#This Row],[Column1]],#REF!,1,FALSE)</f>
        <v>#REF!</v>
      </c>
    </row>
    <row r="363" spans="1:13" ht="14.65">
      <c r="A363" t="s">
        <v>755</v>
      </c>
      <c r="B363" t="str">
        <f>Table2[[#This Row],[Object identification code]]&amp;" "&amp;Table2[[#This Row],[Full catalogue path]]&amp;" "&amp;Table2[[#This Row],[Object name]]</f>
        <v>001842-GEN-0038-EN-GB Finance tools &amp; regulations &gt; Miscellaneous The Early Detection and Exclusion System (EDES) for EP staff</v>
      </c>
      <c r="C363" t="str">
        <f>Table2[[#This Row],[Object identification code]]&amp;" "&amp;Table2[[#This Row],[Full catalogue path]]</f>
        <v>001842-GEN-0038-EN-GB Finance tools &amp; regulations &gt; Miscellaneous</v>
      </c>
      <c r="D363" t="s">
        <v>693</v>
      </c>
      <c r="E363" t="s">
        <v>756</v>
      </c>
      <c r="F363" t="s">
        <v>16</v>
      </c>
      <c r="I363" s="2">
        <v>45930.583333333336</v>
      </c>
      <c r="J363" s="2">
        <v>45930.666666666664</v>
      </c>
      <c r="K363" s="1">
        <v>45943</v>
      </c>
      <c r="L363" t="e">
        <f>VLOOKUP(Table2[[#This Row],[Helper colum]],Table1[],1,FALSE)</f>
        <v>#N/A</v>
      </c>
      <c r="M363" t="e">
        <f>VLOOKUP(Table2[[#This Row],[Column1]],#REF!,1,FALSE)</f>
        <v>#REF!</v>
      </c>
    </row>
    <row r="364" spans="1:13" ht="14.65">
      <c r="A364" t="s">
        <v>757</v>
      </c>
      <c r="B364" t="str">
        <f>Table2[[#This Row],[Object identification code]]&amp;" "&amp;Table2[[#This Row],[Full catalogue path]]&amp;" "&amp;Table2[[#This Row],[Object name]]</f>
        <v>001842-GEN Finance tools &amp; regulations &gt; Miscellaneous The Early Detection and Exclusion System (EDES): Presentation and Workshop (classroom)</v>
      </c>
      <c r="C364" t="str">
        <f>Table2[[#This Row],[Object identification code]]&amp;" "&amp;Table2[[#This Row],[Full catalogue path]]</f>
        <v>001842-GEN Finance tools &amp; regulations &gt; Miscellaneous</v>
      </c>
      <c r="D364" t="s">
        <v>693</v>
      </c>
      <c r="E364" t="s">
        <v>758</v>
      </c>
      <c r="F364" t="s">
        <v>21</v>
      </c>
      <c r="G364" t="s">
        <v>22</v>
      </c>
      <c r="H364">
        <v>234</v>
      </c>
      <c r="I364" s="2">
        <v>46184.385416666664</v>
      </c>
      <c r="J364" s="2">
        <v>46184.708333333336</v>
      </c>
      <c r="K364" s="1">
        <v>46051</v>
      </c>
      <c r="L364" t="e">
        <f>VLOOKUP(Table2[[#This Row],[Helper colum]],Table1[],1,FALSE)</f>
        <v>#N/A</v>
      </c>
      <c r="M364" t="e">
        <f>VLOOKUP(Table2[[#This Row],[Column1]],#REF!,1,FALSE)</f>
        <v>#REF!</v>
      </c>
    </row>
    <row r="365" spans="1:13" ht="14.65">
      <c r="A365" t="s">
        <v>759</v>
      </c>
      <c r="B365" t="str">
        <f>Table2[[#This Row],[Object identification code]]&amp;" "&amp;Table2[[#This Row],[Full catalogue path]]&amp;" "&amp;Table2[[#This Row],[Object name]]</f>
        <v>053424-DIGIT Finance tools &amp; regulations &gt; Miscellaneous The eProcurement advanced solution for contracting: Request for specific contract (preparation to awarding)</v>
      </c>
      <c r="C365" t="str">
        <f>Table2[[#This Row],[Object identification code]]&amp;" "&amp;Table2[[#This Row],[Full catalogue path]]</f>
        <v>053424-DIGIT Finance tools &amp; regulations &gt; Miscellaneous</v>
      </c>
      <c r="D365" t="s">
        <v>693</v>
      </c>
      <c r="E365" t="s">
        <v>760</v>
      </c>
      <c r="F365" t="s">
        <v>21</v>
      </c>
      <c r="G365" t="s">
        <v>22</v>
      </c>
      <c r="H365">
        <v>34</v>
      </c>
      <c r="I365" s="2">
        <v>45925.375</v>
      </c>
      <c r="J365" s="2">
        <v>45925.53125</v>
      </c>
      <c r="K365" s="1">
        <v>46044</v>
      </c>
      <c r="L365" t="e">
        <f>VLOOKUP(Table2[[#This Row],[Helper colum]],Table1[],1,FALSE)</f>
        <v>#N/A</v>
      </c>
      <c r="M365" t="e">
        <f>VLOOKUP(Table2[[#This Row],[Column1]],#REF!,1,FALSE)</f>
        <v>#REF!</v>
      </c>
    </row>
    <row r="366" spans="1:13" ht="14.65">
      <c r="A366" t="s">
        <v>761</v>
      </c>
      <c r="B366" t="str">
        <f>Table2[[#This Row],[Object identification code]]&amp;" "&amp;Table2[[#This Row],[Full catalogue path]]&amp;" "&amp;Table2[[#This Row],[Object name]]</f>
        <v>071976-DIGIT Finance tools &amp; regulations &gt; Miscellaneous The eProcurement advanced solution for contracting: Request for specific contract - Monitoring to awarding</v>
      </c>
      <c r="C366" t="str">
        <f>Table2[[#This Row],[Object identification code]]&amp;" "&amp;Table2[[#This Row],[Full catalogue path]]</f>
        <v>071976-DIGIT Finance tools &amp; regulations &gt; Miscellaneous</v>
      </c>
      <c r="D366" t="s">
        <v>693</v>
      </c>
      <c r="E366" t="s">
        <v>762</v>
      </c>
      <c r="F366" t="s">
        <v>21</v>
      </c>
      <c r="G366" t="s">
        <v>22</v>
      </c>
      <c r="H366">
        <v>4</v>
      </c>
      <c r="I366" s="2">
        <v>46107.395833333336</v>
      </c>
      <c r="J366" s="2">
        <v>46107.479166666664</v>
      </c>
      <c r="K366" s="1">
        <v>46056</v>
      </c>
      <c r="L366" t="e">
        <f>VLOOKUP(Table2[[#This Row],[Helper colum]],Table1[],1,FALSE)</f>
        <v>#N/A</v>
      </c>
      <c r="M366" t="e">
        <f>VLOOKUP(Table2[[#This Row],[Column1]],#REF!,1,FALSE)</f>
        <v>#REF!</v>
      </c>
    </row>
    <row r="367" spans="1:13" ht="14.65">
      <c r="A367" t="s">
        <v>763</v>
      </c>
      <c r="B367" t="str">
        <f>Table2[[#This Row],[Object identification code]]&amp;" "&amp;Table2[[#This Row],[Full catalogue path]]&amp;" "&amp;Table2[[#This Row],[Object name]]</f>
        <v>071975-DIGIT Finance tools &amp; regulations &gt; Miscellaneous The eProcurement advanced solution for contracting: Request for specific contract - Preparation to invitation</v>
      </c>
      <c r="C367" t="str">
        <f>Table2[[#This Row],[Object identification code]]&amp;" "&amp;Table2[[#This Row],[Full catalogue path]]</f>
        <v>071975-DIGIT Finance tools &amp; regulations &gt; Miscellaneous</v>
      </c>
      <c r="D367" t="s">
        <v>693</v>
      </c>
      <c r="E367" t="s">
        <v>764</v>
      </c>
      <c r="F367" t="s">
        <v>21</v>
      </c>
      <c r="G367" t="s">
        <v>22</v>
      </c>
      <c r="H367">
        <v>3</v>
      </c>
      <c r="I367" s="2">
        <v>46106.375</v>
      </c>
      <c r="J367" s="2">
        <v>46106.5</v>
      </c>
      <c r="K367" s="1">
        <v>46055</v>
      </c>
      <c r="L367" t="e">
        <f>VLOOKUP(Table2[[#This Row],[Helper colum]],Table1[],1,FALSE)</f>
        <v>#N/A</v>
      </c>
      <c r="M367" t="e">
        <f>VLOOKUP(Table2[[#This Row],[Column1]],#REF!,1,FALSE)</f>
        <v>#REF!</v>
      </c>
    </row>
    <row r="368" spans="1:13" ht="14.65">
      <c r="A368" t="s">
        <v>765</v>
      </c>
      <c r="B368" t="str">
        <f>Table2[[#This Row],[Object identification code]]&amp;" "&amp;Table2[[#This Row],[Full catalogue path]]&amp;" "&amp;Table2[[#This Row],[Object name]]</f>
        <v>027025-DIGIT Finance tools &amp; regulations &gt; Miscellaneous The eProcurement advanced solution for contracting: preparation to signature</v>
      </c>
      <c r="C368" t="str">
        <f>Table2[[#This Row],[Object identification code]]&amp;" "&amp;Table2[[#This Row],[Full catalogue path]]</f>
        <v>027025-DIGIT Finance tools &amp; regulations &gt; Miscellaneous</v>
      </c>
      <c r="D368" t="s">
        <v>693</v>
      </c>
      <c r="E368" t="s">
        <v>766</v>
      </c>
      <c r="F368" t="s">
        <v>21</v>
      </c>
      <c r="G368" t="s">
        <v>22</v>
      </c>
      <c r="H368">
        <v>49</v>
      </c>
      <c r="I368" s="2">
        <v>46108.395833333336</v>
      </c>
      <c r="J368" s="2">
        <v>46108.5</v>
      </c>
      <c r="K368" s="1">
        <v>46056</v>
      </c>
      <c r="L368" t="e">
        <f>VLOOKUP(Table2[[#This Row],[Helper colum]],Table1[],1,FALSE)</f>
        <v>#N/A</v>
      </c>
      <c r="M368" t="e">
        <f>VLOOKUP(Table2[[#This Row],[Column1]],#REF!,1,FALSE)</f>
        <v>#REF!</v>
      </c>
    </row>
    <row r="369" spans="1:13" ht="14.65">
      <c r="A369" t="s">
        <v>767</v>
      </c>
      <c r="B369" t="str">
        <f>Table2[[#This Row],[Object identification code]]&amp;" "&amp;Table2[[#This Row],[Full catalogue path]]&amp;" "&amp;Table2[[#This Row],[Object name]]</f>
        <v>026489-DIGIT Finance tools &amp; regulations &gt; Miscellaneous Very low value procurement and requests for specific contract in PPMT: preparation to awarding</v>
      </c>
      <c r="C369" t="str">
        <f>Table2[[#This Row],[Object identification code]]&amp;" "&amp;Table2[[#This Row],[Full catalogue path]]</f>
        <v>026489-DIGIT Finance tools &amp; regulations &gt; Miscellaneous</v>
      </c>
      <c r="D369" t="s">
        <v>693</v>
      </c>
      <c r="E369" t="s">
        <v>768</v>
      </c>
      <c r="F369" t="s">
        <v>21</v>
      </c>
      <c r="G369" t="s">
        <v>22</v>
      </c>
      <c r="H369">
        <v>87</v>
      </c>
      <c r="I369" s="2">
        <v>46182.583333333336</v>
      </c>
      <c r="J369" s="2">
        <v>46182.708333333336</v>
      </c>
      <c r="K369" s="1">
        <v>46056</v>
      </c>
      <c r="L369" t="e">
        <f>VLOOKUP(Table2[[#This Row],[Helper colum]],Table1[],1,FALSE)</f>
        <v>#N/A</v>
      </c>
      <c r="M369" t="e">
        <f>VLOOKUP(Table2[[#This Row],[Column1]],#REF!,1,FALSE)</f>
        <v>#REF!</v>
      </c>
    </row>
    <row r="370" spans="1:13" ht="14.65">
      <c r="A370" t="s">
        <v>769</v>
      </c>
      <c r="B370" t="str">
        <f>Table2[[#This Row],[Object identification code]]&amp;" "&amp;Table2[[#This Row],[Full catalogue path]]&amp;" "&amp;Table2[[#This Row],[Object name]]</f>
        <v xml:space="preserve">049102-EP Finance tools &amp; regulations &gt; Miscellaneous WebContracts - Awarded contracts </v>
      </c>
      <c r="C370" t="str">
        <f>Table2[[#This Row],[Object identification code]]&amp;" "&amp;Table2[[#This Row],[Full catalogue path]]</f>
        <v>049102-EP Finance tools &amp; regulations &gt; Miscellaneous</v>
      </c>
      <c r="D370" t="s">
        <v>693</v>
      </c>
      <c r="E370" t="s">
        <v>770</v>
      </c>
      <c r="F370" t="s">
        <v>21</v>
      </c>
      <c r="G370" t="s">
        <v>22</v>
      </c>
      <c r="H370">
        <v>27</v>
      </c>
      <c r="I370" s="2">
        <v>45959.375</v>
      </c>
      <c r="J370" s="2">
        <v>45959.5</v>
      </c>
      <c r="K370" s="1">
        <v>46030</v>
      </c>
      <c r="L370" t="e">
        <f>VLOOKUP(Table2[[#This Row],[Helper colum]],Table1[],1,FALSE)</f>
        <v>#N/A</v>
      </c>
      <c r="M370" t="e">
        <f>VLOOKUP(Table2[[#This Row],[Column1]],#REF!,1,FALSE)</f>
        <v>#REF!</v>
      </c>
    </row>
    <row r="371" spans="1:13" ht="14.65">
      <c r="A371" t="s">
        <v>771</v>
      </c>
      <c r="B371" t="str">
        <f>Table2[[#This Row],[Object identification code]]&amp;" "&amp;Table2[[#This Row],[Full catalogue path]]&amp;" "&amp;Table2[[#This Row],[Object name]]</f>
        <v>049101-EP Finance tools &amp; regulations &gt; Miscellaneous WebContracts - Legal commitments and Integration with FMS</v>
      </c>
      <c r="C371" t="str">
        <f>Table2[[#This Row],[Object identification code]]&amp;" "&amp;Table2[[#This Row],[Full catalogue path]]</f>
        <v>049101-EP Finance tools &amp; regulations &gt; Miscellaneous</v>
      </c>
      <c r="D371" t="s">
        <v>693</v>
      </c>
      <c r="E371" t="s">
        <v>772</v>
      </c>
      <c r="F371" t="s">
        <v>21</v>
      </c>
      <c r="G371" t="s">
        <v>22</v>
      </c>
      <c r="H371">
        <v>28</v>
      </c>
      <c r="I371" s="2">
        <v>45986.375</v>
      </c>
      <c r="J371" s="2">
        <v>45986.722222222219</v>
      </c>
      <c r="K371" s="1">
        <v>46035</v>
      </c>
      <c r="L371" t="e">
        <f>VLOOKUP(Table2[[#This Row],[Helper colum]],Table1[],1,FALSE)</f>
        <v>#N/A</v>
      </c>
      <c r="M371" t="e">
        <f>VLOOKUP(Table2[[#This Row],[Column1]],#REF!,1,FALSE)</f>
        <v>#REF!</v>
      </c>
    </row>
    <row r="372" spans="1:13" ht="14.65">
      <c r="A372" t="s">
        <v>773</v>
      </c>
      <c r="B372" t="str">
        <f>Table2[[#This Row],[Object identification code]]&amp;" "&amp;Table2[[#This Row],[Full catalogue path]]&amp;" "&amp;Table2[[#This Row],[Object name]]</f>
        <v>025274-DIGIT Finance tools &amp; regulations &gt; Miscellaneous ePhysical Inventory</v>
      </c>
      <c r="C372" t="str">
        <f>Table2[[#This Row],[Object identification code]]&amp;" "&amp;Table2[[#This Row],[Full catalogue path]]</f>
        <v>025274-DIGIT Finance tools &amp; regulations &gt; Miscellaneous</v>
      </c>
      <c r="D372" t="s">
        <v>693</v>
      </c>
      <c r="E372" t="s">
        <v>774</v>
      </c>
      <c r="F372" t="s">
        <v>21</v>
      </c>
      <c r="G372" t="s">
        <v>22</v>
      </c>
      <c r="H372">
        <v>29</v>
      </c>
      <c r="I372" s="2">
        <v>45939.416666666664</v>
      </c>
      <c r="J372" s="2">
        <v>45939.5</v>
      </c>
      <c r="K372" s="1">
        <v>46041</v>
      </c>
      <c r="L372" t="e">
        <f>VLOOKUP(Table2[[#This Row],[Helper colum]],Table1[],1,FALSE)</f>
        <v>#N/A</v>
      </c>
      <c r="M372" t="e">
        <f>VLOOKUP(Table2[[#This Row],[Column1]],#REF!,1,FALSE)</f>
        <v>#REF!</v>
      </c>
    </row>
    <row r="373" spans="1:13" ht="14.65">
      <c r="A373" t="s">
        <v>775</v>
      </c>
      <c r="B373" t="str">
        <f>Table2[[#This Row],[Object identification code]]&amp;" "&amp;Table2[[#This Row],[Full catalogue path]]&amp;" "&amp;Table2[[#This Row],[Object name]]</f>
        <v>031803-DIGIT Finance tools &amp; regulations &gt; Miscellaneous eProcurement for competitive procedure with negotiation</v>
      </c>
      <c r="C373" t="str">
        <f>Table2[[#This Row],[Object identification code]]&amp;" "&amp;Table2[[#This Row],[Full catalogue path]]</f>
        <v>031803-DIGIT Finance tools &amp; regulations &gt; Miscellaneous</v>
      </c>
      <c r="D373" t="s">
        <v>693</v>
      </c>
      <c r="E373" t="s">
        <v>776</v>
      </c>
      <c r="F373" t="s">
        <v>21</v>
      </c>
      <c r="G373" t="s">
        <v>22</v>
      </c>
      <c r="H373">
        <v>47</v>
      </c>
      <c r="I373" s="2">
        <v>45979.395833333336</v>
      </c>
      <c r="J373" s="2">
        <v>45979.520833333336</v>
      </c>
      <c r="K373" s="1">
        <v>46028</v>
      </c>
      <c r="L373" t="e">
        <f>VLOOKUP(Table2[[#This Row],[Helper colum]],Table1[],1,FALSE)</f>
        <v>#N/A</v>
      </c>
      <c r="M373" t="e">
        <f>VLOOKUP(Table2[[#This Row],[Column1]],#REF!,1,FALSE)</f>
        <v>#REF!</v>
      </c>
    </row>
    <row r="374" spans="1:13" ht="14.65">
      <c r="A374" t="s">
        <v>777</v>
      </c>
      <c r="B374" t="str">
        <f>Table2[[#This Row],[Object identification code]]&amp;" "&amp;Table2[[#This Row],[Full catalogue path]]&amp;" "&amp;Table2[[#This Row],[Object name]]</f>
        <v>031802-DIGIT Finance tools &amp; regulations &gt; Miscellaneous eProcurement for exceptional negotiated procedure and competitive procedure with negotiation without publication</v>
      </c>
      <c r="C374" t="str">
        <f>Table2[[#This Row],[Object identification code]]&amp;" "&amp;Table2[[#This Row],[Full catalogue path]]</f>
        <v>031802-DIGIT Finance tools &amp; regulations &gt; Miscellaneous</v>
      </c>
      <c r="D374" t="s">
        <v>693</v>
      </c>
      <c r="E374" t="s">
        <v>778</v>
      </c>
      <c r="F374" t="s">
        <v>21</v>
      </c>
      <c r="G374" t="s">
        <v>22</v>
      </c>
      <c r="H374">
        <v>23</v>
      </c>
      <c r="I374" s="2">
        <v>46094.395833333336</v>
      </c>
      <c r="J374" s="2">
        <v>46094.541666666664</v>
      </c>
      <c r="K374" s="1">
        <v>46056</v>
      </c>
      <c r="L374" t="e">
        <f>VLOOKUP(Table2[[#This Row],[Helper colum]],Table1[],1,FALSE)</f>
        <v>#N/A</v>
      </c>
      <c r="M374" t="e">
        <f>VLOOKUP(Table2[[#This Row],[Column1]],#REF!,1,FALSE)</f>
        <v>#REF!</v>
      </c>
    </row>
    <row r="375" spans="1:13" ht="14.65">
      <c r="A375" t="s">
        <v>779</v>
      </c>
      <c r="B375" t="str">
        <f>Table2[[#This Row],[Object identification code]]&amp;" "&amp;Table2[[#This Row],[Full catalogue path]]&amp;" "&amp;Table2[[#This Row],[Object name]]</f>
        <v>028880-DIGIT Finance tools &amp; regulations &gt; Miscellaneous eProcurement for negotiated procedures for middle and low value contracts</v>
      </c>
      <c r="C375" t="str">
        <f>Table2[[#This Row],[Object identification code]]&amp;" "&amp;Table2[[#This Row],[Full catalogue path]]</f>
        <v>028880-DIGIT Finance tools &amp; regulations &gt; Miscellaneous</v>
      </c>
      <c r="D375" t="s">
        <v>693</v>
      </c>
      <c r="E375" t="s">
        <v>780</v>
      </c>
      <c r="F375" t="s">
        <v>21</v>
      </c>
      <c r="G375" t="s">
        <v>22</v>
      </c>
      <c r="H375">
        <v>72</v>
      </c>
      <c r="I375" s="2">
        <v>46101.395833333336</v>
      </c>
      <c r="J375" s="2">
        <v>46101.541666666664</v>
      </c>
      <c r="K375" s="1">
        <v>46051</v>
      </c>
      <c r="L375" t="e">
        <f>VLOOKUP(Table2[[#This Row],[Helper colum]],Table1[],1,FALSE)</f>
        <v>#N/A</v>
      </c>
      <c r="M375" t="e">
        <f>VLOOKUP(Table2[[#This Row],[Column1]],#REF!,1,FALSE)</f>
        <v>#REF!</v>
      </c>
    </row>
    <row r="376" spans="1:13" ht="14.65">
      <c r="A376" t="s">
        <v>781</v>
      </c>
      <c r="B376" t="str">
        <f>Table2[[#This Row],[Object identification code]]&amp;" "&amp;Table2[[#This Row],[Full catalogue path]]&amp;" "&amp;Table2[[#This Row],[Object name]]</f>
        <v>026625-DIGIT Finance tools &amp; regulations &gt; Miscellaneous eProcurement for open procedure</v>
      </c>
      <c r="C376" t="str">
        <f>Table2[[#This Row],[Object identification code]]&amp;" "&amp;Table2[[#This Row],[Full catalogue path]]</f>
        <v>026625-DIGIT Finance tools &amp; regulations &gt; Miscellaneous</v>
      </c>
      <c r="D376" t="s">
        <v>693</v>
      </c>
      <c r="E376" t="s">
        <v>782</v>
      </c>
      <c r="F376" t="s">
        <v>21</v>
      </c>
      <c r="G376" t="s">
        <v>22</v>
      </c>
      <c r="H376">
        <v>74</v>
      </c>
      <c r="I376" s="2">
        <v>46086.395833333336</v>
      </c>
      <c r="J376" s="2">
        <v>46086.520833333336</v>
      </c>
      <c r="K376" s="1">
        <v>46056</v>
      </c>
      <c r="L376" t="e">
        <f>VLOOKUP(Table2[[#This Row],[Helper colum]],Table1[],1,FALSE)</f>
        <v>#N/A</v>
      </c>
      <c r="M376" t="e">
        <f>VLOOKUP(Table2[[#This Row],[Column1]],#REF!,1,FALSE)</f>
        <v>#REF!</v>
      </c>
    </row>
    <row r="377" spans="1:13" ht="14.65">
      <c r="A377" t="s">
        <v>783</v>
      </c>
      <c r="B377" t="str">
        <f>Table2[[#This Row],[Object identification code]]&amp;" "&amp;Table2[[#This Row],[Full catalogue path]]&amp;" "&amp;Table2[[#This Row],[Object name]]</f>
        <v>026626-DIGIT Finance tools &amp; regulations &gt; Miscellaneous eProcurement for restricted procedure and design contest</v>
      </c>
      <c r="C377" t="str">
        <f>Table2[[#This Row],[Object identification code]]&amp;" "&amp;Table2[[#This Row],[Full catalogue path]]</f>
        <v>026626-DIGIT Finance tools &amp; regulations &gt; Miscellaneous</v>
      </c>
      <c r="D377" t="s">
        <v>693</v>
      </c>
      <c r="E377" t="s">
        <v>784</v>
      </c>
      <c r="F377" t="s">
        <v>21</v>
      </c>
      <c r="G377" t="s">
        <v>22</v>
      </c>
      <c r="H377">
        <v>35</v>
      </c>
      <c r="I377" s="2">
        <v>46066.395833333336</v>
      </c>
      <c r="J377" s="2">
        <v>46066.541666666664</v>
      </c>
      <c r="K377" s="1">
        <v>46052</v>
      </c>
      <c r="L377" t="e">
        <f>VLOOKUP(Table2[[#This Row],[Helper colum]],Table1[],1,FALSE)</f>
        <v>#N/A</v>
      </c>
      <c r="M377" t="e">
        <f>VLOOKUP(Table2[[#This Row],[Column1]],#REF!,1,FALSE)</f>
        <v>#REF!</v>
      </c>
    </row>
    <row r="378" spans="1:13" ht="14.65">
      <c r="A378" t="s">
        <v>785</v>
      </c>
      <c r="B378" t="str">
        <f>Table2[[#This Row],[Object identification code]]&amp;" "&amp;Table2[[#This Row],[Full catalogue path]]&amp;" "&amp;Table2[[#This Row],[Object name]]</f>
        <v>066005-EP-0002-EN-GB Finance tools &amp; regulations &gt; Videos - EP Finance Academy BadgeBud</v>
      </c>
      <c r="C378" t="str">
        <f>Table2[[#This Row],[Object identification code]]&amp;" "&amp;Table2[[#This Row],[Full catalogue path]]</f>
        <v>066005-EP-0002-EN-GB Finance tools &amp; regulations &gt; Videos - EP Finance Academy</v>
      </c>
      <c r="D378" t="s">
        <v>786</v>
      </c>
      <c r="E378" t="s">
        <v>787</v>
      </c>
      <c r="F378" t="s">
        <v>16</v>
      </c>
      <c r="I378" t="s">
        <v>17</v>
      </c>
      <c r="K378" s="1">
        <v>46045</v>
      </c>
      <c r="L378" t="e">
        <f>VLOOKUP(Table2[[#This Row],[Helper colum]],Table1[],1,FALSE)</f>
        <v>#N/A</v>
      </c>
      <c r="M378" t="e">
        <f>VLOOKUP(Table2[[#This Row],[Column1]],#REF!,1,FALSE)</f>
        <v>#REF!</v>
      </c>
    </row>
    <row r="379" spans="1:13" ht="14.65">
      <c r="A379" t="s">
        <v>788</v>
      </c>
      <c r="B379" t="str">
        <f>Table2[[#This Row],[Object identification code]]&amp;" "&amp;Table2[[#This Row],[Full catalogue path]]&amp;" "&amp;Table2[[#This Row],[Object name]]</f>
        <v>071569-EP-0001-EN-GB Finance tools &amp; regulations &gt; Videos - EP Finance Academy FMS - Material creation - CATAGAO</v>
      </c>
      <c r="C379" t="str">
        <f>Table2[[#This Row],[Object identification code]]&amp;" "&amp;Table2[[#This Row],[Full catalogue path]]</f>
        <v>071569-EP-0001-EN-GB Finance tools &amp; regulations &gt; Videos - EP Finance Academy</v>
      </c>
      <c r="D379" t="s">
        <v>786</v>
      </c>
      <c r="E379" t="s">
        <v>789</v>
      </c>
      <c r="F379" t="s">
        <v>16</v>
      </c>
      <c r="I379" t="s">
        <v>17</v>
      </c>
      <c r="K379" s="1">
        <v>46051</v>
      </c>
      <c r="L379" t="e">
        <f>VLOOKUP(Table2[[#This Row],[Helper colum]],Table1[],1,FALSE)</f>
        <v>#N/A</v>
      </c>
      <c r="M379" t="e">
        <f>VLOOKUP(Table2[[#This Row],[Column1]],#REF!,1,FALSE)</f>
        <v>#REF!</v>
      </c>
    </row>
    <row r="380" spans="1:13" ht="14.65">
      <c r="A380" t="s">
        <v>790</v>
      </c>
      <c r="B380" t="str">
        <f>Table2[[#This Row],[Object identification code]]&amp;" "&amp;Table2[[#This Row],[Full catalogue path]]&amp;" "&amp;Table2[[#This Row],[Object name]]</f>
        <v>067441-EP-0001-EN-GB Finance tools &amp; regulations &gt; Videos - EP Finance Academy Financial Ethics</v>
      </c>
      <c r="C380" t="str">
        <f>Table2[[#This Row],[Object identification code]]&amp;" "&amp;Table2[[#This Row],[Full catalogue path]]</f>
        <v>067441-EP-0001-EN-GB Finance tools &amp; regulations &gt; Videos - EP Finance Academy</v>
      </c>
      <c r="D380" t="s">
        <v>786</v>
      </c>
      <c r="E380" t="s">
        <v>791</v>
      </c>
      <c r="F380" t="s">
        <v>16</v>
      </c>
      <c r="I380" t="s">
        <v>17</v>
      </c>
      <c r="K380" s="1">
        <v>46055</v>
      </c>
      <c r="L380" t="e">
        <f>VLOOKUP(Table2[[#This Row],[Helper colum]],Table1[],1,FALSE)</f>
        <v>#N/A</v>
      </c>
      <c r="M380" t="e">
        <f>VLOOKUP(Table2[[#This Row],[Column1]],#REF!,1,FALSE)</f>
        <v>#REF!</v>
      </c>
    </row>
    <row r="381" spans="1:13" ht="14.65">
      <c r="A381" t="s">
        <v>792</v>
      </c>
      <c r="B381" t="str">
        <f>Table2[[#This Row],[Object identification code]]&amp;" "&amp;Table2[[#This Row],[Full catalogue path]]&amp;" "&amp;Table2[[#This Row],[Object name]]</f>
        <v>067441-EP-0002-EN-GB Finance tools &amp; regulations &gt; Videos - EP Finance Academy Internal control at the European Parliament</v>
      </c>
      <c r="C381" t="str">
        <f>Table2[[#This Row],[Object identification code]]&amp;" "&amp;Table2[[#This Row],[Full catalogue path]]</f>
        <v>067441-EP-0002-EN-GB Finance tools &amp; regulations &gt; Videos - EP Finance Academy</v>
      </c>
      <c r="D381" t="s">
        <v>786</v>
      </c>
      <c r="E381" t="s">
        <v>793</v>
      </c>
      <c r="F381" t="s">
        <v>16</v>
      </c>
      <c r="I381" t="s">
        <v>17</v>
      </c>
      <c r="K381" s="1">
        <v>46055</v>
      </c>
      <c r="L381" t="e">
        <f>VLOOKUP(Table2[[#This Row],[Helper colum]],Table1[],1,FALSE)</f>
        <v>#N/A</v>
      </c>
      <c r="M381" t="e">
        <f>VLOOKUP(Table2[[#This Row],[Column1]],#REF!,1,FALSE)</f>
        <v>#REF!</v>
      </c>
    </row>
    <row r="382" spans="1:13" ht="14.65">
      <c r="A382" t="s">
        <v>794</v>
      </c>
      <c r="B382" t="str">
        <f>Table2[[#This Row],[Object identification code]]&amp;" "&amp;Table2[[#This Row],[Full catalogue path]]&amp;" "&amp;Table2[[#This Row],[Object name]]</f>
        <v>066621-EP-0001-EN-GB Finance tools &amp; regulations &gt; Videos - EP Finance Academy Inventory Management at the European Parliament</v>
      </c>
      <c r="C382" t="str">
        <f>Table2[[#This Row],[Object identification code]]&amp;" "&amp;Table2[[#This Row],[Full catalogue path]]</f>
        <v>066621-EP-0001-EN-GB Finance tools &amp; regulations &gt; Videos - EP Finance Academy</v>
      </c>
      <c r="D382" t="s">
        <v>786</v>
      </c>
      <c r="E382" t="s">
        <v>795</v>
      </c>
      <c r="F382" t="s">
        <v>16</v>
      </c>
      <c r="I382" t="s">
        <v>17</v>
      </c>
      <c r="K382" s="1">
        <v>46051</v>
      </c>
      <c r="L382" t="e">
        <f>VLOOKUP(Table2[[#This Row],[Helper colum]],Table1[],1,FALSE)</f>
        <v>#N/A</v>
      </c>
      <c r="M382" t="e">
        <f>VLOOKUP(Table2[[#This Row],[Column1]],#REF!,1,FALSE)</f>
        <v>#REF!</v>
      </c>
    </row>
    <row r="383" spans="1:13" ht="14.65">
      <c r="A383" t="s">
        <v>796</v>
      </c>
      <c r="B383" t="str">
        <f>Table2[[#This Row],[Object identification code]]&amp;" "&amp;Table2[[#This Row],[Full catalogue path]]&amp;" "&amp;Table2[[#This Row],[Object name]]</f>
        <v>070615-EP-0001-EN-GB Finance tools &amp; regulations &gt; Videos - EP Finance Academy New financial rules 2024-2025 – Financial Regulation 2024 recast</v>
      </c>
      <c r="C383" t="str">
        <f>Table2[[#This Row],[Object identification code]]&amp;" "&amp;Table2[[#This Row],[Full catalogue path]]</f>
        <v>070615-EP-0001-EN-GB Finance tools &amp; regulations &gt; Videos - EP Finance Academy</v>
      </c>
      <c r="D383" t="s">
        <v>786</v>
      </c>
      <c r="E383" t="s">
        <v>797</v>
      </c>
      <c r="F383" t="s">
        <v>16</v>
      </c>
      <c r="I383" t="s">
        <v>17</v>
      </c>
      <c r="K383" s="1">
        <v>46045</v>
      </c>
      <c r="L383" t="e">
        <f>VLOOKUP(Table2[[#This Row],[Helper colum]],Table1[],1,FALSE)</f>
        <v>#N/A</v>
      </c>
      <c r="M383" t="e">
        <f>VLOOKUP(Table2[[#This Row],[Column1]],#REF!,1,FALSE)</f>
        <v>#REF!</v>
      </c>
    </row>
    <row r="384" spans="1:13" ht="14.65">
      <c r="A384" t="s">
        <v>798</v>
      </c>
      <c r="B384" t="str">
        <f>Table2[[#This Row],[Object identification code]]&amp;" "&amp;Table2[[#This Row],[Full catalogue path]]&amp;" "&amp;Table2[[#This Row],[Object name]]</f>
        <v>070616-EP-0001-EN-GB Finance tools &amp; regulations &gt; Videos - EP Finance Academy New financial rules 2024-2025 – Internal rules for the Implementation of the Budget and Charters / Code of professional Standards</v>
      </c>
      <c r="C384" t="str">
        <f>Table2[[#This Row],[Object identification code]]&amp;" "&amp;Table2[[#This Row],[Full catalogue path]]</f>
        <v>070616-EP-0001-EN-GB Finance tools &amp; regulations &gt; Videos - EP Finance Academy</v>
      </c>
      <c r="D384" t="s">
        <v>786</v>
      </c>
      <c r="E384" t="s">
        <v>799</v>
      </c>
      <c r="F384" t="s">
        <v>16</v>
      </c>
      <c r="I384" t="s">
        <v>17</v>
      </c>
      <c r="K384" s="1">
        <v>46055</v>
      </c>
      <c r="L384" t="e">
        <f>VLOOKUP(Table2[[#This Row],[Helper colum]],Table1[],1,FALSE)</f>
        <v>#N/A</v>
      </c>
      <c r="M384" t="e">
        <f>VLOOKUP(Table2[[#This Row],[Column1]],#REF!,1,FALSE)</f>
        <v>#REF!</v>
      </c>
    </row>
    <row r="385" spans="1:13" ht="14.65">
      <c r="A385" t="s">
        <v>800</v>
      </c>
      <c r="B385" t="str">
        <f>Table2[[#This Row],[Object identification code]]&amp;" "&amp;Table2[[#This Row],[Full catalogue path]]&amp;" "&amp;Table2[[#This Row],[Object name]]</f>
        <v>069477-EP-0001-FR-FR Finance tools &amp; regulations &gt; Videos - EP Finance Academy Ordres de recouvrement</v>
      </c>
      <c r="C385" t="str">
        <f>Table2[[#This Row],[Object identification code]]&amp;" "&amp;Table2[[#This Row],[Full catalogue path]]</f>
        <v>069477-EP-0001-FR-FR Finance tools &amp; regulations &gt; Videos - EP Finance Academy</v>
      </c>
      <c r="D385" t="s">
        <v>786</v>
      </c>
      <c r="E385" t="s">
        <v>801</v>
      </c>
      <c r="F385" t="s">
        <v>16</v>
      </c>
      <c r="I385" t="s">
        <v>17</v>
      </c>
      <c r="K385" s="1">
        <v>46035</v>
      </c>
      <c r="L385" t="e">
        <f>VLOOKUP(Table2[[#This Row],[Helper colum]],Table1[],1,FALSE)</f>
        <v>#N/A</v>
      </c>
      <c r="M385" t="e">
        <f>VLOOKUP(Table2[[#This Row],[Column1]],#REF!,1,FALSE)</f>
        <v>#REF!</v>
      </c>
    </row>
    <row r="386" spans="1:13" ht="14.65">
      <c r="A386" t="s">
        <v>802</v>
      </c>
      <c r="B386" t="str">
        <f>Table2[[#This Row],[Object identification code]]&amp;" "&amp;Table2[[#This Row],[Full catalogue path]]&amp;" "&amp;Table2[[#This Row],[Object name]]</f>
        <v>069226-EP-0001-EN-GB Finance tools &amp; regulations &gt; Videos - EP Finance Academy Procurement</v>
      </c>
      <c r="C386" t="str">
        <f>Table2[[#This Row],[Object identification code]]&amp;" "&amp;Table2[[#This Row],[Full catalogue path]]</f>
        <v>069226-EP-0001-EN-GB Finance tools &amp; regulations &gt; Videos - EP Finance Academy</v>
      </c>
      <c r="D386" t="s">
        <v>786</v>
      </c>
      <c r="E386" t="s">
        <v>803</v>
      </c>
      <c r="F386" t="s">
        <v>16</v>
      </c>
      <c r="I386" t="s">
        <v>17</v>
      </c>
      <c r="K386" s="1">
        <v>46051</v>
      </c>
      <c r="L386" t="e">
        <f>VLOOKUP(Table2[[#This Row],[Helper colum]],Table1[],1,FALSE)</f>
        <v>#N/A</v>
      </c>
      <c r="M386" t="e">
        <f>VLOOKUP(Table2[[#This Row],[Column1]],#REF!,1,FALSE)</f>
        <v>#REF!</v>
      </c>
    </row>
    <row r="387" spans="1:13" ht="14.65">
      <c r="A387" t="s">
        <v>804</v>
      </c>
      <c r="B387" t="str">
        <f>Table2[[#This Row],[Object identification code]]&amp;" "&amp;Table2[[#This Row],[Full catalogue path]]&amp;" "&amp;Table2[[#This Row],[Object name]]</f>
        <v>070805-EP-0001-EN-GB Finance tools &amp; regulations &gt; Videos - EP Finance Academy The role of a CAF agent</v>
      </c>
      <c r="C387" t="str">
        <f>Table2[[#This Row],[Object identification code]]&amp;" "&amp;Table2[[#This Row],[Full catalogue path]]</f>
        <v>070805-EP-0001-EN-GB Finance tools &amp; regulations &gt; Videos - EP Finance Academy</v>
      </c>
      <c r="D387" t="s">
        <v>786</v>
      </c>
      <c r="E387" t="s">
        <v>805</v>
      </c>
      <c r="F387" t="s">
        <v>16</v>
      </c>
      <c r="I387" t="s">
        <v>17</v>
      </c>
      <c r="K387" s="1">
        <v>46045</v>
      </c>
      <c r="L387" t="e">
        <f>VLOOKUP(Table2[[#This Row],[Helper colum]],Table1[],1,FALSE)</f>
        <v>#N/A</v>
      </c>
      <c r="M387" t="e">
        <f>VLOOKUP(Table2[[#This Row],[Column1]],#REF!,1,FALSE)</f>
        <v>#REF!</v>
      </c>
    </row>
    <row r="388" spans="1:13" ht="14.65">
      <c r="A388" t="s">
        <v>806</v>
      </c>
      <c r="B388" t="str">
        <f>Table2[[#This Row],[Object identification code]]&amp;" "&amp;Table2[[#This Row],[Full catalogue path]]&amp;" "&amp;Table2[[#This Row],[Object name]]</f>
        <v>069076-EP-0001-EN-GB Finance tools &amp; regulations &gt; Videos - EP Finance Academy Value Added Tax (VAT) Exemption in the EP – Basic principles</v>
      </c>
      <c r="C388" t="str">
        <f>Table2[[#This Row],[Object identification code]]&amp;" "&amp;Table2[[#This Row],[Full catalogue path]]</f>
        <v>069076-EP-0001-EN-GB Finance tools &amp; regulations &gt; Videos - EP Finance Academy</v>
      </c>
      <c r="D388" t="s">
        <v>786</v>
      </c>
      <c r="E388" t="s">
        <v>807</v>
      </c>
      <c r="F388" t="s">
        <v>16</v>
      </c>
      <c r="I388" t="s">
        <v>17</v>
      </c>
      <c r="K388" s="1">
        <v>46055</v>
      </c>
      <c r="L388" t="e">
        <f>VLOOKUP(Table2[[#This Row],[Helper colum]],Table1[],1,FALSE)</f>
        <v>#N/A</v>
      </c>
      <c r="M388" t="e">
        <f>VLOOKUP(Table2[[#This Row],[Column1]],#REF!,1,FALSE)</f>
        <v>#REF!</v>
      </c>
    </row>
    <row r="389" spans="1:13" ht="14.65">
      <c r="A389" t="s">
        <v>808</v>
      </c>
      <c r="B389" t="str">
        <f>Table2[[#This Row],[Object identification code]]&amp;" "&amp;Table2[[#This Row],[Full catalogue path]]&amp;" "&amp;Table2[[#This Row],[Object name]]</f>
        <v>028258-EP Jean Monnet Academy Jean Monnet Academy - Our House</v>
      </c>
      <c r="C389" t="str">
        <f>Table2[[#This Row],[Object identification code]]&amp;" "&amp;Table2[[#This Row],[Full catalogue path]]</f>
        <v>028258-EP Jean Monnet Academy</v>
      </c>
      <c r="D389" t="s">
        <v>809</v>
      </c>
      <c r="E389" t="s">
        <v>810</v>
      </c>
      <c r="F389" t="s">
        <v>21</v>
      </c>
      <c r="G389" t="s">
        <v>22</v>
      </c>
      <c r="H389">
        <v>46</v>
      </c>
      <c r="I389" s="2">
        <v>46356.520833333336</v>
      </c>
      <c r="J389" s="2">
        <v>46358.541666666664</v>
      </c>
      <c r="K389" s="1">
        <v>46055</v>
      </c>
      <c r="L389" t="e">
        <f>VLOOKUP(Table2[[#This Row],[Helper colum]],Table1[],1,FALSE)</f>
        <v>#N/A</v>
      </c>
      <c r="M389" t="e">
        <f>VLOOKUP(Table2[[#This Row],[Column1]],#REF!,1,FALSE)</f>
        <v>#REF!</v>
      </c>
    </row>
    <row r="390" spans="1:13" ht="14.65">
      <c r="A390" t="s">
        <v>811</v>
      </c>
      <c r="B390" t="str">
        <f>Table2[[#This Row],[Object identification code]]&amp;" "&amp;Table2[[#This Row],[Full catalogue path]]&amp;" "&amp;Table2[[#This Row],[Object name]]</f>
        <v>038600-EP Jean Monnet Academy Jean Monnet Academy - seminar for 20+ officials</v>
      </c>
      <c r="C390" t="str">
        <f>Table2[[#This Row],[Object identification code]]&amp;" "&amp;Table2[[#This Row],[Full catalogue path]]</f>
        <v>038600-EP Jean Monnet Academy</v>
      </c>
      <c r="D390" t="s">
        <v>809</v>
      </c>
      <c r="E390" t="s">
        <v>812</v>
      </c>
      <c r="F390" t="s">
        <v>21</v>
      </c>
      <c r="G390" t="s">
        <v>22</v>
      </c>
      <c r="H390">
        <v>12</v>
      </c>
      <c r="I390" s="2">
        <v>46363.520833333336</v>
      </c>
      <c r="J390" s="2">
        <v>46365.541666666664</v>
      </c>
      <c r="K390" s="1">
        <v>46056</v>
      </c>
      <c r="L390" t="e">
        <f>VLOOKUP(Table2[[#This Row],[Helper colum]],Table1[],1,FALSE)</f>
        <v>#N/A</v>
      </c>
      <c r="M390" t="e">
        <f>VLOOKUP(Table2[[#This Row],[Column1]],#REF!,1,FALSE)</f>
        <v>#REF!</v>
      </c>
    </row>
    <row r="391" spans="1:13" ht="14.65">
      <c r="A391" t="s">
        <v>813</v>
      </c>
      <c r="B391" t="str">
        <f>Table2[[#This Row],[Object identification code]]&amp;" "&amp;Table2[[#This Row],[Full catalogue path]]&amp;" "&amp;Table2[[#This Row],[Object name]]</f>
        <v>028259-EP Jean Monnet Academy Jean Monnet Academy - seminar for Administrators</v>
      </c>
      <c r="C391" t="str">
        <f>Table2[[#This Row],[Object identification code]]&amp;" "&amp;Table2[[#This Row],[Full catalogue path]]</f>
        <v>028259-EP Jean Monnet Academy</v>
      </c>
      <c r="D391" t="s">
        <v>809</v>
      </c>
      <c r="E391" t="s">
        <v>814</v>
      </c>
      <c r="F391" t="s">
        <v>21</v>
      </c>
      <c r="G391" t="s">
        <v>22</v>
      </c>
      <c r="H391">
        <v>2</v>
      </c>
      <c r="I391" s="2">
        <v>46349.520833333336</v>
      </c>
      <c r="J391" s="2">
        <v>46351.541666666664</v>
      </c>
      <c r="K391" s="1">
        <v>46052</v>
      </c>
      <c r="L391" t="e">
        <f>VLOOKUP(Table2[[#This Row],[Helper colum]],Table1[],1,FALSE)</f>
        <v>#N/A</v>
      </c>
      <c r="M391" t="e">
        <f>VLOOKUP(Table2[[#This Row],[Column1]],#REF!,1,FALSE)</f>
        <v>#REF!</v>
      </c>
    </row>
    <row r="392" spans="1:13" ht="14.65">
      <c r="A392" t="s">
        <v>815</v>
      </c>
      <c r="B392" t="str">
        <f>Table2[[#This Row],[Object identification code]]&amp;" "&amp;Table2[[#This Row],[Full catalogue path]]&amp;" "&amp;Table2[[#This Row],[Object name]]</f>
        <v>026504-EP Jean Monnet Academy Jean Monnet Academy - seminar for Assistants</v>
      </c>
      <c r="C392" t="str">
        <f>Table2[[#This Row],[Object identification code]]&amp;" "&amp;Table2[[#This Row],[Full catalogue path]]</f>
        <v>026504-EP Jean Monnet Academy</v>
      </c>
      <c r="D392" t="s">
        <v>809</v>
      </c>
      <c r="E392" t="s">
        <v>816</v>
      </c>
      <c r="F392" t="s">
        <v>21</v>
      </c>
      <c r="G392" t="s">
        <v>22</v>
      </c>
      <c r="H392">
        <v>27</v>
      </c>
      <c r="I392" s="2">
        <v>46314.520833333336</v>
      </c>
      <c r="J392" s="2">
        <v>46316.541666666664</v>
      </c>
      <c r="K392" s="1">
        <v>46050</v>
      </c>
      <c r="L392" t="e">
        <f>VLOOKUP(Table2[[#This Row],[Helper colum]],Table1[],1,FALSE)</f>
        <v>#N/A</v>
      </c>
      <c r="M392" t="e">
        <f>VLOOKUP(Table2[[#This Row],[Column1]],#REF!,1,FALSE)</f>
        <v>#REF!</v>
      </c>
    </row>
    <row r="393" spans="1:13" ht="14.65">
      <c r="A393" t="s">
        <v>817</v>
      </c>
      <c r="B393" t="str">
        <f>Table2[[#This Row],[Object identification code]]&amp;" "&amp;Table2[[#This Row],[Full catalogue path]]&amp;" "&amp;Table2[[#This Row],[Object name]]</f>
        <v>038601-EP Jean Monnet Academy Jean Monnet Academy - seminar for Directors</v>
      </c>
      <c r="C393" t="str">
        <f>Table2[[#This Row],[Object identification code]]&amp;" "&amp;Table2[[#This Row],[Full catalogue path]]</f>
        <v>038601-EP Jean Monnet Academy</v>
      </c>
      <c r="D393" t="s">
        <v>809</v>
      </c>
      <c r="E393" t="s">
        <v>818</v>
      </c>
      <c r="F393" t="s">
        <v>21</v>
      </c>
      <c r="G393" t="s">
        <v>22</v>
      </c>
      <c r="H393">
        <v>2</v>
      </c>
      <c r="I393" s="2">
        <v>45670.520833333336</v>
      </c>
      <c r="J393" s="2">
        <v>45672.583333333336</v>
      </c>
      <c r="K393" s="1">
        <v>45799</v>
      </c>
      <c r="L393" t="e">
        <f>VLOOKUP(Table2[[#This Row],[Helper colum]],Table1[],1,FALSE)</f>
        <v>#N/A</v>
      </c>
      <c r="M393" t="e">
        <f>VLOOKUP(Table2[[#This Row],[Column1]],#REF!,1,FALSE)</f>
        <v>#REF!</v>
      </c>
    </row>
    <row r="394" spans="1:13" ht="14.65">
      <c r="A394" t="s">
        <v>819</v>
      </c>
      <c r="B394" t="str">
        <f>Table2[[#This Row],[Object identification code]]&amp;" "&amp;Table2[[#This Row],[Full catalogue path]]&amp;" "&amp;Table2[[#This Row],[Object name]]</f>
        <v>028219-EP Jean Monnet Academy Jean Monnet Academy - seminar for Heads of Unit</v>
      </c>
      <c r="C394" t="str">
        <f>Table2[[#This Row],[Object identification code]]&amp;" "&amp;Table2[[#This Row],[Full catalogue path]]</f>
        <v>028219-EP Jean Monnet Academy</v>
      </c>
      <c r="D394" t="s">
        <v>809</v>
      </c>
      <c r="E394" t="s">
        <v>820</v>
      </c>
      <c r="F394" t="s">
        <v>21</v>
      </c>
      <c r="G394" t="s">
        <v>22</v>
      </c>
      <c r="H394">
        <v>7</v>
      </c>
      <c r="I394" s="2">
        <v>46202.520833333336</v>
      </c>
      <c r="J394" s="2">
        <v>46204.541666666664</v>
      </c>
      <c r="K394" s="1">
        <v>46041</v>
      </c>
      <c r="L394" t="e">
        <f>VLOOKUP(Table2[[#This Row],[Helper colum]],Table1[],1,FALSE)</f>
        <v>#N/A</v>
      </c>
      <c r="M394" t="e">
        <f>VLOOKUP(Table2[[#This Row],[Column1]],#REF!,1,FALSE)</f>
        <v>#REF!</v>
      </c>
    </row>
    <row r="395" spans="1:13" ht="14.65">
      <c r="A395" t="s">
        <v>821</v>
      </c>
      <c r="B395" t="str">
        <f>Table2[[#This Row],[Object identification code]]&amp;" "&amp;Table2[[#This Row],[Full catalogue path]]&amp;" "&amp;Table2[[#This Row],[Object name]]</f>
        <v xml:space="preserve">027350-EP Jean Monnet Academy Jean Monnet Academy - seminar for newly appointed Administrators </v>
      </c>
      <c r="C395" t="str">
        <f>Table2[[#This Row],[Object identification code]]&amp;" "&amp;Table2[[#This Row],[Full catalogue path]]</f>
        <v>027350-EP Jean Monnet Academy</v>
      </c>
      <c r="D395" t="s">
        <v>809</v>
      </c>
      <c r="E395" t="s">
        <v>822</v>
      </c>
      <c r="F395" t="s">
        <v>21</v>
      </c>
      <c r="G395" t="s">
        <v>25</v>
      </c>
      <c r="I395" s="2">
        <v>46300.520833333336</v>
      </c>
      <c r="J395" s="2">
        <v>46302.541666666664</v>
      </c>
      <c r="K395" s="1">
        <v>45974</v>
      </c>
      <c r="L395" t="e">
        <f>VLOOKUP(Table2[[#This Row],[Helper colum]],Table1[],1,FALSE)</f>
        <v>#N/A</v>
      </c>
      <c r="M395" t="e">
        <f>VLOOKUP(Table2[[#This Row],[Column1]],#REF!,1,FALSE)</f>
        <v>#REF!</v>
      </c>
    </row>
    <row r="396" spans="1:13" ht="14.65">
      <c r="A396" t="s">
        <v>823</v>
      </c>
      <c r="B396" t="str">
        <f>Table2[[#This Row],[Object identification code]]&amp;" "&amp;Table2[[#This Row],[Full catalogue path]]&amp;" "&amp;Table2[[#This Row],[Object name]]</f>
        <v>026855-EP Jean Monnet Academy Jean Monnet Academy - seminar for newly appointed Assistants</v>
      </c>
      <c r="C396" t="str">
        <f>Table2[[#This Row],[Object identification code]]&amp;" "&amp;Table2[[#This Row],[Full catalogue path]]</f>
        <v>026855-EP Jean Monnet Academy</v>
      </c>
      <c r="D396" t="s">
        <v>809</v>
      </c>
      <c r="E396" t="s">
        <v>824</v>
      </c>
      <c r="F396" t="s">
        <v>21</v>
      </c>
      <c r="G396" t="s">
        <v>25</v>
      </c>
      <c r="I396" s="2">
        <v>46321.520833333336</v>
      </c>
      <c r="J396" s="2">
        <v>46323.541666666664</v>
      </c>
      <c r="K396" s="1">
        <v>45799</v>
      </c>
      <c r="L396" t="e">
        <f>VLOOKUP(Table2[[#This Row],[Helper colum]],Table1[],1,FALSE)</f>
        <v>#N/A</v>
      </c>
      <c r="M396" t="e">
        <f>VLOOKUP(Table2[[#This Row],[Column1]],#REF!,1,FALSE)</f>
        <v>#REF!</v>
      </c>
    </row>
    <row r="397" spans="1:13" ht="14.65">
      <c r="A397" t="s">
        <v>825</v>
      </c>
      <c r="B397" t="str">
        <f>Table2[[#This Row],[Object identification code]]&amp;" "&amp;Table2[[#This Row],[Full catalogue path]]&amp;" "&amp;Table2[[#This Row],[Object name]]</f>
        <v>027406-EP Jean Monnet Academy Jean Monnet Academy - seminar for newly appointed Heads of Unit</v>
      </c>
      <c r="C397" t="str">
        <f>Table2[[#This Row],[Object identification code]]&amp;" "&amp;Table2[[#This Row],[Full catalogue path]]</f>
        <v>027406-EP Jean Monnet Academy</v>
      </c>
      <c r="D397" t="s">
        <v>809</v>
      </c>
      <c r="E397" t="s">
        <v>826</v>
      </c>
      <c r="F397" t="s">
        <v>21</v>
      </c>
      <c r="G397" t="s">
        <v>22</v>
      </c>
      <c r="H397">
        <v>6</v>
      </c>
      <c r="I397" s="2">
        <v>46218.520833333336</v>
      </c>
      <c r="J397" s="2">
        <v>46220.541666666664</v>
      </c>
      <c r="K397" s="1">
        <v>46042</v>
      </c>
      <c r="L397" t="e">
        <f>VLOOKUP(Table2[[#This Row],[Helper colum]],Table1[],1,FALSE)</f>
        <v>#N/A</v>
      </c>
      <c r="M397" t="e">
        <f>VLOOKUP(Table2[[#This Row],[Column1]],#REF!,1,FALSE)</f>
        <v>#REF!</v>
      </c>
    </row>
    <row r="398" spans="1:13" ht="14.65">
      <c r="A398" t="s">
        <v>827</v>
      </c>
      <c r="B398" t="str">
        <f>Table2[[#This Row],[Object identification code]]&amp;" "&amp;Table2[[#This Row],[Full catalogue path]]&amp;" "&amp;Table2[[#This Row],[Object name]]</f>
        <v>072087-Lang-0005-EN-GB Language courses &gt; Brussels ARABIC Placement Test</v>
      </c>
      <c r="C398" t="str">
        <f>Table2[[#This Row],[Object identification code]]&amp;" "&amp;Table2[[#This Row],[Full catalogue path]]</f>
        <v>072087-Lang-0005-EN-GB Language courses &gt; Brussels</v>
      </c>
      <c r="D398" t="s">
        <v>828</v>
      </c>
      <c r="E398" t="s">
        <v>829</v>
      </c>
      <c r="F398" t="s">
        <v>16</v>
      </c>
      <c r="I398" s="2">
        <v>45943.333333333336</v>
      </c>
      <c r="J398" s="2">
        <v>46112.333333333336</v>
      </c>
      <c r="K398" s="1">
        <v>46053</v>
      </c>
      <c r="L398" t="e">
        <f>VLOOKUP(Table2[[#This Row],[Helper colum]],Table1[],1,FALSE)</f>
        <v>#N/A</v>
      </c>
      <c r="M398" t="e">
        <f>VLOOKUP(Table2[[#This Row],[Column1]],#REF!,1,FALSE)</f>
        <v>#REF!</v>
      </c>
    </row>
    <row r="399" spans="1:13" ht="14.65">
      <c r="A399" t="s">
        <v>830</v>
      </c>
      <c r="B399" t="str">
        <f>Table2[[#This Row],[Object identification code]]&amp;" "&amp;Table2[[#This Row],[Full catalogue path]]&amp;" "&amp;Table2[[#This Row],[Object name]]</f>
        <v>072087-Lang-0004-EN-GB Language courses &gt; Brussels BULGARIAN Placement Test</v>
      </c>
      <c r="C399" t="str">
        <f>Table2[[#This Row],[Object identification code]]&amp;" "&amp;Table2[[#This Row],[Full catalogue path]]</f>
        <v>072087-Lang-0004-EN-GB Language courses &gt; Brussels</v>
      </c>
      <c r="D399" t="s">
        <v>828</v>
      </c>
      <c r="E399" t="s">
        <v>831</v>
      </c>
      <c r="F399" t="s">
        <v>16</v>
      </c>
      <c r="I399" s="2">
        <v>45943.333333333336</v>
      </c>
      <c r="J399" s="2">
        <v>46387.999305555553</v>
      </c>
      <c r="K399" s="1">
        <v>45969</v>
      </c>
      <c r="L399" t="e">
        <f>VLOOKUP(Table2[[#This Row],[Helper colum]],Table1[],1,FALSE)</f>
        <v>#N/A</v>
      </c>
      <c r="M399" t="e">
        <f>VLOOKUP(Table2[[#This Row],[Column1]],#REF!,1,FALSE)</f>
        <v>#REF!</v>
      </c>
    </row>
    <row r="400" spans="1:13" ht="14.65">
      <c r="A400" t="s">
        <v>832</v>
      </c>
      <c r="B400" t="str">
        <f>Table2[[#This Row],[Object identification code]]&amp;" "&amp;Table2[[#This Row],[Full catalogue path]]&amp;" "&amp;Table2[[#This Row],[Object name]]</f>
        <v>072087-Lang-0008-EN-GB Language courses &gt; Brussels CHINESE Placement Test</v>
      </c>
      <c r="C400" t="str">
        <f>Table2[[#This Row],[Object identification code]]&amp;" "&amp;Table2[[#This Row],[Full catalogue path]]</f>
        <v>072087-Lang-0008-EN-GB Language courses &gt; Brussels</v>
      </c>
      <c r="D400" t="s">
        <v>828</v>
      </c>
      <c r="E400" t="s">
        <v>833</v>
      </c>
      <c r="F400" t="s">
        <v>16</v>
      </c>
      <c r="I400" s="2">
        <v>45943.333333333336</v>
      </c>
      <c r="J400" s="2">
        <v>46112.999305555553</v>
      </c>
      <c r="K400" s="1">
        <v>46050</v>
      </c>
      <c r="L400" t="e">
        <f>VLOOKUP(Table2[[#This Row],[Helper colum]],Table1[],1,FALSE)</f>
        <v>#N/A</v>
      </c>
      <c r="M400" t="e">
        <f>VLOOKUP(Table2[[#This Row],[Column1]],#REF!,1,FALSE)</f>
        <v>#REF!</v>
      </c>
    </row>
    <row r="401" spans="1:13" ht="14.65">
      <c r="A401" t="s">
        <v>834</v>
      </c>
      <c r="B401" t="str">
        <f>Table2[[#This Row],[Object identification code]]&amp;" "&amp;Table2[[#This Row],[Full catalogue path]]&amp;" "&amp;Table2[[#This Row],[Object name]]</f>
        <v>072087-Lang-0020-EN-GB Language courses &gt; Brussels CROATIAN Placement Test</v>
      </c>
      <c r="C401" t="str">
        <f>Table2[[#This Row],[Object identification code]]&amp;" "&amp;Table2[[#This Row],[Full catalogue path]]</f>
        <v>072087-Lang-0020-EN-GB Language courses &gt; Brussels</v>
      </c>
      <c r="D401" t="s">
        <v>828</v>
      </c>
      <c r="E401" t="s">
        <v>835</v>
      </c>
      <c r="F401" t="s">
        <v>16</v>
      </c>
      <c r="I401" s="2">
        <v>45943.333333333336</v>
      </c>
      <c r="J401" s="2">
        <v>46387.999305555553</v>
      </c>
      <c r="K401" s="1">
        <v>46050</v>
      </c>
      <c r="L401" t="e">
        <f>VLOOKUP(Table2[[#This Row],[Helper colum]],Table1[],1,FALSE)</f>
        <v>#N/A</v>
      </c>
      <c r="M401" t="e">
        <f>VLOOKUP(Table2[[#This Row],[Column1]],#REF!,1,FALSE)</f>
        <v>#REF!</v>
      </c>
    </row>
    <row r="402" spans="1:13" ht="14.65">
      <c r="A402" t="s">
        <v>836</v>
      </c>
      <c r="B402" t="str">
        <f>Table2[[#This Row],[Object identification code]]&amp;" "&amp;Table2[[#This Row],[Full catalogue path]]&amp;" "&amp;Table2[[#This Row],[Object name]]</f>
        <v>072087-Lang-0015-EN-GB Language courses &gt; Brussels CZECH Placement Test</v>
      </c>
      <c r="C402" t="str">
        <f>Table2[[#This Row],[Object identification code]]&amp;" "&amp;Table2[[#This Row],[Full catalogue path]]</f>
        <v>072087-Lang-0015-EN-GB Language courses &gt; Brussels</v>
      </c>
      <c r="D402" t="s">
        <v>828</v>
      </c>
      <c r="E402" t="s">
        <v>837</v>
      </c>
      <c r="F402" t="s">
        <v>16</v>
      </c>
      <c r="I402" s="2">
        <v>45943.333333333336</v>
      </c>
      <c r="J402" s="2">
        <v>46387.999305555553</v>
      </c>
      <c r="K402" s="1">
        <v>46011</v>
      </c>
      <c r="L402" t="e">
        <f>VLOOKUP(Table2[[#This Row],[Helper colum]],Table1[],1,FALSE)</f>
        <v>#N/A</v>
      </c>
      <c r="M402" t="e">
        <f>VLOOKUP(Table2[[#This Row],[Column1]],#REF!,1,FALSE)</f>
        <v>#REF!</v>
      </c>
    </row>
    <row r="403" spans="1:13" ht="14.65">
      <c r="A403" t="s">
        <v>838</v>
      </c>
      <c r="B403" t="str">
        <f>Table2[[#This Row],[Object identification code]]&amp;" "&amp;Table2[[#This Row],[Full catalogue path]]&amp;" "&amp;Table2[[#This Row],[Object name]]</f>
        <v>072087-Lang-0013-EN-GB Language courses &gt; Brussels DANISH Placement Test</v>
      </c>
      <c r="C403" t="str">
        <f>Table2[[#This Row],[Object identification code]]&amp;" "&amp;Table2[[#This Row],[Full catalogue path]]</f>
        <v>072087-Lang-0013-EN-GB Language courses &gt; Brussels</v>
      </c>
      <c r="D403" t="s">
        <v>828</v>
      </c>
      <c r="E403" t="s">
        <v>839</v>
      </c>
      <c r="F403" t="s">
        <v>16</v>
      </c>
      <c r="I403" s="2">
        <v>45943.333333333336</v>
      </c>
      <c r="J403" s="2">
        <v>46387.999305555553</v>
      </c>
      <c r="K403" s="1">
        <v>46043</v>
      </c>
      <c r="L403" t="e">
        <f>VLOOKUP(Table2[[#This Row],[Helper colum]],Table1[],1,FALSE)</f>
        <v>#N/A</v>
      </c>
      <c r="M403" t="e">
        <f>VLOOKUP(Table2[[#This Row],[Column1]],#REF!,1,FALSE)</f>
        <v>#REF!</v>
      </c>
    </row>
    <row r="404" spans="1:13" ht="14.65">
      <c r="A404" t="s">
        <v>840</v>
      </c>
      <c r="B404" t="str">
        <f>Table2[[#This Row],[Object identification code]]&amp;" "&amp;Table2[[#This Row],[Full catalogue path]]&amp;" "&amp;Table2[[#This Row],[Object name]]</f>
        <v>072087-Lang-0024-EN-GB Language courses &gt; Brussels DUTCH Placement Test</v>
      </c>
      <c r="C404" t="str">
        <f>Table2[[#This Row],[Object identification code]]&amp;" "&amp;Table2[[#This Row],[Full catalogue path]]</f>
        <v>072087-Lang-0024-EN-GB Language courses &gt; Brussels</v>
      </c>
      <c r="D404" t="s">
        <v>828</v>
      </c>
      <c r="E404" t="s">
        <v>841</v>
      </c>
      <c r="F404" t="s">
        <v>16</v>
      </c>
      <c r="I404" s="2">
        <v>45943.333333333336</v>
      </c>
      <c r="J404" s="2">
        <v>46387.999305555553</v>
      </c>
      <c r="K404" s="1">
        <v>46056</v>
      </c>
      <c r="L404" t="e">
        <f>VLOOKUP(Table2[[#This Row],[Helper colum]],Table1[],1,FALSE)</f>
        <v>#N/A</v>
      </c>
      <c r="M404" t="e">
        <f>VLOOKUP(Table2[[#This Row],[Column1]],#REF!,1,FALSE)</f>
        <v>#REF!</v>
      </c>
    </row>
    <row r="405" spans="1:13" ht="14.65">
      <c r="A405" t="s">
        <v>842</v>
      </c>
      <c r="B405" t="str">
        <f>Table2[[#This Row],[Object identification code]]&amp;" "&amp;Table2[[#This Row],[Full catalogue path]]&amp;" "&amp;Table2[[#This Row],[Object name]]</f>
        <v>072087-Lang-0003-EN-GB Language courses &gt; Brussels ENGLISH Placement test</v>
      </c>
      <c r="C405" t="str">
        <f>Table2[[#This Row],[Object identification code]]&amp;" "&amp;Table2[[#This Row],[Full catalogue path]]</f>
        <v>072087-Lang-0003-EN-GB Language courses &gt; Brussels</v>
      </c>
      <c r="D405" t="s">
        <v>828</v>
      </c>
      <c r="E405" t="s">
        <v>843</v>
      </c>
      <c r="F405" t="s">
        <v>16</v>
      </c>
      <c r="I405" s="2">
        <v>45943.333333333336</v>
      </c>
      <c r="J405" s="2">
        <v>46387.999305555553</v>
      </c>
      <c r="K405" s="1">
        <v>46056</v>
      </c>
      <c r="L405" t="e">
        <f>VLOOKUP(Table2[[#This Row],[Helper colum]],Table1[],1,FALSE)</f>
        <v>#N/A</v>
      </c>
      <c r="M405" t="e">
        <f>VLOOKUP(Table2[[#This Row],[Column1]],#REF!,1,FALSE)</f>
        <v>#REF!</v>
      </c>
    </row>
    <row r="406" spans="1:13" ht="14.65">
      <c r="A406" t="s">
        <v>844</v>
      </c>
      <c r="B406" t="str">
        <f>Table2[[#This Row],[Object identification code]]&amp;" "&amp;Table2[[#This Row],[Full catalogue path]]&amp;" "&amp;Table2[[#This Row],[Object name]]</f>
        <v>072087-Lang-0016-EN-GB Language courses &gt; Brussels ESTONIAN Placement Test</v>
      </c>
      <c r="C406" t="str">
        <f>Table2[[#This Row],[Object identification code]]&amp;" "&amp;Table2[[#This Row],[Full catalogue path]]</f>
        <v>072087-Lang-0016-EN-GB Language courses &gt; Brussels</v>
      </c>
      <c r="D406" t="s">
        <v>828</v>
      </c>
      <c r="E406" t="s">
        <v>845</v>
      </c>
      <c r="F406" t="s">
        <v>16</v>
      </c>
      <c r="I406" s="2">
        <v>45943.333333333336</v>
      </c>
      <c r="J406" s="2">
        <v>46387.999305555553</v>
      </c>
      <c r="L406" t="e">
        <f>VLOOKUP(Table2[[#This Row],[Helper colum]],Table1[],1,FALSE)</f>
        <v>#N/A</v>
      </c>
      <c r="M406" t="e">
        <f>VLOOKUP(Table2[[#This Row],[Column1]],#REF!,1,FALSE)</f>
        <v>#REF!</v>
      </c>
    </row>
    <row r="407" spans="1:13" ht="14.65">
      <c r="A407" t="s">
        <v>846</v>
      </c>
      <c r="B407" t="str">
        <f>Table2[[#This Row],[Object identification code]]&amp;" "&amp;Table2[[#This Row],[Full catalogue path]]&amp;" "&amp;Table2[[#This Row],[Object name]]</f>
        <v>072087-Lang-0017-EN-GB Language courses &gt; Brussels FINNISH Placement Test</v>
      </c>
      <c r="C407" t="str">
        <f>Table2[[#This Row],[Object identification code]]&amp;" "&amp;Table2[[#This Row],[Full catalogue path]]</f>
        <v>072087-Lang-0017-EN-GB Language courses &gt; Brussels</v>
      </c>
      <c r="D407" t="s">
        <v>828</v>
      </c>
      <c r="E407" t="s">
        <v>847</v>
      </c>
      <c r="F407" t="s">
        <v>16</v>
      </c>
      <c r="I407" s="2">
        <v>45943.333333333336</v>
      </c>
      <c r="J407" s="2">
        <v>46387.999305555553</v>
      </c>
      <c r="K407" s="1">
        <v>46051</v>
      </c>
      <c r="L407" t="e">
        <f>VLOOKUP(Table2[[#This Row],[Helper colum]],Table1[],1,FALSE)</f>
        <v>#N/A</v>
      </c>
      <c r="M407" t="e">
        <f>VLOOKUP(Table2[[#This Row],[Column1]],#REF!,1,FALSE)</f>
        <v>#REF!</v>
      </c>
    </row>
    <row r="408" spans="1:13" ht="14.65">
      <c r="A408" t="s">
        <v>848</v>
      </c>
      <c r="B408" t="str">
        <f>Table2[[#This Row],[Object identification code]]&amp;" "&amp;Table2[[#This Row],[Full catalogue path]]&amp;" "&amp;Table2[[#This Row],[Object name]]</f>
        <v>072087-Lang-0012-EN-GB Language courses &gt; Brussels FRENCH Placement Test</v>
      </c>
      <c r="C408" t="str">
        <f>Table2[[#This Row],[Object identification code]]&amp;" "&amp;Table2[[#This Row],[Full catalogue path]]</f>
        <v>072087-Lang-0012-EN-GB Language courses &gt; Brussels</v>
      </c>
      <c r="D408" t="s">
        <v>828</v>
      </c>
      <c r="E408" t="s">
        <v>849</v>
      </c>
      <c r="F408" t="s">
        <v>16</v>
      </c>
      <c r="I408" s="2">
        <v>45943.333333333336</v>
      </c>
      <c r="J408" s="2">
        <v>46387.999305555553</v>
      </c>
      <c r="K408" s="1">
        <v>46056</v>
      </c>
      <c r="L408" t="e">
        <f>VLOOKUP(Table2[[#This Row],[Helper colum]],Table1[],1,FALSE)</f>
        <v>#N/A</v>
      </c>
      <c r="M408" t="e">
        <f>VLOOKUP(Table2[[#This Row],[Column1]],#REF!,1,FALSE)</f>
        <v>#REF!</v>
      </c>
    </row>
    <row r="409" spans="1:13" ht="14.65">
      <c r="A409" t="s">
        <v>850</v>
      </c>
      <c r="B409" t="str">
        <f>Table2[[#This Row],[Object identification code]]&amp;" "&amp;Table2[[#This Row],[Full catalogue path]]&amp;" "&amp;Table2[[#This Row],[Object name]]</f>
        <v>072087-Lang-0002-EN-GB Language courses &gt; Brussels GERMAN Placement test</v>
      </c>
      <c r="C409" t="str">
        <f>Table2[[#This Row],[Object identification code]]&amp;" "&amp;Table2[[#This Row],[Full catalogue path]]</f>
        <v>072087-Lang-0002-EN-GB Language courses &gt; Brussels</v>
      </c>
      <c r="D409" t="s">
        <v>828</v>
      </c>
      <c r="E409" t="s">
        <v>851</v>
      </c>
      <c r="F409" t="s">
        <v>16</v>
      </c>
      <c r="I409" s="2">
        <v>45943.333333333336</v>
      </c>
      <c r="J409" s="2">
        <v>46387.999305555553</v>
      </c>
      <c r="K409" s="1">
        <v>46056</v>
      </c>
      <c r="L409" t="e">
        <f>VLOOKUP(Table2[[#This Row],[Helper colum]],Table1[],1,FALSE)</f>
        <v>#N/A</v>
      </c>
      <c r="M409" t="e">
        <f>VLOOKUP(Table2[[#This Row],[Column1]],#REF!,1,FALSE)</f>
        <v>#REF!</v>
      </c>
    </row>
    <row r="410" spans="1:13" ht="14.65">
      <c r="A410" t="s">
        <v>852</v>
      </c>
      <c r="B410" t="str">
        <f>Table2[[#This Row],[Object identification code]]&amp;" "&amp;Table2[[#This Row],[Full catalogue path]]&amp;" "&amp;Table2[[#This Row],[Object name]]</f>
        <v>072087-Lang-0014-EN-GB Language courses &gt; Brussels GREEK Placement Test</v>
      </c>
      <c r="C410" t="str">
        <f>Table2[[#This Row],[Object identification code]]&amp;" "&amp;Table2[[#This Row],[Full catalogue path]]</f>
        <v>072087-Lang-0014-EN-GB Language courses &gt; Brussels</v>
      </c>
      <c r="D410" t="s">
        <v>828</v>
      </c>
      <c r="E410" t="s">
        <v>853</v>
      </c>
      <c r="F410" t="s">
        <v>16</v>
      </c>
      <c r="I410" s="2">
        <v>45943.333333333336</v>
      </c>
      <c r="J410" s="2">
        <v>46387.999305555553</v>
      </c>
      <c r="K410" s="1">
        <v>46055</v>
      </c>
      <c r="L410" t="e">
        <f>VLOOKUP(Table2[[#This Row],[Helper colum]],Table1[],1,FALSE)</f>
        <v>#N/A</v>
      </c>
      <c r="M410" t="e">
        <f>VLOOKUP(Table2[[#This Row],[Column1]],#REF!,1,FALSE)</f>
        <v>#REF!</v>
      </c>
    </row>
    <row r="411" spans="1:13" ht="14.65">
      <c r="A411" t="s">
        <v>854</v>
      </c>
      <c r="B411" t="str">
        <f>Table2[[#This Row],[Object identification code]]&amp;" "&amp;Table2[[#This Row],[Full catalogue path]]&amp;" "&amp;Table2[[#This Row],[Object name]]</f>
        <v>072087-Lang-0021-EN-GB Language courses &gt; Brussels HUNGARIAN Placement Test</v>
      </c>
      <c r="C411" t="str">
        <f>Table2[[#This Row],[Object identification code]]&amp;" "&amp;Table2[[#This Row],[Full catalogue path]]</f>
        <v>072087-Lang-0021-EN-GB Language courses &gt; Brussels</v>
      </c>
      <c r="D411" t="s">
        <v>828</v>
      </c>
      <c r="E411" t="s">
        <v>855</v>
      </c>
      <c r="F411" t="s">
        <v>16</v>
      </c>
      <c r="I411" s="2">
        <v>45943.333333333336</v>
      </c>
      <c r="J411" s="2">
        <v>46387.999305555553</v>
      </c>
      <c r="K411" s="1">
        <v>45973</v>
      </c>
      <c r="L411" t="e">
        <f>VLOOKUP(Table2[[#This Row],[Helper colum]],Table1[],1,FALSE)</f>
        <v>#N/A</v>
      </c>
      <c r="M411" t="e">
        <f>VLOOKUP(Table2[[#This Row],[Column1]],#REF!,1,FALSE)</f>
        <v>#REF!</v>
      </c>
    </row>
    <row r="412" spans="1:13" ht="14.65">
      <c r="A412" t="s">
        <v>856</v>
      </c>
      <c r="B412" t="str">
        <f>Table2[[#This Row],[Object identification code]]&amp;" "&amp;Table2[[#This Row],[Full catalogue path]]&amp;" "&amp;Table2[[#This Row],[Object name]]</f>
        <v>072087-Lang-0018-EN-GB Language courses &gt; Brussels IRISH Placement Test</v>
      </c>
      <c r="C412" t="str">
        <f>Table2[[#This Row],[Object identification code]]&amp;" "&amp;Table2[[#This Row],[Full catalogue path]]</f>
        <v>072087-Lang-0018-EN-GB Language courses &gt; Brussels</v>
      </c>
      <c r="D412" t="s">
        <v>828</v>
      </c>
      <c r="E412" t="s">
        <v>857</v>
      </c>
      <c r="F412" t="s">
        <v>16</v>
      </c>
      <c r="I412" s="2">
        <v>45943.333333333336</v>
      </c>
      <c r="J412" s="2">
        <v>46387.999305555553</v>
      </c>
      <c r="K412" s="1">
        <v>46052</v>
      </c>
      <c r="L412" t="e">
        <f>VLOOKUP(Table2[[#This Row],[Helper colum]],Table1[],1,FALSE)</f>
        <v>#N/A</v>
      </c>
      <c r="M412" t="e">
        <f>VLOOKUP(Table2[[#This Row],[Column1]],#REF!,1,FALSE)</f>
        <v>#REF!</v>
      </c>
    </row>
    <row r="413" spans="1:13" ht="14.65">
      <c r="A413" t="s">
        <v>858</v>
      </c>
      <c r="B413" t="str">
        <f>Table2[[#This Row],[Object identification code]]&amp;" "&amp;Table2[[#This Row],[Full catalogue path]]&amp;" "&amp;Table2[[#This Row],[Object name]]</f>
        <v>072087-Lang-0011-EN-GB Language courses &gt; Brussels ITALIAN Placement Test</v>
      </c>
      <c r="C413" t="str">
        <f>Table2[[#This Row],[Object identification code]]&amp;" "&amp;Table2[[#This Row],[Full catalogue path]]</f>
        <v>072087-Lang-0011-EN-GB Language courses &gt; Brussels</v>
      </c>
      <c r="D413" t="s">
        <v>828</v>
      </c>
      <c r="E413" t="s">
        <v>859</v>
      </c>
      <c r="F413" t="s">
        <v>16</v>
      </c>
      <c r="I413" s="2">
        <v>45943.333333333336</v>
      </c>
      <c r="J413" s="2">
        <v>46387.999305555553</v>
      </c>
      <c r="K413" s="1">
        <v>46056</v>
      </c>
      <c r="L413" t="e">
        <f>VLOOKUP(Table2[[#This Row],[Helper colum]],Table1[],1,FALSE)</f>
        <v>#N/A</v>
      </c>
      <c r="M413" t="e">
        <f>VLOOKUP(Table2[[#This Row],[Column1]],#REF!,1,FALSE)</f>
        <v>#REF!</v>
      </c>
    </row>
    <row r="414" spans="1:13" ht="14.65">
      <c r="A414" t="s">
        <v>860</v>
      </c>
      <c r="B414" t="str">
        <f>Table2[[#This Row],[Object identification code]]&amp;" "&amp;Table2[[#This Row],[Full catalogue path]]&amp;" "&amp;Table2[[#This Row],[Object name]]</f>
        <v>072087-Lang-0023-EN-GB Language courses &gt; Brussels LATVIAN Placement Test</v>
      </c>
      <c r="C414" t="str">
        <f>Table2[[#This Row],[Object identification code]]&amp;" "&amp;Table2[[#This Row],[Full catalogue path]]</f>
        <v>072087-Lang-0023-EN-GB Language courses &gt; Brussels</v>
      </c>
      <c r="D414" t="s">
        <v>828</v>
      </c>
      <c r="E414" t="s">
        <v>861</v>
      </c>
      <c r="F414" t="s">
        <v>16</v>
      </c>
      <c r="I414" s="2">
        <v>45943.333333333336</v>
      </c>
      <c r="J414" s="2">
        <v>46387.999305555553</v>
      </c>
      <c r="K414" s="1">
        <v>45967</v>
      </c>
      <c r="L414" t="e">
        <f>VLOOKUP(Table2[[#This Row],[Helper colum]],Table1[],1,FALSE)</f>
        <v>#N/A</v>
      </c>
      <c r="M414" t="e">
        <f>VLOOKUP(Table2[[#This Row],[Column1]],#REF!,1,FALSE)</f>
        <v>#REF!</v>
      </c>
    </row>
    <row r="415" spans="1:13" ht="14.65">
      <c r="A415" t="s">
        <v>862</v>
      </c>
      <c r="B415" t="str">
        <f>Table2[[#This Row],[Object identification code]]&amp;" "&amp;Table2[[#This Row],[Full catalogue path]]&amp;" "&amp;Table2[[#This Row],[Object name]]</f>
        <v>072087-Lang-0022-EN-GB Language courses &gt; Brussels LITHUANIAN Placement Test</v>
      </c>
      <c r="C415" t="str">
        <f>Table2[[#This Row],[Object identification code]]&amp;" "&amp;Table2[[#This Row],[Full catalogue path]]</f>
        <v>072087-Lang-0022-EN-GB Language courses &gt; Brussels</v>
      </c>
      <c r="D415" t="s">
        <v>828</v>
      </c>
      <c r="E415" t="s">
        <v>863</v>
      </c>
      <c r="F415" t="s">
        <v>16</v>
      </c>
      <c r="I415" s="2">
        <v>45943.333333333336</v>
      </c>
      <c r="J415" s="2">
        <v>46387.999305555553</v>
      </c>
      <c r="K415" s="1">
        <v>45975</v>
      </c>
      <c r="L415" t="e">
        <f>VLOOKUP(Table2[[#This Row],[Helper colum]],Table1[],1,FALSE)</f>
        <v>#N/A</v>
      </c>
      <c r="M415" t="e">
        <f>VLOOKUP(Table2[[#This Row],[Column1]],#REF!,1,FALSE)</f>
        <v>#REF!</v>
      </c>
    </row>
    <row r="416" spans="1:13" ht="14.65">
      <c r="A416" t="s">
        <v>864</v>
      </c>
      <c r="B416" t="str">
        <f>Table2[[#This Row],[Object identification code]]&amp;" "&amp;Table2[[#This Row],[Full catalogue path]]&amp;" "&amp;Table2[[#This Row],[Object name]]</f>
        <v>072087-Lang-0025-EN-GB Language courses &gt; Brussels MALTESE Placement Test</v>
      </c>
      <c r="C416" t="str">
        <f>Table2[[#This Row],[Object identification code]]&amp;" "&amp;Table2[[#This Row],[Full catalogue path]]</f>
        <v>072087-Lang-0025-EN-GB Language courses &gt; Brussels</v>
      </c>
      <c r="D416" t="s">
        <v>828</v>
      </c>
      <c r="E416" t="s">
        <v>865</v>
      </c>
      <c r="F416" t="s">
        <v>16</v>
      </c>
      <c r="I416" s="2">
        <v>45943.333333333336</v>
      </c>
      <c r="J416" s="2">
        <v>46387.999305555553</v>
      </c>
      <c r="L416" t="e">
        <f>VLOOKUP(Table2[[#This Row],[Helper colum]],Table1[],1,FALSE)</f>
        <v>#N/A</v>
      </c>
      <c r="M416" t="e">
        <f>VLOOKUP(Table2[[#This Row],[Column1]],#REF!,1,FALSE)</f>
        <v>#REF!</v>
      </c>
    </row>
    <row r="417" spans="1:13" ht="14.65">
      <c r="A417" t="s">
        <v>866</v>
      </c>
      <c r="B417" t="str">
        <f>Table2[[#This Row],[Object identification code]]&amp;" "&amp;Table2[[#This Row],[Full catalogue path]]&amp;" "&amp;Table2[[#This Row],[Object name]]</f>
        <v>072087-Lang-0026-EN-GB Language courses &gt; Brussels POLISH Placement Test</v>
      </c>
      <c r="C417" t="str">
        <f>Table2[[#This Row],[Object identification code]]&amp;" "&amp;Table2[[#This Row],[Full catalogue path]]</f>
        <v>072087-Lang-0026-EN-GB Language courses &gt; Brussels</v>
      </c>
      <c r="D417" t="s">
        <v>828</v>
      </c>
      <c r="E417" t="s">
        <v>867</v>
      </c>
      <c r="F417" t="s">
        <v>16</v>
      </c>
      <c r="I417" s="2">
        <v>45943.333333333336</v>
      </c>
      <c r="J417" s="2">
        <v>46387.999305555553</v>
      </c>
      <c r="K417" s="1">
        <v>46051</v>
      </c>
      <c r="L417" t="e">
        <f>VLOOKUP(Table2[[#This Row],[Helper colum]],Table1[],1,FALSE)</f>
        <v>#N/A</v>
      </c>
      <c r="M417" t="e">
        <f>VLOOKUP(Table2[[#This Row],[Column1]],#REF!,1,FALSE)</f>
        <v>#REF!</v>
      </c>
    </row>
    <row r="418" spans="1:13" ht="14.65">
      <c r="A418" t="s">
        <v>868</v>
      </c>
      <c r="B418" t="str">
        <f>Table2[[#This Row],[Object identification code]]&amp;" "&amp;Table2[[#This Row],[Full catalogue path]]&amp;" "&amp;Table2[[#This Row],[Object name]]</f>
        <v>072087-Lang-0027-EN-GB Language courses &gt; Brussels PORTUGUESE Placement Test</v>
      </c>
      <c r="C418" t="str">
        <f>Table2[[#This Row],[Object identification code]]&amp;" "&amp;Table2[[#This Row],[Full catalogue path]]</f>
        <v>072087-Lang-0027-EN-GB Language courses &gt; Brussels</v>
      </c>
      <c r="D418" t="s">
        <v>828</v>
      </c>
      <c r="E418" t="s">
        <v>869</v>
      </c>
      <c r="F418" t="s">
        <v>16</v>
      </c>
      <c r="I418" s="2">
        <v>45943.333333333336</v>
      </c>
      <c r="J418" s="2">
        <v>46387.999305555553</v>
      </c>
      <c r="K418" s="1">
        <v>46055</v>
      </c>
      <c r="L418" t="e">
        <f>VLOOKUP(Table2[[#This Row],[Helper colum]],Table1[],1,FALSE)</f>
        <v>#N/A</v>
      </c>
      <c r="M418" t="e">
        <f>VLOOKUP(Table2[[#This Row],[Column1]],#REF!,1,FALSE)</f>
        <v>#REF!</v>
      </c>
    </row>
    <row r="419" spans="1:13" ht="14.65">
      <c r="A419" t="s">
        <v>870</v>
      </c>
      <c r="B419" t="str">
        <f>Table2[[#This Row],[Object identification code]]&amp;" "&amp;Table2[[#This Row],[Full catalogue path]]&amp;" "&amp;Table2[[#This Row],[Object name]]</f>
        <v>072087-Lang-0028-EN-GB Language courses &gt; Brussels ROMANIAN Placement Test</v>
      </c>
      <c r="C419" t="str">
        <f>Table2[[#This Row],[Object identification code]]&amp;" "&amp;Table2[[#This Row],[Full catalogue path]]</f>
        <v>072087-Lang-0028-EN-GB Language courses &gt; Brussels</v>
      </c>
      <c r="D419" t="s">
        <v>828</v>
      </c>
      <c r="E419" t="s">
        <v>871</v>
      </c>
      <c r="F419" t="s">
        <v>16</v>
      </c>
      <c r="I419" s="2">
        <v>45943.333333333336</v>
      </c>
      <c r="J419" s="2">
        <v>46387.999305555553</v>
      </c>
      <c r="K419" s="1">
        <v>46055</v>
      </c>
      <c r="L419" t="e">
        <f>VLOOKUP(Table2[[#This Row],[Helper colum]],Table1[],1,FALSE)</f>
        <v>#N/A</v>
      </c>
      <c r="M419" t="e">
        <f>VLOOKUP(Table2[[#This Row],[Column1]],#REF!,1,FALSE)</f>
        <v>#REF!</v>
      </c>
    </row>
    <row r="420" spans="1:13" ht="14.65">
      <c r="A420" t="s">
        <v>872</v>
      </c>
      <c r="B420" t="str">
        <f>Table2[[#This Row],[Object identification code]]&amp;" "&amp;Table2[[#This Row],[Full catalogue path]]&amp;" "&amp;Table2[[#This Row],[Object name]]</f>
        <v>072087-Lang-0006-EN-GB Language courses &gt; Brussels RUSSIAN Placement Test</v>
      </c>
      <c r="C420" t="str">
        <f>Table2[[#This Row],[Object identification code]]&amp;" "&amp;Table2[[#This Row],[Full catalogue path]]</f>
        <v>072087-Lang-0006-EN-GB Language courses &gt; Brussels</v>
      </c>
      <c r="D420" t="s">
        <v>828</v>
      </c>
      <c r="E420" t="s">
        <v>873</v>
      </c>
      <c r="F420" t="s">
        <v>16</v>
      </c>
      <c r="I420" s="2">
        <v>45943.333333333336</v>
      </c>
      <c r="J420" s="2">
        <v>46112.999305555553</v>
      </c>
      <c r="K420" s="1">
        <v>46054</v>
      </c>
      <c r="L420" t="e">
        <f>VLOOKUP(Table2[[#This Row],[Helper colum]],Table1[],1,FALSE)</f>
        <v>#N/A</v>
      </c>
      <c r="M420" t="e">
        <f>VLOOKUP(Table2[[#This Row],[Column1]],#REF!,1,FALSE)</f>
        <v>#REF!</v>
      </c>
    </row>
    <row r="421" spans="1:13" ht="14.65">
      <c r="A421" t="s">
        <v>874</v>
      </c>
      <c r="B421" t="str">
        <f>Table2[[#This Row],[Object identification code]]&amp;" "&amp;Table2[[#This Row],[Full catalogue path]]&amp;" "&amp;Table2[[#This Row],[Object name]]</f>
        <v>072087-Lang-0030-EN-GB Language courses &gt; Brussels SLOVAK Placement Test</v>
      </c>
      <c r="C421" t="str">
        <f>Table2[[#This Row],[Object identification code]]&amp;" "&amp;Table2[[#This Row],[Full catalogue path]]</f>
        <v>072087-Lang-0030-EN-GB Language courses &gt; Brussels</v>
      </c>
      <c r="D421" t="s">
        <v>828</v>
      </c>
      <c r="E421" t="s">
        <v>875</v>
      </c>
      <c r="F421" t="s">
        <v>16</v>
      </c>
      <c r="I421" s="2">
        <v>45943.333333333336</v>
      </c>
      <c r="J421" s="2">
        <v>46387.999305555553</v>
      </c>
      <c r="K421" s="1">
        <v>45980</v>
      </c>
      <c r="L421" t="e">
        <f>VLOOKUP(Table2[[#This Row],[Helper colum]],Table1[],1,FALSE)</f>
        <v>#N/A</v>
      </c>
      <c r="M421" t="e">
        <f>VLOOKUP(Table2[[#This Row],[Column1]],#REF!,1,FALSE)</f>
        <v>#REF!</v>
      </c>
    </row>
    <row r="422" spans="1:13" ht="14.65">
      <c r="A422" t="s">
        <v>876</v>
      </c>
      <c r="B422" t="str">
        <f>Table2[[#This Row],[Object identification code]]&amp;" "&amp;Table2[[#This Row],[Full catalogue path]]&amp;" "&amp;Table2[[#This Row],[Object name]]</f>
        <v>072087-Lang-0029-EN-GB Language courses &gt; Brussels SLOVENIAN Placement Test</v>
      </c>
      <c r="C422" t="str">
        <f>Table2[[#This Row],[Object identification code]]&amp;" "&amp;Table2[[#This Row],[Full catalogue path]]</f>
        <v>072087-Lang-0029-EN-GB Language courses &gt; Brussels</v>
      </c>
      <c r="D422" t="s">
        <v>828</v>
      </c>
      <c r="E422" t="s">
        <v>877</v>
      </c>
      <c r="F422" t="s">
        <v>16</v>
      </c>
      <c r="I422" s="2">
        <v>45943.333333333336</v>
      </c>
      <c r="J422" s="2">
        <v>46387.999305555553</v>
      </c>
      <c r="K422" s="1">
        <v>46048</v>
      </c>
      <c r="L422" t="e">
        <f>VLOOKUP(Table2[[#This Row],[Helper colum]],Table1[],1,FALSE)</f>
        <v>#N/A</v>
      </c>
      <c r="M422" t="e">
        <f>VLOOKUP(Table2[[#This Row],[Column1]],#REF!,1,FALSE)</f>
        <v>#REF!</v>
      </c>
    </row>
    <row r="423" spans="1:13" ht="14.65">
      <c r="A423" t="s">
        <v>878</v>
      </c>
      <c r="B423" t="str">
        <f>Table2[[#This Row],[Object identification code]]&amp;" "&amp;Table2[[#This Row],[Full catalogue path]]&amp;" "&amp;Table2[[#This Row],[Object name]]</f>
        <v>072087-Lang-0001-EN-GB Language courses &gt; Brussels SPANISH placement test</v>
      </c>
      <c r="C423" t="str">
        <f>Table2[[#This Row],[Object identification code]]&amp;" "&amp;Table2[[#This Row],[Full catalogue path]]</f>
        <v>072087-Lang-0001-EN-GB Language courses &gt; Brussels</v>
      </c>
      <c r="D423" t="s">
        <v>828</v>
      </c>
      <c r="E423" t="s">
        <v>879</v>
      </c>
      <c r="F423" t="s">
        <v>16</v>
      </c>
      <c r="I423" s="2">
        <v>45943.333333333336</v>
      </c>
      <c r="J423" s="2">
        <v>46387.999305555553</v>
      </c>
      <c r="K423" s="1">
        <v>46056</v>
      </c>
      <c r="L423" t="e">
        <f>VLOOKUP(Table2[[#This Row],[Helper colum]],Table1[],1,FALSE)</f>
        <v>#N/A</v>
      </c>
      <c r="M423" t="e">
        <f>VLOOKUP(Table2[[#This Row],[Column1]],#REF!,1,FALSE)</f>
        <v>#REF!</v>
      </c>
    </row>
    <row r="424" spans="1:13" ht="14.65">
      <c r="A424" t="s">
        <v>880</v>
      </c>
      <c r="B424" t="str">
        <f>Table2[[#This Row],[Object identification code]]&amp;" "&amp;Table2[[#This Row],[Full catalogue path]]&amp;" "&amp;Table2[[#This Row],[Object name]]</f>
        <v>072087-Lang-0031-EN-GB Language courses &gt; Brussels SWEDISH Placement Test</v>
      </c>
      <c r="C424" t="str">
        <f>Table2[[#This Row],[Object identification code]]&amp;" "&amp;Table2[[#This Row],[Full catalogue path]]</f>
        <v>072087-Lang-0031-EN-GB Language courses &gt; Brussels</v>
      </c>
      <c r="D424" t="s">
        <v>828</v>
      </c>
      <c r="E424" t="s">
        <v>881</v>
      </c>
      <c r="F424" t="s">
        <v>16</v>
      </c>
      <c r="I424" s="2">
        <v>45943.333333333336</v>
      </c>
      <c r="J424" s="2">
        <v>46387.999305555553</v>
      </c>
      <c r="K424" s="1">
        <v>46053</v>
      </c>
      <c r="L424" t="e">
        <f>VLOOKUP(Table2[[#This Row],[Helper colum]],Table1[],1,FALSE)</f>
        <v>#N/A</v>
      </c>
      <c r="M424" t="e">
        <f>VLOOKUP(Table2[[#This Row],[Column1]],#REF!,1,FALSE)</f>
        <v>#REF!</v>
      </c>
    </row>
    <row r="425" spans="1:13" ht="14.65">
      <c r="A425" t="s">
        <v>882</v>
      </c>
      <c r="B425" t="str">
        <f>Table2[[#This Row],[Object identification code]]&amp;" "&amp;Table2[[#This Row],[Full catalogue path]]&amp;" "&amp;Table2[[#This Row],[Object name]]</f>
        <v>072087-Lang-0007-EN-GB Language courses &gt; Brussels TURKISH Placement Test</v>
      </c>
      <c r="C425" t="str">
        <f>Table2[[#This Row],[Object identification code]]&amp;" "&amp;Table2[[#This Row],[Full catalogue path]]</f>
        <v>072087-Lang-0007-EN-GB Language courses &gt; Brussels</v>
      </c>
      <c r="D425" t="s">
        <v>828</v>
      </c>
      <c r="E425" t="s">
        <v>883</v>
      </c>
      <c r="F425" t="s">
        <v>16</v>
      </c>
      <c r="I425" s="2">
        <v>45943.333333333336</v>
      </c>
      <c r="J425" s="2">
        <v>46112.999305555553</v>
      </c>
      <c r="K425" s="1">
        <v>46042</v>
      </c>
      <c r="L425" t="e">
        <f>VLOOKUP(Table2[[#This Row],[Helper colum]],Table1[],1,FALSE)</f>
        <v>#N/A</v>
      </c>
      <c r="M425" t="e">
        <f>VLOOKUP(Table2[[#This Row],[Column1]],#REF!,1,FALSE)</f>
        <v>#REF!</v>
      </c>
    </row>
    <row r="426" spans="1:13" ht="14.65">
      <c r="A426" t="s">
        <v>884</v>
      </c>
      <c r="B426" t="str">
        <f>Table2[[#This Row],[Object identification code]]&amp;" "&amp;Table2[[#This Row],[Full catalogue path]]&amp;" "&amp;Table2[[#This Row],[Object name]]</f>
        <v>072087-Lang-0010-EN-GB Language courses &gt; Brussels UKRAINIAN Placement Test</v>
      </c>
      <c r="C426" t="str">
        <f>Table2[[#This Row],[Object identification code]]&amp;" "&amp;Table2[[#This Row],[Full catalogue path]]</f>
        <v>072087-Lang-0010-EN-GB Language courses &gt; Brussels</v>
      </c>
      <c r="D426" t="s">
        <v>828</v>
      </c>
      <c r="E426" t="s">
        <v>885</v>
      </c>
      <c r="F426" t="s">
        <v>16</v>
      </c>
      <c r="I426" s="2">
        <v>45943.333333333336</v>
      </c>
      <c r="J426" s="2">
        <v>46112.999305555553</v>
      </c>
      <c r="K426" s="1">
        <v>46052</v>
      </c>
      <c r="L426" t="e">
        <f>VLOOKUP(Table2[[#This Row],[Helper colum]],Table1[],1,FALSE)</f>
        <v>#N/A</v>
      </c>
      <c r="M426" t="e">
        <f>VLOOKUP(Table2[[#This Row],[Column1]],#REF!,1,FALSE)</f>
        <v>#REF!</v>
      </c>
    </row>
    <row r="427" spans="1:13" ht="14.65">
      <c r="A427" t="s">
        <v>827</v>
      </c>
      <c r="B427" t="str">
        <f>Table2[[#This Row],[Object identification code]]&amp;" "&amp;Table2[[#This Row],[Full catalogue path]]&amp;" "&amp;Table2[[#This Row],[Object name]]</f>
        <v>072087-Lang-0005-EN-GB Language courses &gt; Luxembourg ARABIC Placement Test</v>
      </c>
      <c r="C427" t="str">
        <f>Table2[[#This Row],[Object identification code]]&amp;" "&amp;Table2[[#This Row],[Full catalogue path]]</f>
        <v>072087-Lang-0005-EN-GB Language courses &gt; Luxembourg</v>
      </c>
      <c r="D427" t="s">
        <v>886</v>
      </c>
      <c r="E427" t="s">
        <v>829</v>
      </c>
      <c r="F427" t="s">
        <v>16</v>
      </c>
      <c r="I427" s="2">
        <v>45943.333333333336</v>
      </c>
      <c r="J427" s="2">
        <v>46112.333333333336</v>
      </c>
      <c r="K427" s="1">
        <v>46053</v>
      </c>
      <c r="L427" t="e">
        <f>VLOOKUP(Table2[[#This Row],[Helper colum]],Table1[],1,FALSE)</f>
        <v>#N/A</v>
      </c>
      <c r="M427" t="e">
        <f>VLOOKUP(Table2[[#This Row],[Column1]],#REF!,1,FALSE)</f>
        <v>#REF!</v>
      </c>
    </row>
    <row r="428" spans="1:13" ht="14.65">
      <c r="A428" t="s">
        <v>830</v>
      </c>
      <c r="B428" t="str">
        <f>Table2[[#This Row],[Object identification code]]&amp;" "&amp;Table2[[#This Row],[Full catalogue path]]&amp;" "&amp;Table2[[#This Row],[Object name]]</f>
        <v>072087-Lang-0004-EN-GB Language courses &gt; Luxembourg BULGARIAN Placement Test</v>
      </c>
      <c r="C428" t="str">
        <f>Table2[[#This Row],[Object identification code]]&amp;" "&amp;Table2[[#This Row],[Full catalogue path]]</f>
        <v>072087-Lang-0004-EN-GB Language courses &gt; Luxembourg</v>
      </c>
      <c r="D428" t="s">
        <v>886</v>
      </c>
      <c r="E428" t="s">
        <v>831</v>
      </c>
      <c r="F428" t="s">
        <v>16</v>
      </c>
      <c r="I428" s="2">
        <v>45943.333333333336</v>
      </c>
      <c r="J428" s="2">
        <v>46387.999305555553</v>
      </c>
      <c r="K428" s="1">
        <v>45969</v>
      </c>
      <c r="L428" t="e">
        <f>VLOOKUP(Table2[[#This Row],[Helper colum]],Table1[],1,FALSE)</f>
        <v>#N/A</v>
      </c>
      <c r="M428" t="e">
        <f>VLOOKUP(Table2[[#This Row],[Column1]],#REF!,1,FALSE)</f>
        <v>#REF!</v>
      </c>
    </row>
    <row r="429" spans="1:13" ht="14.65">
      <c r="A429" t="s">
        <v>832</v>
      </c>
      <c r="B429" t="str">
        <f>Table2[[#This Row],[Object identification code]]&amp;" "&amp;Table2[[#This Row],[Full catalogue path]]&amp;" "&amp;Table2[[#This Row],[Object name]]</f>
        <v>072087-Lang-0008-EN-GB Language courses &gt; Luxembourg CHINESE Placement Test</v>
      </c>
      <c r="C429" t="str">
        <f>Table2[[#This Row],[Object identification code]]&amp;" "&amp;Table2[[#This Row],[Full catalogue path]]</f>
        <v>072087-Lang-0008-EN-GB Language courses &gt; Luxembourg</v>
      </c>
      <c r="D429" t="s">
        <v>886</v>
      </c>
      <c r="E429" t="s">
        <v>833</v>
      </c>
      <c r="F429" t="s">
        <v>16</v>
      </c>
      <c r="I429" s="2">
        <v>45943.333333333336</v>
      </c>
      <c r="J429" s="2">
        <v>46112.999305555553</v>
      </c>
      <c r="K429" s="1">
        <v>46050</v>
      </c>
      <c r="L429" t="e">
        <f>VLOOKUP(Table2[[#This Row],[Helper colum]],Table1[],1,FALSE)</f>
        <v>#N/A</v>
      </c>
      <c r="M429" t="e">
        <f>VLOOKUP(Table2[[#This Row],[Column1]],#REF!,1,FALSE)</f>
        <v>#REF!</v>
      </c>
    </row>
    <row r="430" spans="1:13" ht="14.65">
      <c r="A430" t="s">
        <v>834</v>
      </c>
      <c r="B430" t="str">
        <f>Table2[[#This Row],[Object identification code]]&amp;" "&amp;Table2[[#This Row],[Full catalogue path]]&amp;" "&amp;Table2[[#This Row],[Object name]]</f>
        <v>072087-Lang-0020-EN-GB Language courses &gt; Luxembourg CROATIAN Placement Test</v>
      </c>
      <c r="C430" t="str">
        <f>Table2[[#This Row],[Object identification code]]&amp;" "&amp;Table2[[#This Row],[Full catalogue path]]</f>
        <v>072087-Lang-0020-EN-GB Language courses &gt; Luxembourg</v>
      </c>
      <c r="D430" t="s">
        <v>886</v>
      </c>
      <c r="E430" t="s">
        <v>835</v>
      </c>
      <c r="F430" t="s">
        <v>16</v>
      </c>
      <c r="I430" s="2">
        <v>45943.333333333336</v>
      </c>
      <c r="J430" s="2">
        <v>46387.999305555553</v>
      </c>
      <c r="K430" s="1">
        <v>46050</v>
      </c>
      <c r="L430" t="e">
        <f>VLOOKUP(Table2[[#This Row],[Helper colum]],Table1[],1,FALSE)</f>
        <v>#N/A</v>
      </c>
      <c r="M430" t="e">
        <f>VLOOKUP(Table2[[#This Row],[Column1]],#REF!,1,FALSE)</f>
        <v>#REF!</v>
      </c>
    </row>
    <row r="431" spans="1:13" ht="14.65">
      <c r="A431" t="s">
        <v>836</v>
      </c>
      <c r="B431" t="str">
        <f>Table2[[#This Row],[Object identification code]]&amp;" "&amp;Table2[[#This Row],[Full catalogue path]]&amp;" "&amp;Table2[[#This Row],[Object name]]</f>
        <v>072087-Lang-0015-EN-GB Language courses &gt; Luxembourg CZECH Placement Test</v>
      </c>
      <c r="C431" t="str">
        <f>Table2[[#This Row],[Object identification code]]&amp;" "&amp;Table2[[#This Row],[Full catalogue path]]</f>
        <v>072087-Lang-0015-EN-GB Language courses &gt; Luxembourg</v>
      </c>
      <c r="D431" t="s">
        <v>886</v>
      </c>
      <c r="E431" t="s">
        <v>837</v>
      </c>
      <c r="F431" t="s">
        <v>16</v>
      </c>
      <c r="I431" s="2">
        <v>45943.333333333336</v>
      </c>
      <c r="J431" s="2">
        <v>46387.999305555553</v>
      </c>
      <c r="K431" s="1">
        <v>46011</v>
      </c>
      <c r="L431" t="e">
        <f>VLOOKUP(Table2[[#This Row],[Helper colum]],Table1[],1,FALSE)</f>
        <v>#N/A</v>
      </c>
      <c r="M431" t="e">
        <f>VLOOKUP(Table2[[#This Row],[Column1]],#REF!,1,FALSE)</f>
        <v>#REF!</v>
      </c>
    </row>
    <row r="432" spans="1:13" ht="14.65">
      <c r="A432" t="s">
        <v>838</v>
      </c>
      <c r="B432" t="str">
        <f>Table2[[#This Row],[Object identification code]]&amp;" "&amp;Table2[[#This Row],[Full catalogue path]]&amp;" "&amp;Table2[[#This Row],[Object name]]</f>
        <v>072087-Lang-0013-EN-GB Language courses &gt; Luxembourg DANISH Placement Test</v>
      </c>
      <c r="C432" t="str">
        <f>Table2[[#This Row],[Object identification code]]&amp;" "&amp;Table2[[#This Row],[Full catalogue path]]</f>
        <v>072087-Lang-0013-EN-GB Language courses &gt; Luxembourg</v>
      </c>
      <c r="D432" t="s">
        <v>886</v>
      </c>
      <c r="E432" t="s">
        <v>839</v>
      </c>
      <c r="F432" t="s">
        <v>16</v>
      </c>
      <c r="I432" s="2">
        <v>45943.333333333336</v>
      </c>
      <c r="J432" s="2">
        <v>46387.999305555553</v>
      </c>
      <c r="K432" s="1">
        <v>46043</v>
      </c>
      <c r="L432" t="e">
        <f>VLOOKUP(Table2[[#This Row],[Helper colum]],Table1[],1,FALSE)</f>
        <v>#N/A</v>
      </c>
      <c r="M432" t="e">
        <f>VLOOKUP(Table2[[#This Row],[Column1]],#REF!,1,FALSE)</f>
        <v>#REF!</v>
      </c>
    </row>
    <row r="433" spans="1:13" ht="14.65">
      <c r="A433" t="s">
        <v>840</v>
      </c>
      <c r="B433" t="str">
        <f>Table2[[#This Row],[Object identification code]]&amp;" "&amp;Table2[[#This Row],[Full catalogue path]]&amp;" "&amp;Table2[[#This Row],[Object name]]</f>
        <v>072087-Lang-0024-EN-GB Language courses &gt; Luxembourg DUTCH Placement Test</v>
      </c>
      <c r="C433" t="str">
        <f>Table2[[#This Row],[Object identification code]]&amp;" "&amp;Table2[[#This Row],[Full catalogue path]]</f>
        <v>072087-Lang-0024-EN-GB Language courses &gt; Luxembourg</v>
      </c>
      <c r="D433" t="s">
        <v>886</v>
      </c>
      <c r="E433" t="s">
        <v>841</v>
      </c>
      <c r="F433" t="s">
        <v>16</v>
      </c>
      <c r="I433" s="2">
        <v>45943.333333333336</v>
      </c>
      <c r="J433" s="2">
        <v>46387.999305555553</v>
      </c>
      <c r="K433" s="1">
        <v>46056</v>
      </c>
      <c r="L433" t="e">
        <f>VLOOKUP(Table2[[#This Row],[Helper colum]],Table1[],1,FALSE)</f>
        <v>#N/A</v>
      </c>
      <c r="M433" t="e">
        <f>VLOOKUP(Table2[[#This Row],[Column1]],#REF!,1,FALSE)</f>
        <v>#REF!</v>
      </c>
    </row>
    <row r="434" spans="1:13" ht="14.65">
      <c r="A434" t="s">
        <v>842</v>
      </c>
      <c r="B434" t="str">
        <f>Table2[[#This Row],[Object identification code]]&amp;" "&amp;Table2[[#This Row],[Full catalogue path]]&amp;" "&amp;Table2[[#This Row],[Object name]]</f>
        <v>072087-Lang-0003-EN-GB Language courses &gt; Luxembourg ENGLISH Placement test</v>
      </c>
      <c r="C434" t="str">
        <f>Table2[[#This Row],[Object identification code]]&amp;" "&amp;Table2[[#This Row],[Full catalogue path]]</f>
        <v>072087-Lang-0003-EN-GB Language courses &gt; Luxembourg</v>
      </c>
      <c r="D434" t="s">
        <v>886</v>
      </c>
      <c r="E434" t="s">
        <v>843</v>
      </c>
      <c r="F434" t="s">
        <v>16</v>
      </c>
      <c r="I434" s="2">
        <v>45943.333333333336</v>
      </c>
      <c r="J434" s="2">
        <v>46387.999305555553</v>
      </c>
      <c r="K434" s="1">
        <v>46056</v>
      </c>
      <c r="L434" t="e">
        <f>VLOOKUP(Table2[[#This Row],[Helper colum]],Table1[],1,FALSE)</f>
        <v>#N/A</v>
      </c>
      <c r="M434" t="e">
        <f>VLOOKUP(Table2[[#This Row],[Column1]],#REF!,1,FALSE)</f>
        <v>#REF!</v>
      </c>
    </row>
    <row r="435" spans="1:13" ht="14.65">
      <c r="A435" t="s">
        <v>844</v>
      </c>
      <c r="B435" t="str">
        <f>Table2[[#This Row],[Object identification code]]&amp;" "&amp;Table2[[#This Row],[Full catalogue path]]&amp;" "&amp;Table2[[#This Row],[Object name]]</f>
        <v>072087-Lang-0016-EN-GB Language courses &gt; Luxembourg ESTONIAN Placement Test</v>
      </c>
      <c r="C435" t="str">
        <f>Table2[[#This Row],[Object identification code]]&amp;" "&amp;Table2[[#This Row],[Full catalogue path]]</f>
        <v>072087-Lang-0016-EN-GB Language courses &gt; Luxembourg</v>
      </c>
      <c r="D435" t="s">
        <v>886</v>
      </c>
      <c r="E435" t="s">
        <v>845</v>
      </c>
      <c r="F435" t="s">
        <v>16</v>
      </c>
      <c r="I435" s="2">
        <v>45943.333333333336</v>
      </c>
      <c r="J435" s="2">
        <v>46387.999305555553</v>
      </c>
      <c r="L435" t="e">
        <f>VLOOKUP(Table2[[#This Row],[Helper colum]],Table1[],1,FALSE)</f>
        <v>#N/A</v>
      </c>
      <c r="M435" t="e">
        <f>VLOOKUP(Table2[[#This Row],[Column1]],#REF!,1,FALSE)</f>
        <v>#REF!</v>
      </c>
    </row>
    <row r="436" spans="1:13" ht="14.65">
      <c r="A436" t="s">
        <v>846</v>
      </c>
      <c r="B436" t="str">
        <f>Table2[[#This Row],[Object identification code]]&amp;" "&amp;Table2[[#This Row],[Full catalogue path]]&amp;" "&amp;Table2[[#This Row],[Object name]]</f>
        <v>072087-Lang-0017-EN-GB Language courses &gt; Luxembourg FINNISH Placement Test</v>
      </c>
      <c r="C436" t="str">
        <f>Table2[[#This Row],[Object identification code]]&amp;" "&amp;Table2[[#This Row],[Full catalogue path]]</f>
        <v>072087-Lang-0017-EN-GB Language courses &gt; Luxembourg</v>
      </c>
      <c r="D436" t="s">
        <v>886</v>
      </c>
      <c r="E436" t="s">
        <v>847</v>
      </c>
      <c r="F436" t="s">
        <v>16</v>
      </c>
      <c r="I436" s="2">
        <v>45943.333333333336</v>
      </c>
      <c r="J436" s="2">
        <v>46387.999305555553</v>
      </c>
      <c r="K436" s="1">
        <v>46051</v>
      </c>
      <c r="L436" t="e">
        <f>VLOOKUP(Table2[[#This Row],[Helper colum]],Table1[],1,FALSE)</f>
        <v>#N/A</v>
      </c>
      <c r="M436" t="e">
        <f>VLOOKUP(Table2[[#This Row],[Column1]],#REF!,1,FALSE)</f>
        <v>#REF!</v>
      </c>
    </row>
    <row r="437" spans="1:13" ht="14.65">
      <c r="A437" t="s">
        <v>848</v>
      </c>
      <c r="B437" t="str">
        <f>Table2[[#This Row],[Object identification code]]&amp;" "&amp;Table2[[#This Row],[Full catalogue path]]&amp;" "&amp;Table2[[#This Row],[Object name]]</f>
        <v>072087-Lang-0012-EN-GB Language courses &gt; Luxembourg FRENCH Placement Test</v>
      </c>
      <c r="C437" t="str">
        <f>Table2[[#This Row],[Object identification code]]&amp;" "&amp;Table2[[#This Row],[Full catalogue path]]</f>
        <v>072087-Lang-0012-EN-GB Language courses &gt; Luxembourg</v>
      </c>
      <c r="D437" t="s">
        <v>886</v>
      </c>
      <c r="E437" t="s">
        <v>849</v>
      </c>
      <c r="F437" t="s">
        <v>16</v>
      </c>
      <c r="I437" s="2">
        <v>45943.333333333336</v>
      </c>
      <c r="J437" s="2">
        <v>46387.999305555553</v>
      </c>
      <c r="K437" s="1">
        <v>46056</v>
      </c>
      <c r="L437" t="e">
        <f>VLOOKUP(Table2[[#This Row],[Helper colum]],Table1[],1,FALSE)</f>
        <v>#N/A</v>
      </c>
      <c r="M437" t="e">
        <f>VLOOKUP(Table2[[#This Row],[Column1]],#REF!,1,FALSE)</f>
        <v>#REF!</v>
      </c>
    </row>
    <row r="438" spans="1:13" ht="14.65">
      <c r="A438" t="s">
        <v>850</v>
      </c>
      <c r="B438" t="str">
        <f>Table2[[#This Row],[Object identification code]]&amp;" "&amp;Table2[[#This Row],[Full catalogue path]]&amp;" "&amp;Table2[[#This Row],[Object name]]</f>
        <v>072087-Lang-0002-EN-GB Language courses &gt; Luxembourg GERMAN Placement test</v>
      </c>
      <c r="C438" t="str">
        <f>Table2[[#This Row],[Object identification code]]&amp;" "&amp;Table2[[#This Row],[Full catalogue path]]</f>
        <v>072087-Lang-0002-EN-GB Language courses &gt; Luxembourg</v>
      </c>
      <c r="D438" t="s">
        <v>886</v>
      </c>
      <c r="E438" t="s">
        <v>851</v>
      </c>
      <c r="F438" t="s">
        <v>16</v>
      </c>
      <c r="I438" s="2">
        <v>45943.333333333336</v>
      </c>
      <c r="J438" s="2">
        <v>46387.999305555553</v>
      </c>
      <c r="K438" s="1">
        <v>46056</v>
      </c>
      <c r="L438" t="e">
        <f>VLOOKUP(Table2[[#This Row],[Helper colum]],Table1[],1,FALSE)</f>
        <v>#N/A</v>
      </c>
      <c r="M438" t="e">
        <f>VLOOKUP(Table2[[#This Row],[Column1]],#REF!,1,FALSE)</f>
        <v>#REF!</v>
      </c>
    </row>
    <row r="439" spans="1:13" ht="14.65">
      <c r="A439" t="s">
        <v>852</v>
      </c>
      <c r="B439" t="str">
        <f>Table2[[#This Row],[Object identification code]]&amp;" "&amp;Table2[[#This Row],[Full catalogue path]]&amp;" "&amp;Table2[[#This Row],[Object name]]</f>
        <v>072087-Lang-0014-EN-GB Language courses &gt; Luxembourg GREEK Placement Test</v>
      </c>
      <c r="C439" t="str">
        <f>Table2[[#This Row],[Object identification code]]&amp;" "&amp;Table2[[#This Row],[Full catalogue path]]</f>
        <v>072087-Lang-0014-EN-GB Language courses &gt; Luxembourg</v>
      </c>
      <c r="D439" t="s">
        <v>886</v>
      </c>
      <c r="E439" t="s">
        <v>853</v>
      </c>
      <c r="F439" t="s">
        <v>16</v>
      </c>
      <c r="I439" s="2">
        <v>45943.333333333336</v>
      </c>
      <c r="J439" s="2">
        <v>46387.999305555553</v>
      </c>
      <c r="K439" s="1">
        <v>46055</v>
      </c>
      <c r="L439" t="e">
        <f>VLOOKUP(Table2[[#This Row],[Helper colum]],Table1[],1,FALSE)</f>
        <v>#N/A</v>
      </c>
      <c r="M439" t="e">
        <f>VLOOKUP(Table2[[#This Row],[Column1]],#REF!,1,FALSE)</f>
        <v>#REF!</v>
      </c>
    </row>
    <row r="440" spans="1:13" ht="14.65">
      <c r="A440" t="s">
        <v>854</v>
      </c>
      <c r="B440" t="str">
        <f>Table2[[#This Row],[Object identification code]]&amp;" "&amp;Table2[[#This Row],[Full catalogue path]]&amp;" "&amp;Table2[[#This Row],[Object name]]</f>
        <v>072087-Lang-0021-EN-GB Language courses &gt; Luxembourg HUNGARIAN Placement Test</v>
      </c>
      <c r="C440" t="str">
        <f>Table2[[#This Row],[Object identification code]]&amp;" "&amp;Table2[[#This Row],[Full catalogue path]]</f>
        <v>072087-Lang-0021-EN-GB Language courses &gt; Luxembourg</v>
      </c>
      <c r="D440" t="s">
        <v>886</v>
      </c>
      <c r="E440" t="s">
        <v>855</v>
      </c>
      <c r="F440" t="s">
        <v>16</v>
      </c>
      <c r="I440" s="2">
        <v>45943.333333333336</v>
      </c>
      <c r="J440" s="2">
        <v>46387.999305555553</v>
      </c>
      <c r="K440" s="1">
        <v>45973</v>
      </c>
      <c r="L440" t="e">
        <f>VLOOKUP(Table2[[#This Row],[Helper colum]],Table1[],1,FALSE)</f>
        <v>#N/A</v>
      </c>
      <c r="M440" t="e">
        <f>VLOOKUP(Table2[[#This Row],[Column1]],#REF!,1,FALSE)</f>
        <v>#REF!</v>
      </c>
    </row>
    <row r="441" spans="1:13" ht="14.65">
      <c r="A441" t="s">
        <v>856</v>
      </c>
      <c r="B441" t="str">
        <f>Table2[[#This Row],[Object identification code]]&amp;" "&amp;Table2[[#This Row],[Full catalogue path]]&amp;" "&amp;Table2[[#This Row],[Object name]]</f>
        <v>072087-Lang-0018-EN-GB Language courses &gt; Luxembourg IRISH Placement Test</v>
      </c>
      <c r="C441" t="str">
        <f>Table2[[#This Row],[Object identification code]]&amp;" "&amp;Table2[[#This Row],[Full catalogue path]]</f>
        <v>072087-Lang-0018-EN-GB Language courses &gt; Luxembourg</v>
      </c>
      <c r="D441" t="s">
        <v>886</v>
      </c>
      <c r="E441" t="s">
        <v>857</v>
      </c>
      <c r="F441" t="s">
        <v>16</v>
      </c>
      <c r="I441" s="2">
        <v>45943.333333333336</v>
      </c>
      <c r="J441" s="2">
        <v>46387.999305555553</v>
      </c>
      <c r="K441" s="1">
        <v>46052</v>
      </c>
      <c r="L441" t="e">
        <f>VLOOKUP(Table2[[#This Row],[Helper colum]],Table1[],1,FALSE)</f>
        <v>#N/A</v>
      </c>
      <c r="M441" t="e">
        <f>VLOOKUP(Table2[[#This Row],[Column1]],#REF!,1,FALSE)</f>
        <v>#REF!</v>
      </c>
    </row>
    <row r="442" spans="1:13" ht="14.65">
      <c r="A442" t="s">
        <v>858</v>
      </c>
      <c r="B442" t="str">
        <f>Table2[[#This Row],[Object identification code]]&amp;" "&amp;Table2[[#This Row],[Full catalogue path]]&amp;" "&amp;Table2[[#This Row],[Object name]]</f>
        <v>072087-Lang-0011-EN-GB Language courses &gt; Luxembourg ITALIAN Placement Test</v>
      </c>
      <c r="C442" t="str">
        <f>Table2[[#This Row],[Object identification code]]&amp;" "&amp;Table2[[#This Row],[Full catalogue path]]</f>
        <v>072087-Lang-0011-EN-GB Language courses &gt; Luxembourg</v>
      </c>
      <c r="D442" t="s">
        <v>886</v>
      </c>
      <c r="E442" t="s">
        <v>859</v>
      </c>
      <c r="F442" t="s">
        <v>16</v>
      </c>
      <c r="I442" s="2">
        <v>45943.333333333336</v>
      </c>
      <c r="J442" s="2">
        <v>46387.999305555553</v>
      </c>
      <c r="K442" s="1">
        <v>46056</v>
      </c>
      <c r="L442" t="e">
        <f>VLOOKUP(Table2[[#This Row],[Helper colum]],Table1[],1,FALSE)</f>
        <v>#N/A</v>
      </c>
      <c r="M442" t="e">
        <f>VLOOKUP(Table2[[#This Row],[Column1]],#REF!,1,FALSE)</f>
        <v>#REF!</v>
      </c>
    </row>
    <row r="443" spans="1:13" ht="14.65">
      <c r="A443" t="s">
        <v>860</v>
      </c>
      <c r="B443" t="str">
        <f>Table2[[#This Row],[Object identification code]]&amp;" "&amp;Table2[[#This Row],[Full catalogue path]]&amp;" "&amp;Table2[[#This Row],[Object name]]</f>
        <v>072087-Lang-0023-EN-GB Language courses &gt; Luxembourg LATVIAN Placement Test</v>
      </c>
      <c r="C443" t="str">
        <f>Table2[[#This Row],[Object identification code]]&amp;" "&amp;Table2[[#This Row],[Full catalogue path]]</f>
        <v>072087-Lang-0023-EN-GB Language courses &gt; Luxembourg</v>
      </c>
      <c r="D443" t="s">
        <v>886</v>
      </c>
      <c r="E443" t="s">
        <v>861</v>
      </c>
      <c r="F443" t="s">
        <v>16</v>
      </c>
      <c r="I443" s="2">
        <v>45943.333333333336</v>
      </c>
      <c r="J443" s="2">
        <v>46387.999305555553</v>
      </c>
      <c r="K443" s="1">
        <v>45967</v>
      </c>
      <c r="L443" t="e">
        <f>VLOOKUP(Table2[[#This Row],[Helper colum]],Table1[],1,FALSE)</f>
        <v>#N/A</v>
      </c>
      <c r="M443" t="e">
        <f>VLOOKUP(Table2[[#This Row],[Column1]],#REF!,1,FALSE)</f>
        <v>#REF!</v>
      </c>
    </row>
    <row r="444" spans="1:13" ht="14.65">
      <c r="A444" t="s">
        <v>862</v>
      </c>
      <c r="B444" t="str">
        <f>Table2[[#This Row],[Object identification code]]&amp;" "&amp;Table2[[#This Row],[Full catalogue path]]&amp;" "&amp;Table2[[#This Row],[Object name]]</f>
        <v>072087-Lang-0022-EN-GB Language courses &gt; Luxembourg LITHUANIAN Placement Test</v>
      </c>
      <c r="C444" t="str">
        <f>Table2[[#This Row],[Object identification code]]&amp;" "&amp;Table2[[#This Row],[Full catalogue path]]</f>
        <v>072087-Lang-0022-EN-GB Language courses &gt; Luxembourg</v>
      </c>
      <c r="D444" t="s">
        <v>886</v>
      </c>
      <c r="E444" t="s">
        <v>863</v>
      </c>
      <c r="F444" t="s">
        <v>16</v>
      </c>
      <c r="I444" s="2">
        <v>45943.333333333336</v>
      </c>
      <c r="J444" s="2">
        <v>46387.999305555553</v>
      </c>
      <c r="K444" s="1">
        <v>45975</v>
      </c>
      <c r="L444" t="e">
        <f>VLOOKUP(Table2[[#This Row],[Helper colum]],Table1[],1,FALSE)</f>
        <v>#N/A</v>
      </c>
      <c r="M444" t="e">
        <f>VLOOKUP(Table2[[#This Row],[Column1]],#REF!,1,FALSE)</f>
        <v>#REF!</v>
      </c>
    </row>
    <row r="445" spans="1:13" ht="14.65">
      <c r="A445" t="s">
        <v>887</v>
      </c>
      <c r="B445" t="str">
        <f>Table2[[#This Row],[Object identification code]]&amp;" "&amp;Table2[[#This Row],[Full catalogue path]]&amp;" "&amp;Table2[[#This Row],[Object name]]</f>
        <v>072087-Lang-0009-EN-GB Language courses &gt; Luxembourg LUXEMBOURGISH Placement Test</v>
      </c>
      <c r="C445" t="str">
        <f>Table2[[#This Row],[Object identification code]]&amp;" "&amp;Table2[[#This Row],[Full catalogue path]]</f>
        <v>072087-Lang-0009-EN-GB Language courses &gt; Luxembourg</v>
      </c>
      <c r="D445" t="s">
        <v>886</v>
      </c>
      <c r="E445" t="s">
        <v>888</v>
      </c>
      <c r="F445" t="s">
        <v>16</v>
      </c>
      <c r="I445" s="2">
        <v>45943.333333333336</v>
      </c>
      <c r="J445" s="2">
        <v>46112.999305555553</v>
      </c>
      <c r="K445" s="1">
        <v>46056</v>
      </c>
      <c r="L445" t="e">
        <f>VLOOKUP(Table2[[#This Row],[Helper colum]],Table1[],1,FALSE)</f>
        <v>#N/A</v>
      </c>
      <c r="M445" t="e">
        <f>VLOOKUP(Table2[[#This Row],[Column1]],#REF!,1,FALSE)</f>
        <v>#REF!</v>
      </c>
    </row>
    <row r="446" spans="1:13" ht="14.65">
      <c r="A446" t="s">
        <v>864</v>
      </c>
      <c r="B446" t="str">
        <f>Table2[[#This Row],[Object identification code]]&amp;" "&amp;Table2[[#This Row],[Full catalogue path]]&amp;" "&amp;Table2[[#This Row],[Object name]]</f>
        <v>072087-Lang-0025-EN-GB Language courses &gt; Luxembourg MALTESE Placement Test</v>
      </c>
      <c r="C446" t="str">
        <f>Table2[[#This Row],[Object identification code]]&amp;" "&amp;Table2[[#This Row],[Full catalogue path]]</f>
        <v>072087-Lang-0025-EN-GB Language courses &gt; Luxembourg</v>
      </c>
      <c r="D446" t="s">
        <v>886</v>
      </c>
      <c r="E446" t="s">
        <v>865</v>
      </c>
      <c r="F446" t="s">
        <v>16</v>
      </c>
      <c r="I446" s="2">
        <v>45943.333333333336</v>
      </c>
      <c r="J446" s="2">
        <v>46387.999305555553</v>
      </c>
      <c r="L446" t="e">
        <f>VLOOKUP(Table2[[#This Row],[Helper colum]],Table1[],1,FALSE)</f>
        <v>#N/A</v>
      </c>
      <c r="M446" t="e">
        <f>VLOOKUP(Table2[[#This Row],[Column1]],#REF!,1,FALSE)</f>
        <v>#REF!</v>
      </c>
    </row>
    <row r="447" spans="1:13" ht="14.65">
      <c r="A447" t="s">
        <v>866</v>
      </c>
      <c r="B447" t="str">
        <f>Table2[[#This Row],[Object identification code]]&amp;" "&amp;Table2[[#This Row],[Full catalogue path]]&amp;" "&amp;Table2[[#This Row],[Object name]]</f>
        <v>072087-Lang-0026-EN-GB Language courses &gt; Luxembourg POLISH Placement Test</v>
      </c>
      <c r="C447" t="str">
        <f>Table2[[#This Row],[Object identification code]]&amp;" "&amp;Table2[[#This Row],[Full catalogue path]]</f>
        <v>072087-Lang-0026-EN-GB Language courses &gt; Luxembourg</v>
      </c>
      <c r="D447" t="s">
        <v>886</v>
      </c>
      <c r="E447" t="s">
        <v>867</v>
      </c>
      <c r="F447" t="s">
        <v>16</v>
      </c>
      <c r="I447" s="2">
        <v>45943.333333333336</v>
      </c>
      <c r="J447" s="2">
        <v>46387.999305555553</v>
      </c>
      <c r="K447" s="1">
        <v>46051</v>
      </c>
      <c r="L447" t="e">
        <f>VLOOKUP(Table2[[#This Row],[Helper colum]],Table1[],1,FALSE)</f>
        <v>#N/A</v>
      </c>
      <c r="M447" t="e">
        <f>VLOOKUP(Table2[[#This Row],[Column1]],#REF!,1,FALSE)</f>
        <v>#REF!</v>
      </c>
    </row>
    <row r="448" spans="1:13" ht="14.65">
      <c r="A448" t="s">
        <v>868</v>
      </c>
      <c r="B448" t="str">
        <f>Table2[[#This Row],[Object identification code]]&amp;" "&amp;Table2[[#This Row],[Full catalogue path]]&amp;" "&amp;Table2[[#This Row],[Object name]]</f>
        <v>072087-Lang-0027-EN-GB Language courses &gt; Luxembourg PORTUGUESE Placement Test</v>
      </c>
      <c r="C448" t="str">
        <f>Table2[[#This Row],[Object identification code]]&amp;" "&amp;Table2[[#This Row],[Full catalogue path]]</f>
        <v>072087-Lang-0027-EN-GB Language courses &gt; Luxembourg</v>
      </c>
      <c r="D448" t="s">
        <v>886</v>
      </c>
      <c r="E448" t="s">
        <v>869</v>
      </c>
      <c r="F448" t="s">
        <v>16</v>
      </c>
      <c r="I448" s="2">
        <v>45943.333333333336</v>
      </c>
      <c r="J448" s="2">
        <v>46387.999305555553</v>
      </c>
      <c r="K448" s="1">
        <v>46055</v>
      </c>
      <c r="L448" t="e">
        <f>VLOOKUP(Table2[[#This Row],[Helper colum]],Table1[],1,FALSE)</f>
        <v>#N/A</v>
      </c>
      <c r="M448" t="e">
        <f>VLOOKUP(Table2[[#This Row],[Column1]],#REF!,1,FALSE)</f>
        <v>#REF!</v>
      </c>
    </row>
    <row r="449" spans="1:13" ht="14.65">
      <c r="A449" t="s">
        <v>870</v>
      </c>
      <c r="B449" t="str">
        <f>Table2[[#This Row],[Object identification code]]&amp;" "&amp;Table2[[#This Row],[Full catalogue path]]&amp;" "&amp;Table2[[#This Row],[Object name]]</f>
        <v>072087-Lang-0028-EN-GB Language courses &gt; Luxembourg ROMANIAN Placement Test</v>
      </c>
      <c r="C449" t="str">
        <f>Table2[[#This Row],[Object identification code]]&amp;" "&amp;Table2[[#This Row],[Full catalogue path]]</f>
        <v>072087-Lang-0028-EN-GB Language courses &gt; Luxembourg</v>
      </c>
      <c r="D449" t="s">
        <v>886</v>
      </c>
      <c r="E449" t="s">
        <v>871</v>
      </c>
      <c r="F449" t="s">
        <v>16</v>
      </c>
      <c r="I449" s="2">
        <v>45943.333333333336</v>
      </c>
      <c r="J449" s="2">
        <v>46387.999305555553</v>
      </c>
      <c r="K449" s="1">
        <v>46055</v>
      </c>
      <c r="L449" t="e">
        <f>VLOOKUP(Table2[[#This Row],[Helper colum]],Table1[],1,FALSE)</f>
        <v>#N/A</v>
      </c>
      <c r="M449" t="e">
        <f>VLOOKUP(Table2[[#This Row],[Column1]],#REF!,1,FALSE)</f>
        <v>#REF!</v>
      </c>
    </row>
    <row r="450" spans="1:13" ht="14.65">
      <c r="A450" t="s">
        <v>872</v>
      </c>
      <c r="B450" t="str">
        <f>Table2[[#This Row],[Object identification code]]&amp;" "&amp;Table2[[#This Row],[Full catalogue path]]&amp;" "&amp;Table2[[#This Row],[Object name]]</f>
        <v>072087-Lang-0006-EN-GB Language courses &gt; Luxembourg RUSSIAN Placement Test</v>
      </c>
      <c r="C450" t="str">
        <f>Table2[[#This Row],[Object identification code]]&amp;" "&amp;Table2[[#This Row],[Full catalogue path]]</f>
        <v>072087-Lang-0006-EN-GB Language courses &gt; Luxembourg</v>
      </c>
      <c r="D450" t="s">
        <v>886</v>
      </c>
      <c r="E450" t="s">
        <v>873</v>
      </c>
      <c r="F450" t="s">
        <v>16</v>
      </c>
      <c r="I450" s="2">
        <v>45943.333333333336</v>
      </c>
      <c r="J450" s="2">
        <v>46112.999305555553</v>
      </c>
      <c r="K450" s="1">
        <v>46054</v>
      </c>
      <c r="L450" t="e">
        <f>VLOOKUP(Table2[[#This Row],[Helper colum]],Table1[],1,FALSE)</f>
        <v>#N/A</v>
      </c>
      <c r="M450" t="e">
        <f>VLOOKUP(Table2[[#This Row],[Column1]],#REF!,1,FALSE)</f>
        <v>#REF!</v>
      </c>
    </row>
    <row r="451" spans="1:13" ht="14.65">
      <c r="A451" t="s">
        <v>874</v>
      </c>
      <c r="B451" t="str">
        <f>Table2[[#This Row],[Object identification code]]&amp;" "&amp;Table2[[#This Row],[Full catalogue path]]&amp;" "&amp;Table2[[#This Row],[Object name]]</f>
        <v>072087-Lang-0030-EN-GB Language courses &gt; Luxembourg SLOVAK Placement Test</v>
      </c>
      <c r="C451" t="str">
        <f>Table2[[#This Row],[Object identification code]]&amp;" "&amp;Table2[[#This Row],[Full catalogue path]]</f>
        <v>072087-Lang-0030-EN-GB Language courses &gt; Luxembourg</v>
      </c>
      <c r="D451" t="s">
        <v>886</v>
      </c>
      <c r="E451" t="s">
        <v>875</v>
      </c>
      <c r="F451" t="s">
        <v>16</v>
      </c>
      <c r="I451" s="2">
        <v>45943.333333333336</v>
      </c>
      <c r="J451" s="2">
        <v>46387.999305555553</v>
      </c>
      <c r="K451" s="1">
        <v>45980</v>
      </c>
      <c r="L451" t="e">
        <f>VLOOKUP(Table2[[#This Row],[Helper colum]],Table1[],1,FALSE)</f>
        <v>#N/A</v>
      </c>
      <c r="M451" t="e">
        <f>VLOOKUP(Table2[[#This Row],[Column1]],#REF!,1,FALSE)</f>
        <v>#REF!</v>
      </c>
    </row>
    <row r="452" spans="1:13" ht="14.65">
      <c r="A452" t="s">
        <v>876</v>
      </c>
      <c r="B452" t="str">
        <f>Table2[[#This Row],[Object identification code]]&amp;" "&amp;Table2[[#This Row],[Full catalogue path]]&amp;" "&amp;Table2[[#This Row],[Object name]]</f>
        <v>072087-Lang-0029-EN-GB Language courses &gt; Luxembourg SLOVENIAN Placement Test</v>
      </c>
      <c r="C452" t="str">
        <f>Table2[[#This Row],[Object identification code]]&amp;" "&amp;Table2[[#This Row],[Full catalogue path]]</f>
        <v>072087-Lang-0029-EN-GB Language courses &gt; Luxembourg</v>
      </c>
      <c r="D452" t="s">
        <v>886</v>
      </c>
      <c r="E452" t="s">
        <v>877</v>
      </c>
      <c r="F452" t="s">
        <v>16</v>
      </c>
      <c r="I452" s="2">
        <v>45943.333333333336</v>
      </c>
      <c r="J452" s="2">
        <v>46387.999305555553</v>
      </c>
      <c r="K452" s="1">
        <v>46048</v>
      </c>
      <c r="L452" t="e">
        <f>VLOOKUP(Table2[[#This Row],[Helper colum]],Table1[],1,FALSE)</f>
        <v>#N/A</v>
      </c>
      <c r="M452" t="e">
        <f>VLOOKUP(Table2[[#This Row],[Column1]],#REF!,1,FALSE)</f>
        <v>#REF!</v>
      </c>
    </row>
    <row r="453" spans="1:13" ht="14.65">
      <c r="A453" t="s">
        <v>878</v>
      </c>
      <c r="B453" t="str">
        <f>Table2[[#This Row],[Object identification code]]&amp;" "&amp;Table2[[#This Row],[Full catalogue path]]&amp;" "&amp;Table2[[#This Row],[Object name]]</f>
        <v>072087-Lang-0001-EN-GB Language courses &gt; Luxembourg SPANISH placement test</v>
      </c>
      <c r="C453" t="str">
        <f>Table2[[#This Row],[Object identification code]]&amp;" "&amp;Table2[[#This Row],[Full catalogue path]]</f>
        <v>072087-Lang-0001-EN-GB Language courses &gt; Luxembourg</v>
      </c>
      <c r="D453" t="s">
        <v>886</v>
      </c>
      <c r="E453" t="s">
        <v>879</v>
      </c>
      <c r="F453" t="s">
        <v>16</v>
      </c>
      <c r="I453" s="2">
        <v>45943.333333333336</v>
      </c>
      <c r="J453" s="2">
        <v>46387.999305555553</v>
      </c>
      <c r="K453" s="1">
        <v>46056</v>
      </c>
      <c r="L453" t="e">
        <f>VLOOKUP(Table2[[#This Row],[Helper colum]],Table1[],1,FALSE)</f>
        <v>#N/A</v>
      </c>
      <c r="M453" t="e">
        <f>VLOOKUP(Table2[[#This Row],[Column1]],#REF!,1,FALSE)</f>
        <v>#REF!</v>
      </c>
    </row>
    <row r="454" spans="1:13" ht="14.65">
      <c r="A454" t="s">
        <v>880</v>
      </c>
      <c r="B454" t="str">
        <f>Table2[[#This Row],[Object identification code]]&amp;" "&amp;Table2[[#This Row],[Full catalogue path]]&amp;" "&amp;Table2[[#This Row],[Object name]]</f>
        <v>072087-Lang-0031-EN-GB Language courses &gt; Luxembourg SWEDISH Placement Test</v>
      </c>
      <c r="C454" t="str">
        <f>Table2[[#This Row],[Object identification code]]&amp;" "&amp;Table2[[#This Row],[Full catalogue path]]</f>
        <v>072087-Lang-0031-EN-GB Language courses &gt; Luxembourg</v>
      </c>
      <c r="D454" t="s">
        <v>886</v>
      </c>
      <c r="E454" t="s">
        <v>881</v>
      </c>
      <c r="F454" t="s">
        <v>16</v>
      </c>
      <c r="I454" s="2">
        <v>45943.333333333336</v>
      </c>
      <c r="J454" s="2">
        <v>46387.999305555553</v>
      </c>
      <c r="K454" s="1">
        <v>46053</v>
      </c>
      <c r="L454" t="e">
        <f>VLOOKUP(Table2[[#This Row],[Helper colum]],Table1[],1,FALSE)</f>
        <v>#N/A</v>
      </c>
      <c r="M454" t="e">
        <f>VLOOKUP(Table2[[#This Row],[Column1]],#REF!,1,FALSE)</f>
        <v>#REF!</v>
      </c>
    </row>
    <row r="455" spans="1:13" ht="14.65">
      <c r="A455" t="s">
        <v>882</v>
      </c>
      <c r="B455" t="str">
        <f>Table2[[#This Row],[Object identification code]]&amp;" "&amp;Table2[[#This Row],[Full catalogue path]]&amp;" "&amp;Table2[[#This Row],[Object name]]</f>
        <v>072087-Lang-0007-EN-GB Language courses &gt; Luxembourg TURKISH Placement Test</v>
      </c>
      <c r="C455" t="str">
        <f>Table2[[#This Row],[Object identification code]]&amp;" "&amp;Table2[[#This Row],[Full catalogue path]]</f>
        <v>072087-Lang-0007-EN-GB Language courses &gt; Luxembourg</v>
      </c>
      <c r="D455" t="s">
        <v>886</v>
      </c>
      <c r="E455" t="s">
        <v>883</v>
      </c>
      <c r="F455" t="s">
        <v>16</v>
      </c>
      <c r="I455" s="2">
        <v>45943.333333333336</v>
      </c>
      <c r="J455" s="2">
        <v>46112.999305555553</v>
      </c>
      <c r="K455" s="1">
        <v>46042</v>
      </c>
      <c r="L455" t="e">
        <f>VLOOKUP(Table2[[#This Row],[Helper colum]],Table1[],1,FALSE)</f>
        <v>#N/A</v>
      </c>
      <c r="M455" t="e">
        <f>VLOOKUP(Table2[[#This Row],[Column1]],#REF!,1,FALSE)</f>
        <v>#REF!</v>
      </c>
    </row>
    <row r="456" spans="1:13" ht="14.65">
      <c r="A456" t="s">
        <v>884</v>
      </c>
      <c r="B456" t="str">
        <f>Table2[[#This Row],[Object identification code]]&amp;" "&amp;Table2[[#This Row],[Full catalogue path]]&amp;" "&amp;Table2[[#This Row],[Object name]]</f>
        <v>072087-Lang-0010-EN-GB Language courses &gt; Luxembourg UKRAINIAN Placement Test</v>
      </c>
      <c r="C456" t="str">
        <f>Table2[[#This Row],[Object identification code]]&amp;" "&amp;Table2[[#This Row],[Full catalogue path]]</f>
        <v>072087-Lang-0010-EN-GB Language courses &gt; Luxembourg</v>
      </c>
      <c r="D456" t="s">
        <v>886</v>
      </c>
      <c r="E456" t="s">
        <v>885</v>
      </c>
      <c r="F456" t="s">
        <v>16</v>
      </c>
      <c r="I456" s="2">
        <v>45943.333333333336</v>
      </c>
      <c r="J456" s="2">
        <v>46112.999305555553</v>
      </c>
      <c r="K456" s="1">
        <v>46052</v>
      </c>
      <c r="L456" t="e">
        <f>VLOOKUP(Table2[[#This Row],[Helper colum]],Table1[],1,FALSE)</f>
        <v>#N/A</v>
      </c>
      <c r="M456" t="e">
        <f>VLOOKUP(Table2[[#This Row],[Column1]],#REF!,1,FALSE)</f>
        <v>#REF!</v>
      </c>
    </row>
    <row r="457" spans="1:13" ht="14.65">
      <c r="A457" t="s">
        <v>889</v>
      </c>
      <c r="B457" t="str">
        <f>Table2[[#This Row],[Object identification code]]&amp;" "&amp;Table2[[#This Row],[Full catalogue path]]&amp;" "&amp;Table2[[#This Row],[Object name]]</f>
        <v>EP_004100 Leadership &amp; management Essentials of management and ethical leadership in the EP</v>
      </c>
      <c r="C457" t="str">
        <f>Table2[[#This Row],[Object identification code]]&amp;" "&amp;Table2[[#This Row],[Full catalogue path]]</f>
        <v>EP_004100 Leadership &amp; management</v>
      </c>
      <c r="D457" t="s">
        <v>890</v>
      </c>
      <c r="E457" t="s">
        <v>891</v>
      </c>
      <c r="F457" t="s">
        <v>38</v>
      </c>
      <c r="K457" s="1">
        <v>46042</v>
      </c>
      <c r="L457" t="e">
        <f>VLOOKUP(Table2[[#This Row],[Helper colum]],Table1[],1,FALSE)</f>
        <v>#N/A</v>
      </c>
      <c r="M457" t="e">
        <f>VLOOKUP(Table2[[#This Row],[Column1]],#REF!,1,FALSE)</f>
        <v>#REF!</v>
      </c>
    </row>
    <row r="458" spans="1:13" ht="14.65">
      <c r="A458" t="s">
        <v>892</v>
      </c>
      <c r="B458" t="str">
        <f>Table2[[#This Row],[Object identification code]]&amp;" "&amp;Table2[[#This Row],[Full catalogue path]]&amp;" "&amp;Table2[[#This Row],[Object name]]</f>
        <v>050082-EP-0004-EN-GB Leadership &amp; management More courses on European School of administration (EUSA) catalogue</v>
      </c>
      <c r="C458" t="str">
        <f>Table2[[#This Row],[Object identification code]]&amp;" "&amp;Table2[[#This Row],[Full catalogue path]]</f>
        <v>050082-EP-0004-EN-GB Leadership &amp; management</v>
      </c>
      <c r="D458" t="s">
        <v>890</v>
      </c>
      <c r="E458" t="s">
        <v>893</v>
      </c>
      <c r="F458" t="s">
        <v>16</v>
      </c>
      <c r="I458" t="s">
        <v>17</v>
      </c>
      <c r="K458" s="1">
        <v>45747</v>
      </c>
      <c r="L458" t="e">
        <f>VLOOKUP(Table2[[#This Row],[Helper colum]],Table1[],1,FALSE)</f>
        <v>#N/A</v>
      </c>
      <c r="M458" t="e">
        <f>VLOOKUP(Table2[[#This Row],[Column1]],#REF!,1,FALSE)</f>
        <v>#REF!</v>
      </c>
    </row>
    <row r="459" spans="1:13" ht="14.65">
      <c r="A459" t="s">
        <v>894</v>
      </c>
      <c r="B459" t="str">
        <f>Table2[[#This Row],[Object identification code]]&amp;" "&amp;Table2[[#This Row],[Full catalogue path]]&amp;" "&amp;Table2[[#This Row],[Object name]]</f>
        <v>062487-EP Leadership &amp; management &gt; Managing information Demystifying AI: from fundamentals to the future</v>
      </c>
      <c r="C459" t="str">
        <f>Table2[[#This Row],[Object identification code]]&amp;" "&amp;Table2[[#This Row],[Full catalogue path]]</f>
        <v>062487-EP Leadership &amp; management &gt; Managing information</v>
      </c>
      <c r="D459" t="s">
        <v>895</v>
      </c>
      <c r="E459" t="s">
        <v>896</v>
      </c>
      <c r="F459" t="s">
        <v>21</v>
      </c>
      <c r="G459" t="s">
        <v>22</v>
      </c>
      <c r="H459">
        <v>23</v>
      </c>
      <c r="I459" s="2">
        <v>46105.395833333336</v>
      </c>
      <c r="J459" s="2">
        <v>46105.708333333336</v>
      </c>
      <c r="K459" s="1">
        <v>46055</v>
      </c>
      <c r="L459" t="e">
        <f>VLOOKUP(Table2[[#This Row],[Helper colum]],Table1[],1,FALSE)</f>
        <v>#N/A</v>
      </c>
      <c r="M459" t="e">
        <f>VLOOKUP(Table2[[#This Row],[Column1]],#REF!,1,FALSE)</f>
        <v>#REF!</v>
      </c>
    </row>
    <row r="460" spans="1:13" ht="14.65">
      <c r="A460" t="s">
        <v>897</v>
      </c>
      <c r="B460" t="str">
        <f>Table2[[#This Row],[Object identification code]]&amp;" "&amp;Table2[[#This Row],[Full catalogue path]]&amp;" "&amp;Table2[[#This Row],[Object name]]</f>
        <v>071070-EP Leadership &amp; management &gt; Managing people Assessing What Matters: Conducting Insightful Interviews on EP Core Competencies</v>
      </c>
      <c r="C460" t="str">
        <f>Table2[[#This Row],[Object identification code]]&amp;" "&amp;Table2[[#This Row],[Full catalogue path]]</f>
        <v>071070-EP Leadership &amp; management &gt; Managing people</v>
      </c>
      <c r="D460" t="s">
        <v>898</v>
      </c>
      <c r="E460" t="s">
        <v>899</v>
      </c>
      <c r="F460" t="s">
        <v>21</v>
      </c>
      <c r="G460" t="s">
        <v>22</v>
      </c>
      <c r="H460">
        <v>54</v>
      </c>
      <c r="I460" s="2">
        <v>46183.375</v>
      </c>
      <c r="J460" s="2">
        <v>46183.708333333336</v>
      </c>
      <c r="K460" s="1">
        <v>46056</v>
      </c>
      <c r="L460" t="e">
        <f>VLOOKUP(Table2[[#This Row],[Helper colum]],Table1[],1,FALSE)</f>
        <v>#N/A</v>
      </c>
      <c r="M460" t="e">
        <f>VLOOKUP(Table2[[#This Row],[Column1]],#REF!,1,FALSE)</f>
        <v>#REF!</v>
      </c>
    </row>
    <row r="461" spans="1:13" ht="14.65">
      <c r="A461" t="s">
        <v>900</v>
      </c>
      <c r="B461" t="str">
        <f>Table2[[#This Row],[Object identification code]]&amp;" "&amp;Table2[[#This Row],[Full catalogue path]]&amp;" "&amp;Table2[[#This Row],[Object name]]</f>
        <v>023473-EP Leadership &amp; management &gt; Managing people Conducting Impactful Job Interviews</v>
      </c>
      <c r="C461" t="str">
        <f>Table2[[#This Row],[Object identification code]]&amp;" "&amp;Table2[[#This Row],[Full catalogue path]]</f>
        <v>023473-EP Leadership &amp; management &gt; Managing people</v>
      </c>
      <c r="D461" t="s">
        <v>898</v>
      </c>
      <c r="E461" t="s">
        <v>901</v>
      </c>
      <c r="F461" t="s">
        <v>21</v>
      </c>
      <c r="G461" t="s">
        <v>22</v>
      </c>
      <c r="H461">
        <v>43</v>
      </c>
      <c r="I461" s="2">
        <v>45638.375</v>
      </c>
      <c r="J461" s="2">
        <v>45639.520833333336</v>
      </c>
      <c r="K461" s="1">
        <v>46042</v>
      </c>
      <c r="L461" t="e">
        <f>VLOOKUP(Table2[[#This Row],[Helper colum]],Table1[],1,FALSE)</f>
        <v>#N/A</v>
      </c>
      <c r="M461" t="e">
        <f>VLOOKUP(Table2[[#This Row],[Column1]],#REF!,1,FALSE)</f>
        <v>#REF!</v>
      </c>
    </row>
    <row r="462" spans="1:13" ht="14.65">
      <c r="A462" t="s">
        <v>902</v>
      </c>
      <c r="B462" t="str">
        <f>Table2[[#This Row],[Object identification code]]&amp;" "&amp;Table2[[#This Row],[Full catalogue path]]&amp;" "&amp;Table2[[#This Row],[Object name]]</f>
        <v>057342-EP Leadership &amp; management &gt; Managing people Constructive appraisal dialogues</v>
      </c>
      <c r="C462" t="str">
        <f>Table2[[#This Row],[Object identification code]]&amp;" "&amp;Table2[[#This Row],[Full catalogue path]]</f>
        <v>057342-EP Leadership &amp; management &gt; Managing people</v>
      </c>
      <c r="D462" t="s">
        <v>898</v>
      </c>
      <c r="E462" t="s">
        <v>903</v>
      </c>
      <c r="F462" t="s">
        <v>21</v>
      </c>
      <c r="G462" t="s">
        <v>22</v>
      </c>
      <c r="H462">
        <v>1</v>
      </c>
      <c r="I462" s="2">
        <v>46079.395833333336</v>
      </c>
      <c r="J462" s="2">
        <v>46079.6875</v>
      </c>
      <c r="K462" s="1">
        <v>46053</v>
      </c>
      <c r="L462" t="e">
        <f>VLOOKUP(Table2[[#This Row],[Helper colum]],Table1[],1,FALSE)</f>
        <v>#N/A</v>
      </c>
      <c r="M462" t="e">
        <f>VLOOKUP(Table2[[#This Row],[Column1]],#REF!,1,FALSE)</f>
        <v>#REF!</v>
      </c>
    </row>
    <row r="463" spans="1:13" ht="14.65">
      <c r="A463" t="s">
        <v>904</v>
      </c>
      <c r="B463" t="str">
        <f>Table2[[#This Row],[Object identification code]]&amp;" "&amp;Table2[[#This Row],[Full catalogue path]]&amp;" "&amp;Table2[[#This Row],[Object name]]</f>
        <v>024506-EP Leadership &amp; management &gt; Managing people Constructive appraisal dialogues - online</v>
      </c>
      <c r="C463" t="str">
        <f>Table2[[#This Row],[Object identification code]]&amp;" "&amp;Table2[[#This Row],[Full catalogue path]]</f>
        <v>024506-EP Leadership &amp; management &gt; Managing people</v>
      </c>
      <c r="D463" t="s">
        <v>898</v>
      </c>
      <c r="E463" t="s">
        <v>905</v>
      </c>
      <c r="F463" t="s">
        <v>21</v>
      </c>
      <c r="G463" t="s">
        <v>22</v>
      </c>
      <c r="H463">
        <v>3</v>
      </c>
      <c r="I463" s="2">
        <v>46072.395833333336</v>
      </c>
      <c r="J463" s="2">
        <v>46072.6875</v>
      </c>
      <c r="K463" s="1">
        <v>46049</v>
      </c>
      <c r="L463" t="e">
        <f>VLOOKUP(Table2[[#This Row],[Helper colum]],Table1[],1,FALSE)</f>
        <v>#N/A</v>
      </c>
      <c r="M463" t="e">
        <f>VLOOKUP(Table2[[#This Row],[Column1]],#REF!,1,FALSE)</f>
        <v>#REF!</v>
      </c>
    </row>
    <row r="464" spans="1:13" ht="14.65">
      <c r="A464" t="s">
        <v>906</v>
      </c>
      <c r="B464" t="str">
        <f>Table2[[#This Row],[Object identification code]]&amp;" "&amp;Table2[[#This Row],[Full catalogue path]]&amp;" "&amp;Table2[[#This Row],[Object name]]</f>
        <v>071075-EP Leadership &amp; management &gt; Managing people Fostering performance as a manager</v>
      </c>
      <c r="C464" t="str">
        <f>Table2[[#This Row],[Object identification code]]&amp;" "&amp;Table2[[#This Row],[Full catalogue path]]</f>
        <v>071075-EP Leadership &amp; management &gt; Managing people</v>
      </c>
      <c r="D464" t="s">
        <v>898</v>
      </c>
      <c r="E464" t="s">
        <v>907</v>
      </c>
      <c r="F464" t="s">
        <v>21</v>
      </c>
      <c r="G464" t="s">
        <v>22</v>
      </c>
      <c r="H464">
        <v>16</v>
      </c>
      <c r="I464" s="2">
        <v>46106.375</v>
      </c>
      <c r="J464" s="2">
        <v>46106.520833333336</v>
      </c>
      <c r="K464" s="1">
        <v>46056</v>
      </c>
      <c r="L464" t="e">
        <f>VLOOKUP(Table2[[#This Row],[Helper colum]],Table1[],1,FALSE)</f>
        <v>#N/A</v>
      </c>
      <c r="M464" t="e">
        <f>VLOOKUP(Table2[[#This Row],[Column1]],#REF!,1,FALSE)</f>
        <v>#REF!</v>
      </c>
    </row>
    <row r="465" spans="1:13" ht="14.65">
      <c r="A465" t="s">
        <v>908</v>
      </c>
      <c r="B465" t="str">
        <f>Table2[[#This Row],[Object identification code]]&amp;" "&amp;Table2[[#This Row],[Full catalogue path]]&amp;" "&amp;Table2[[#This Row],[Object name]]</f>
        <v>024528-EP Leadership &amp; management &gt; Managing people How to draft staff reports and smart objectives</v>
      </c>
      <c r="C465" t="str">
        <f>Table2[[#This Row],[Object identification code]]&amp;" "&amp;Table2[[#This Row],[Full catalogue path]]</f>
        <v>024528-EP Leadership &amp; management &gt; Managing people</v>
      </c>
      <c r="D465" t="s">
        <v>898</v>
      </c>
      <c r="E465" t="s">
        <v>909</v>
      </c>
      <c r="F465" t="s">
        <v>21</v>
      </c>
      <c r="G465" t="s">
        <v>22</v>
      </c>
      <c r="H465">
        <v>10</v>
      </c>
      <c r="I465" s="2">
        <v>46056.375</v>
      </c>
      <c r="J465" s="2">
        <v>46056.520833333336</v>
      </c>
      <c r="K465" s="1">
        <v>46055</v>
      </c>
      <c r="L465" t="e">
        <f>VLOOKUP(Table2[[#This Row],[Helper colum]],Table1[],1,FALSE)</f>
        <v>#N/A</v>
      </c>
      <c r="M465" t="e">
        <f>VLOOKUP(Table2[[#This Row],[Column1]],#REF!,1,FALSE)</f>
        <v>#REF!</v>
      </c>
    </row>
    <row r="466" spans="1:13" ht="14.65">
      <c r="A466" t="s">
        <v>910</v>
      </c>
      <c r="B466" t="str">
        <f>Table2[[#This Row],[Object identification code]]&amp;" "&amp;Table2[[#This Row],[Full catalogue path]]&amp;" "&amp;Table2[[#This Row],[Object name]]</f>
        <v>070515-EP Leadership &amp; management &gt; Managing people Inclusive leadership at the European Parliament</v>
      </c>
      <c r="C466" t="str">
        <f>Table2[[#This Row],[Object identification code]]&amp;" "&amp;Table2[[#This Row],[Full catalogue path]]</f>
        <v>070515-EP Leadership &amp; management &gt; Managing people</v>
      </c>
      <c r="D466" t="s">
        <v>898</v>
      </c>
      <c r="E466" t="s">
        <v>911</v>
      </c>
      <c r="F466" t="s">
        <v>21</v>
      </c>
      <c r="G466" t="s">
        <v>22</v>
      </c>
      <c r="H466">
        <v>7</v>
      </c>
      <c r="I466" s="2">
        <v>46133.395833333336</v>
      </c>
      <c r="J466" s="2">
        <v>46133.708333333336</v>
      </c>
      <c r="K466" s="1">
        <v>46041</v>
      </c>
      <c r="L466" t="e">
        <f>VLOOKUP(Table2[[#This Row],[Helper colum]],Table1[],1,FALSE)</f>
        <v>#N/A</v>
      </c>
      <c r="M466" t="e">
        <f>VLOOKUP(Table2[[#This Row],[Column1]],#REF!,1,FALSE)</f>
        <v>#REF!</v>
      </c>
    </row>
    <row r="467" spans="1:13" ht="14.65">
      <c r="A467" t="s">
        <v>912</v>
      </c>
      <c r="B467" t="str">
        <f>Table2[[#This Row],[Object identification code]]&amp;" "&amp;Table2[[#This Row],[Full catalogue path]]&amp;" "&amp;Table2[[#This Row],[Object name]]</f>
        <v>037500-EP Leadership &amp; management &gt; Managing people Increasing team collaboration: how effective communication can help</v>
      </c>
      <c r="C467" t="str">
        <f>Table2[[#This Row],[Object identification code]]&amp;" "&amp;Table2[[#This Row],[Full catalogue path]]</f>
        <v>037500-EP Leadership &amp; management &gt; Managing people</v>
      </c>
      <c r="D467" t="s">
        <v>898</v>
      </c>
      <c r="E467" t="s">
        <v>913</v>
      </c>
      <c r="F467" t="s">
        <v>21</v>
      </c>
      <c r="G467" t="s">
        <v>22</v>
      </c>
      <c r="H467">
        <v>55</v>
      </c>
      <c r="I467" s="2">
        <v>46147.395833333336</v>
      </c>
      <c r="J467" s="2">
        <v>46147.729166666664</v>
      </c>
      <c r="K467" s="1">
        <v>46053</v>
      </c>
      <c r="L467" t="e">
        <f>VLOOKUP(Table2[[#This Row],[Helper colum]],Table1[],1,FALSE)</f>
        <v>#N/A</v>
      </c>
      <c r="M467" t="e">
        <f>VLOOKUP(Table2[[#This Row],[Column1]],#REF!,1,FALSE)</f>
        <v>#REF!</v>
      </c>
    </row>
    <row r="468" spans="1:13" ht="14.65">
      <c r="A468" t="s">
        <v>914</v>
      </c>
      <c r="B468" t="str">
        <f>Table2[[#This Row],[Object identification code]]&amp;" "&amp;Table2[[#This Row],[Full catalogue path]]&amp;" "&amp;Table2[[#This Row],[Object name]]</f>
        <v>066042-EUSA Leadership &amp; management &gt; Managing people Lead your Team - FACE-TO-FACE</v>
      </c>
      <c r="C468" t="str">
        <f>Table2[[#This Row],[Object identification code]]&amp;" "&amp;Table2[[#This Row],[Full catalogue path]]</f>
        <v>066042-EUSA Leadership &amp; management &gt; Managing people</v>
      </c>
      <c r="D468" t="s">
        <v>898</v>
      </c>
      <c r="E468" t="s">
        <v>915</v>
      </c>
      <c r="F468" t="s">
        <v>21</v>
      </c>
      <c r="G468" t="s">
        <v>22</v>
      </c>
      <c r="H468">
        <v>137</v>
      </c>
      <c r="I468" s="2">
        <v>46211.375</v>
      </c>
      <c r="J468" s="2">
        <v>46212.708333333336</v>
      </c>
      <c r="K468" s="1">
        <v>46056</v>
      </c>
      <c r="L468" t="e">
        <f>VLOOKUP(Table2[[#This Row],[Helper colum]],Table1[],1,FALSE)</f>
        <v>#N/A</v>
      </c>
      <c r="M468" t="e">
        <f>VLOOKUP(Table2[[#This Row],[Column1]],#REF!,1,FALSE)</f>
        <v>#REF!</v>
      </c>
    </row>
    <row r="469" spans="1:13" ht="14.65">
      <c r="A469" t="s">
        <v>916</v>
      </c>
      <c r="B469" t="str">
        <f>Table2[[#This Row],[Object identification code]]&amp;" "&amp;Table2[[#This Row],[Full catalogue path]]&amp;" "&amp;Table2[[#This Row],[Object name]]</f>
        <v>066043-EUSA Leadership &amp; management &gt; Managing people Lead your Team - ONLINE</v>
      </c>
      <c r="C469" t="str">
        <f>Table2[[#This Row],[Object identification code]]&amp;" "&amp;Table2[[#This Row],[Full catalogue path]]</f>
        <v>066043-EUSA Leadership &amp; management &gt; Managing people</v>
      </c>
      <c r="D469" t="s">
        <v>898</v>
      </c>
      <c r="E469" t="s">
        <v>917</v>
      </c>
      <c r="F469" t="s">
        <v>21</v>
      </c>
      <c r="G469" t="s">
        <v>22</v>
      </c>
      <c r="H469">
        <v>144</v>
      </c>
      <c r="I469" s="2">
        <v>46216.375</v>
      </c>
      <c r="J469" s="2">
        <v>46219.520833333336</v>
      </c>
      <c r="K469" s="1">
        <v>46056</v>
      </c>
      <c r="L469" t="e">
        <f>VLOOKUP(Table2[[#This Row],[Helper colum]],Table1[],1,FALSE)</f>
        <v>#N/A</v>
      </c>
      <c r="M469" t="e">
        <f>VLOOKUP(Table2[[#This Row],[Column1]],#REF!,1,FALSE)</f>
        <v>#REF!</v>
      </c>
    </row>
    <row r="470" spans="1:13" ht="14.65">
      <c r="A470" t="s">
        <v>918</v>
      </c>
      <c r="B470" t="str">
        <f>Table2[[#This Row],[Object identification code]]&amp;" "&amp;Table2[[#This Row],[Full catalogue path]]&amp;" "&amp;Table2[[#This Row],[Object name]]</f>
        <v>071103-EP Leadership &amp; management &gt; Managing people Leading with purpose</v>
      </c>
      <c r="C470" t="str">
        <f>Table2[[#This Row],[Object identification code]]&amp;" "&amp;Table2[[#This Row],[Full catalogue path]]</f>
        <v>071103-EP Leadership &amp; management &gt; Managing people</v>
      </c>
      <c r="D470" t="s">
        <v>898</v>
      </c>
      <c r="E470" t="s">
        <v>919</v>
      </c>
      <c r="F470" t="s">
        <v>21</v>
      </c>
      <c r="G470" t="s">
        <v>25</v>
      </c>
      <c r="I470" s="2">
        <v>46055.583333333336</v>
      </c>
      <c r="J470" s="2">
        <v>46057.583333333336</v>
      </c>
      <c r="K470" s="1">
        <v>46052</v>
      </c>
      <c r="L470" t="e">
        <f>VLOOKUP(Table2[[#This Row],[Helper colum]],Table1[],1,FALSE)</f>
        <v>#N/A</v>
      </c>
      <c r="M470" t="e">
        <f>VLOOKUP(Table2[[#This Row],[Column1]],#REF!,1,FALSE)</f>
        <v>#REF!</v>
      </c>
    </row>
    <row r="471" spans="1:13" ht="14.65">
      <c r="A471" t="s">
        <v>920</v>
      </c>
      <c r="B471" t="str">
        <f>Table2[[#This Row],[Object identification code]]&amp;" "&amp;Table2[[#This Row],[Full catalogue path]]&amp;" "&amp;Table2[[#This Row],[Object name]]</f>
        <v>071067-EP Leadership &amp; management &gt; Managing people Managing Multigenerational Teams: Embracing Diversity for Effective Collaboration</v>
      </c>
      <c r="C471" t="str">
        <f>Table2[[#This Row],[Object identification code]]&amp;" "&amp;Table2[[#This Row],[Full catalogue path]]</f>
        <v>071067-EP Leadership &amp; management &gt; Managing people</v>
      </c>
      <c r="D471" t="s">
        <v>898</v>
      </c>
      <c r="E471" t="s">
        <v>921</v>
      </c>
      <c r="F471" t="s">
        <v>21</v>
      </c>
      <c r="G471" t="s">
        <v>22</v>
      </c>
      <c r="H471">
        <v>13</v>
      </c>
      <c r="I471" s="2">
        <v>45841.375</v>
      </c>
      <c r="J471" s="2">
        <v>45841.708333333336</v>
      </c>
      <c r="K471" s="1">
        <v>46041</v>
      </c>
      <c r="L471" t="e">
        <f>VLOOKUP(Table2[[#This Row],[Helper colum]],Table1[],1,FALSE)</f>
        <v>#N/A</v>
      </c>
      <c r="M471" t="e">
        <f>VLOOKUP(Table2[[#This Row],[Column1]],#REF!,1,FALSE)</f>
        <v>#REF!</v>
      </c>
    </row>
    <row r="472" spans="1:13" ht="14.65">
      <c r="A472" t="s">
        <v>922</v>
      </c>
      <c r="B472" t="str">
        <f>Table2[[#This Row],[Object identification code]]&amp;" "&amp;Table2[[#This Row],[Full catalogue path]]&amp;" "&amp;Table2[[#This Row],[Object name]]</f>
        <v>024534-EP Leadership &amp; management &gt; Managing people Rules and procedures and e-Rapnot presentation</v>
      </c>
      <c r="C472" t="str">
        <f>Table2[[#This Row],[Object identification code]]&amp;" "&amp;Table2[[#This Row],[Full catalogue path]]</f>
        <v>024534-EP Leadership &amp; management &gt; Managing people</v>
      </c>
      <c r="D472" t="s">
        <v>898</v>
      </c>
      <c r="E472" t="s">
        <v>923</v>
      </c>
      <c r="F472" t="s">
        <v>21</v>
      </c>
      <c r="G472" t="s">
        <v>22</v>
      </c>
      <c r="H472">
        <v>23</v>
      </c>
      <c r="I472" s="2">
        <v>46044.395833333336</v>
      </c>
      <c r="J472" s="2">
        <v>46044.520833333336</v>
      </c>
      <c r="K472" s="1">
        <v>46047</v>
      </c>
      <c r="L472" t="e">
        <f>VLOOKUP(Table2[[#This Row],[Helper colum]],Table1[],1,FALSE)</f>
        <v>#N/A</v>
      </c>
      <c r="M472" t="e">
        <f>VLOOKUP(Table2[[#This Row],[Column1]],#REF!,1,FALSE)</f>
        <v>#REF!</v>
      </c>
    </row>
    <row r="473" spans="1:13" ht="14.65">
      <c r="A473" t="s">
        <v>924</v>
      </c>
      <c r="B473" t="str">
        <f>Table2[[#This Row],[Object identification code]]&amp;" "&amp;Table2[[#This Row],[Full catalogue path]]&amp;" "&amp;Table2[[#This Row],[Object name]]</f>
        <v>026464-EUSA Leadership &amp; management &gt; Managing relations Advanced Feedback for Managers (Online &amp; F2F)</v>
      </c>
      <c r="C473" t="str">
        <f>Table2[[#This Row],[Object identification code]]&amp;" "&amp;Table2[[#This Row],[Full catalogue path]]</f>
        <v>026464-EUSA Leadership &amp; management &gt; Managing relations</v>
      </c>
      <c r="D473" t="s">
        <v>925</v>
      </c>
      <c r="E473" t="s">
        <v>926</v>
      </c>
      <c r="F473" t="s">
        <v>21</v>
      </c>
      <c r="G473" t="s">
        <v>22</v>
      </c>
      <c r="H473">
        <v>116</v>
      </c>
      <c r="I473" s="2">
        <v>45622.375</v>
      </c>
      <c r="J473" s="2">
        <v>45632.541666666664</v>
      </c>
      <c r="K473" s="1">
        <v>46041</v>
      </c>
      <c r="L473" t="e">
        <f>VLOOKUP(Table2[[#This Row],[Helper colum]],Table1[],1,FALSE)</f>
        <v>#N/A</v>
      </c>
      <c r="M473" t="e">
        <f>VLOOKUP(Table2[[#This Row],[Column1]],#REF!,1,FALSE)</f>
        <v>#REF!</v>
      </c>
    </row>
    <row r="474" spans="1:13" ht="14.65">
      <c r="A474" t="s">
        <v>927</v>
      </c>
      <c r="B474" t="str">
        <f>Table2[[#This Row],[Object identification code]]&amp;" "&amp;Table2[[#This Row],[Full catalogue path]]&amp;" "&amp;Table2[[#This Row],[Object name]]</f>
        <v>059740-EP Leadership &amp; management &gt; Managing relations Cultivating psychological safety in your team</v>
      </c>
      <c r="C474" t="str">
        <f>Table2[[#This Row],[Object identification code]]&amp;" "&amp;Table2[[#This Row],[Full catalogue path]]</f>
        <v>059740-EP Leadership &amp; management &gt; Managing relations</v>
      </c>
      <c r="D474" t="s">
        <v>925</v>
      </c>
      <c r="E474" t="s">
        <v>928</v>
      </c>
      <c r="F474" t="s">
        <v>21</v>
      </c>
      <c r="G474" t="s">
        <v>22</v>
      </c>
      <c r="H474">
        <v>23</v>
      </c>
      <c r="I474" s="2">
        <v>46177.375</v>
      </c>
      <c r="J474" s="2">
        <v>46177.708333333336</v>
      </c>
      <c r="K474" s="1">
        <v>46053</v>
      </c>
      <c r="L474" t="e">
        <f>VLOOKUP(Table2[[#This Row],[Helper colum]],Table1[],1,FALSE)</f>
        <v>#N/A</v>
      </c>
      <c r="M474" t="e">
        <f>VLOOKUP(Table2[[#This Row],[Column1]],#REF!,1,FALSE)</f>
        <v>#REF!</v>
      </c>
    </row>
    <row r="475" spans="1:13" ht="14.65">
      <c r="A475" t="s">
        <v>929</v>
      </c>
      <c r="B475" t="str">
        <f>Table2[[#This Row],[Object identification code]]&amp;" "&amp;Table2[[#This Row],[Full catalogue path]]&amp;" "&amp;Table2[[#This Row],[Object name]]</f>
        <v>053723-EP Leadership &amp; management &gt; Managing relations Faire face à des situations relationnelles complexes grâce à un management humain et de proximité</v>
      </c>
      <c r="C475" t="str">
        <f>Table2[[#This Row],[Object identification code]]&amp;" "&amp;Table2[[#This Row],[Full catalogue path]]</f>
        <v>053723-EP Leadership &amp; management &gt; Managing relations</v>
      </c>
      <c r="D475" t="s">
        <v>925</v>
      </c>
      <c r="E475" t="s">
        <v>930</v>
      </c>
      <c r="F475" t="s">
        <v>21</v>
      </c>
      <c r="G475" t="s">
        <v>22</v>
      </c>
      <c r="H475">
        <v>70</v>
      </c>
      <c r="I475" s="2">
        <v>45399.375</v>
      </c>
      <c r="J475" s="2">
        <v>45427.520833333336</v>
      </c>
      <c r="K475" s="1">
        <v>46041</v>
      </c>
      <c r="L475" t="e">
        <f>VLOOKUP(Table2[[#This Row],[Helper colum]],Table1[],1,FALSE)</f>
        <v>#N/A</v>
      </c>
      <c r="M475" t="e">
        <f>VLOOKUP(Table2[[#This Row],[Column1]],#REF!,1,FALSE)</f>
        <v>#REF!</v>
      </c>
    </row>
    <row r="476" spans="1:13" ht="14.65">
      <c r="A476" t="s">
        <v>931</v>
      </c>
      <c r="B476" t="str">
        <f>Table2[[#This Row],[Object identification code]]&amp;" "&amp;Table2[[#This Row],[Full catalogue path]]&amp;" "&amp;Table2[[#This Row],[Object name]]</f>
        <v>053823-EP Leadership &amp; management &gt; Managing relations Fostering a positive workplace at the EP - Managing staff ethically and preventing harassment situations</v>
      </c>
      <c r="C476" t="str">
        <f>Table2[[#This Row],[Object identification code]]&amp;" "&amp;Table2[[#This Row],[Full catalogue path]]</f>
        <v>053823-EP Leadership &amp; management &gt; Managing relations</v>
      </c>
      <c r="D476" t="s">
        <v>925</v>
      </c>
      <c r="E476" t="s">
        <v>932</v>
      </c>
      <c r="F476" t="s">
        <v>21</v>
      </c>
      <c r="G476" t="s">
        <v>22</v>
      </c>
      <c r="H476">
        <v>25</v>
      </c>
      <c r="I476" s="2">
        <v>46132.385416666664</v>
      </c>
      <c r="J476" s="2">
        <v>46132.729166666664</v>
      </c>
      <c r="K476" s="1">
        <v>46055</v>
      </c>
      <c r="L476" t="e">
        <f>VLOOKUP(Table2[[#This Row],[Helper colum]],Table1[],1,FALSE)</f>
        <v>#N/A</v>
      </c>
      <c r="M476" t="e">
        <f>VLOOKUP(Table2[[#This Row],[Column1]],#REF!,1,FALSE)</f>
        <v>#REF!</v>
      </c>
    </row>
    <row r="477" spans="1:13" ht="14.65">
      <c r="A477" t="s">
        <v>933</v>
      </c>
      <c r="B477" t="str">
        <f>Table2[[#This Row],[Object identification code]]&amp;" "&amp;Table2[[#This Row],[Full catalogue path]]&amp;" "&amp;Table2[[#This Row],[Object name]]</f>
        <v>071398-EP Leadership &amp; management &gt; Managing relations Negotiate with impact: influence, resolve, win</v>
      </c>
      <c r="C477" t="str">
        <f>Table2[[#This Row],[Object identification code]]&amp;" "&amp;Table2[[#This Row],[Full catalogue path]]</f>
        <v>071398-EP Leadership &amp; management &gt; Managing relations</v>
      </c>
      <c r="D477" t="s">
        <v>925</v>
      </c>
      <c r="E477" t="s">
        <v>934</v>
      </c>
      <c r="F477" t="s">
        <v>21</v>
      </c>
      <c r="G477" t="s">
        <v>22</v>
      </c>
      <c r="H477">
        <v>10</v>
      </c>
      <c r="I477" s="2">
        <v>46078.395833333336</v>
      </c>
      <c r="J477" s="2">
        <v>46079.729166666664</v>
      </c>
      <c r="K477" s="1">
        <v>46051</v>
      </c>
      <c r="L477" t="e">
        <f>VLOOKUP(Table2[[#This Row],[Helper colum]],Table1[],1,FALSE)</f>
        <v>#N/A</v>
      </c>
      <c r="M477" t="e">
        <f>VLOOKUP(Table2[[#This Row],[Column1]],#REF!,1,FALSE)</f>
        <v>#REF!</v>
      </c>
    </row>
    <row r="478" spans="1:13" ht="14.65">
      <c r="A478" t="s">
        <v>935</v>
      </c>
      <c r="B478" t="str">
        <f>Table2[[#This Row],[Object identification code]]&amp;" "&amp;Table2[[#This Row],[Full catalogue path]]&amp;" "&amp;Table2[[#This Row],[Object name]]</f>
        <v>070180-EP Leadership &amp; management &gt; Managing self Cultivating sustainable motivation</v>
      </c>
      <c r="C478" t="str">
        <f>Table2[[#This Row],[Object identification code]]&amp;" "&amp;Table2[[#This Row],[Full catalogue path]]</f>
        <v>070180-EP Leadership &amp; management &gt; Managing self</v>
      </c>
      <c r="D478" t="s">
        <v>936</v>
      </c>
      <c r="E478" t="s">
        <v>937</v>
      </c>
      <c r="F478" t="s">
        <v>21</v>
      </c>
      <c r="G478" t="s">
        <v>22</v>
      </c>
      <c r="H478">
        <v>9</v>
      </c>
      <c r="I478" s="2">
        <v>45992.395833333336</v>
      </c>
      <c r="J478" s="2">
        <v>45993.708333333336</v>
      </c>
      <c r="K478" s="1">
        <v>46049</v>
      </c>
      <c r="L478" t="e">
        <f>VLOOKUP(Table2[[#This Row],[Helper colum]],Table1[],1,FALSE)</f>
        <v>#N/A</v>
      </c>
      <c r="M478" t="e">
        <f>VLOOKUP(Table2[[#This Row],[Column1]],#REF!,1,FALSE)</f>
        <v>#REF!</v>
      </c>
    </row>
    <row r="479" spans="1:13" ht="14.65">
      <c r="A479" t="s">
        <v>71</v>
      </c>
      <c r="B479" t="str">
        <f>Table2[[#This Row],[Object identification code]]&amp;" "&amp;Table2[[#This Row],[Full catalogue path]]&amp;" "&amp;Table2[[#This Row],[Object name]]</f>
        <v>058606-EP Leadership &amp; management &gt; Managing self Individual external coaching</v>
      </c>
      <c r="C479" t="str">
        <f>Table2[[#This Row],[Object identification code]]&amp;" "&amp;Table2[[#This Row],[Full catalogue path]]</f>
        <v>058606-EP Leadership &amp; management &gt; Managing self</v>
      </c>
      <c r="D479" t="s">
        <v>936</v>
      </c>
      <c r="E479" t="s">
        <v>73</v>
      </c>
      <c r="F479" t="s">
        <v>21</v>
      </c>
      <c r="G479" t="s">
        <v>22</v>
      </c>
      <c r="H479">
        <v>30</v>
      </c>
      <c r="I479" s="2">
        <v>46023.333333333336</v>
      </c>
      <c r="J479" s="2">
        <v>46387.75</v>
      </c>
      <c r="K479" s="1">
        <v>46056</v>
      </c>
      <c r="L479" t="e">
        <f>VLOOKUP(Table2[[#This Row],[Helper colum]],Table1[],1,FALSE)</f>
        <v>#N/A</v>
      </c>
      <c r="M479" t="e">
        <f>VLOOKUP(Table2[[#This Row],[Column1]],#REF!,1,FALSE)</f>
        <v>#REF!</v>
      </c>
    </row>
    <row r="480" spans="1:13" ht="14.65">
      <c r="A480" t="s">
        <v>34</v>
      </c>
      <c r="B480" t="str">
        <f>Table2[[#This Row],[Object identification code]]&amp;" "&amp;Table2[[#This Row],[Full catalogue path]]&amp;" "&amp;Table2[[#This Row],[Object name]]</f>
        <v>057000-EP Leadership &amp; management &gt; Managing self Individual internal coaching</v>
      </c>
      <c r="C480" t="str">
        <f>Table2[[#This Row],[Object identification code]]&amp;" "&amp;Table2[[#This Row],[Full catalogue path]]</f>
        <v>057000-EP Leadership &amp; management &gt; Managing self</v>
      </c>
      <c r="D480" t="s">
        <v>936</v>
      </c>
      <c r="E480" t="s">
        <v>35</v>
      </c>
      <c r="F480" t="s">
        <v>21</v>
      </c>
      <c r="G480" t="s">
        <v>22</v>
      </c>
      <c r="H480">
        <v>58</v>
      </c>
      <c r="I480" s="2">
        <v>46027.333333333336</v>
      </c>
      <c r="J480" s="2">
        <v>46387.75</v>
      </c>
      <c r="K480" s="1">
        <v>46055</v>
      </c>
      <c r="L480" t="e">
        <f>VLOOKUP(Table2[[#This Row],[Helper colum]],Table1[],1,FALSE)</f>
        <v>#N/A</v>
      </c>
      <c r="M480" t="e">
        <f>VLOOKUP(Table2[[#This Row],[Column1]],#REF!,1,FALSE)</f>
        <v>#REF!</v>
      </c>
    </row>
    <row r="481" spans="1:13" ht="14.65">
      <c r="A481" t="s">
        <v>938</v>
      </c>
      <c r="B481" t="str">
        <f>Table2[[#This Row],[Object identification code]]&amp;" "&amp;Table2[[#This Row],[Full catalogue path]]&amp;" "&amp;Table2[[#This Row],[Object name]]</f>
        <v>072349-EP Leadership &amp; management &gt; Managing self Leading without the title: developing your leadership influence</v>
      </c>
      <c r="C481" t="str">
        <f>Table2[[#This Row],[Object identification code]]&amp;" "&amp;Table2[[#This Row],[Full catalogue path]]</f>
        <v>072349-EP Leadership &amp; management &gt; Managing self</v>
      </c>
      <c r="D481" t="s">
        <v>936</v>
      </c>
      <c r="E481" t="s">
        <v>939</v>
      </c>
      <c r="F481" t="s">
        <v>21</v>
      </c>
      <c r="G481" t="s">
        <v>22</v>
      </c>
      <c r="H481">
        <v>12</v>
      </c>
      <c r="I481" s="2">
        <v>45978.583333333336</v>
      </c>
      <c r="J481" s="2">
        <v>45980.520833333336</v>
      </c>
      <c r="K481" s="1">
        <v>46044</v>
      </c>
      <c r="L481" t="e">
        <f>VLOOKUP(Table2[[#This Row],[Helper colum]],Table1[],1,FALSE)</f>
        <v>#N/A</v>
      </c>
      <c r="M481" t="e">
        <f>VLOOKUP(Table2[[#This Row],[Column1]],#REF!,1,FALSE)</f>
        <v>#REF!</v>
      </c>
    </row>
    <row r="482" spans="1:13" ht="14.65">
      <c r="A482" t="s">
        <v>940</v>
      </c>
      <c r="B482" t="str">
        <f>Table2[[#This Row],[Object identification code]]&amp;" "&amp;Table2[[#This Row],[Full catalogue path]]&amp;" "&amp;Table2[[#This Row],[Object name]]</f>
        <v>071466-EP Leadership &amp; management &gt; Managing tasks Info-session: HR rules and policies for new Heads of Units</v>
      </c>
      <c r="C482" t="str">
        <f>Table2[[#This Row],[Object identification code]]&amp;" "&amp;Table2[[#This Row],[Full catalogue path]]</f>
        <v>071466-EP Leadership &amp; management &gt; Managing tasks</v>
      </c>
      <c r="D482" t="s">
        <v>941</v>
      </c>
      <c r="E482" t="s">
        <v>942</v>
      </c>
      <c r="F482" t="s">
        <v>21</v>
      </c>
      <c r="G482" t="s">
        <v>22</v>
      </c>
      <c r="H482">
        <v>6</v>
      </c>
      <c r="I482" s="2">
        <v>46002.395833333336</v>
      </c>
      <c r="J482" s="2">
        <v>46002.520833333336</v>
      </c>
      <c r="K482" s="1">
        <v>46056</v>
      </c>
      <c r="L482" t="e">
        <f>VLOOKUP(Table2[[#This Row],[Helper colum]],Table1[],1,FALSE)</f>
        <v>#N/A</v>
      </c>
      <c r="M482" t="e">
        <f>VLOOKUP(Table2[[#This Row],[Column1]],#REF!,1,FALSE)</f>
        <v>#REF!</v>
      </c>
    </row>
    <row r="483" spans="1:13" ht="14.65">
      <c r="A483" t="s">
        <v>943</v>
      </c>
      <c r="B483" t="str">
        <f>Table2[[#This Row],[Object identification code]]&amp;" "&amp;Table2[[#This Row],[Full catalogue path]]&amp;" "&amp;Table2[[#This Row],[Object name]]</f>
        <v>EP_003759 MEP &amp; APA training APA - Training programme</v>
      </c>
      <c r="C483" t="str">
        <f>Table2[[#This Row],[Object identification code]]&amp;" "&amp;Table2[[#This Row],[Full catalogue path]]</f>
        <v>EP_003759 MEP &amp; APA training</v>
      </c>
      <c r="D483" t="s">
        <v>944</v>
      </c>
      <c r="E483" t="s">
        <v>945</v>
      </c>
      <c r="F483" t="s">
        <v>38</v>
      </c>
      <c r="K483" s="1">
        <v>46036</v>
      </c>
      <c r="L483" t="e">
        <f>VLOOKUP(Table2[[#This Row],[Helper colum]],Table1[],1,FALSE)</f>
        <v>#N/A</v>
      </c>
      <c r="M483" t="e">
        <f>VLOOKUP(Table2[[#This Row],[Column1]],#REF!,1,FALSE)</f>
        <v>#REF!</v>
      </c>
    </row>
    <row r="484" spans="1:13" ht="14.65">
      <c r="A484" t="s">
        <v>13</v>
      </c>
      <c r="B484" t="str">
        <f>Table2[[#This Row],[Object identification code]]&amp;" "&amp;Table2[[#This Row],[Full catalogue path]]&amp;" "&amp;Table2[[#This Row],[Object name]]</f>
        <v>063081-EP-0006-EN-GB MEP &amp; APA training APA Induction: Mandatory online course</v>
      </c>
      <c r="C484" t="str">
        <f>Table2[[#This Row],[Object identification code]]&amp;" "&amp;Table2[[#This Row],[Full catalogue path]]</f>
        <v>063081-EP-0006-EN-GB MEP &amp; APA training</v>
      </c>
      <c r="D484" t="s">
        <v>944</v>
      </c>
      <c r="E484" t="s">
        <v>15</v>
      </c>
      <c r="F484" t="s">
        <v>16</v>
      </c>
      <c r="I484" t="s">
        <v>17</v>
      </c>
      <c r="K484" s="1">
        <v>46056</v>
      </c>
      <c r="L484" t="e">
        <f>VLOOKUP(Table2[[#This Row],[Helper colum]],Table1[],1,FALSE)</f>
        <v>#N/A</v>
      </c>
      <c r="M484" t="e">
        <f>VLOOKUP(Table2[[#This Row],[Column1]],#REF!,1,FALSE)</f>
        <v>#REF!</v>
      </c>
    </row>
    <row r="485" spans="1:13" ht="14.65">
      <c r="B485" t="str">
        <f>Table2[[#This Row],[Object identification code]]&amp;" "&amp;Table2[[#This Row],[Full catalogue path]]&amp;" "&amp;Table2[[#This Row],[Object name]]</f>
        <v xml:space="preserve"> MEP &amp; APA training Catalogue of courses for MEPs</v>
      </c>
      <c r="C485" t="str">
        <f>Table2[[#This Row],[Object identification code]]&amp;" "&amp;Table2[[#This Row],[Full catalogue path]]</f>
        <v xml:space="preserve"> MEP &amp; APA training</v>
      </c>
      <c r="D485" t="s">
        <v>944</v>
      </c>
      <c r="E485" t="s">
        <v>946</v>
      </c>
      <c r="F485" t="s">
        <v>76</v>
      </c>
      <c r="L485" t="e">
        <f>VLOOKUP(Table2[[#This Row],[Helper colum]],Table1[],1,FALSE)</f>
        <v>#N/A</v>
      </c>
      <c r="M485" t="e">
        <f>VLOOKUP(Table2[[#This Row],[Column1]],#REF!,1,FALSE)</f>
        <v>#REF!</v>
      </c>
    </row>
    <row r="486" spans="1:13" ht="14.65">
      <c r="A486" t="s">
        <v>947</v>
      </c>
      <c r="B486" t="str">
        <f>Table2[[#This Row],[Object identification code]]&amp;" "&amp;Table2[[#This Row],[Full catalogue path]]&amp;" "&amp;Table2[[#This Row],[Object name]]</f>
        <v>070826-EP MEP &amp; APA training International trade negotiations – an overview for APAs – the process, the EP's role and the follow up</v>
      </c>
      <c r="C486" t="str">
        <f>Table2[[#This Row],[Object identification code]]&amp;" "&amp;Table2[[#This Row],[Full catalogue path]]</f>
        <v>070826-EP MEP &amp; APA training</v>
      </c>
      <c r="D486" t="s">
        <v>944</v>
      </c>
      <c r="E486" t="s">
        <v>948</v>
      </c>
      <c r="F486" t="s">
        <v>21</v>
      </c>
      <c r="G486" t="s">
        <v>22</v>
      </c>
      <c r="H486">
        <v>22</v>
      </c>
      <c r="I486" s="2">
        <v>45800.416666666664</v>
      </c>
      <c r="J486" s="2">
        <v>45800.5</v>
      </c>
      <c r="K486" s="1">
        <v>46049</v>
      </c>
      <c r="L486" t="e">
        <f>VLOOKUP(Table2[[#This Row],[Helper colum]],Table1[],1,FALSE)</f>
        <v>#N/A</v>
      </c>
      <c r="M486" t="e">
        <f>VLOOKUP(Table2[[#This Row],[Column1]],#REF!,1,FALSE)</f>
        <v>#REF!</v>
      </c>
    </row>
    <row r="487" spans="1:13" ht="14.65">
      <c r="A487" t="s">
        <v>949</v>
      </c>
      <c r="B487" t="str">
        <f>Table2[[#This Row],[Object identification code]]&amp;" "&amp;Table2[[#This Row],[Full catalogue path]]&amp;" "&amp;Table2[[#This Row],[Object name]]</f>
        <v>070008-EP-0001-EN-GB Newcomers &amp; mandatory courses 3 hemicycles on Kirchberg</v>
      </c>
      <c r="C487" t="str">
        <f>Table2[[#This Row],[Object identification code]]&amp;" "&amp;Table2[[#This Row],[Full catalogue path]]</f>
        <v>070008-EP-0001-EN-GB Newcomers &amp; mandatory courses</v>
      </c>
      <c r="D487" t="s">
        <v>950</v>
      </c>
      <c r="E487" t="s">
        <v>951</v>
      </c>
      <c r="F487" t="s">
        <v>16</v>
      </c>
      <c r="I487" t="s">
        <v>17</v>
      </c>
      <c r="K487" s="1">
        <v>46042</v>
      </c>
      <c r="L487" t="e">
        <f>VLOOKUP(Table2[[#This Row],[Helper colum]],Table1[],1,FALSE)</f>
        <v>#N/A</v>
      </c>
      <c r="M487" t="e">
        <f>VLOOKUP(Table2[[#This Row],[Column1]],#REF!,1,FALSE)</f>
        <v>#REF!</v>
      </c>
    </row>
    <row r="488" spans="1:13" ht="14.65">
      <c r="A488" t="s">
        <v>952</v>
      </c>
      <c r="B488" t="str">
        <f>Table2[[#This Row],[Object identification code]]&amp;" "&amp;Table2[[#This Row],[Full catalogue path]]&amp;" "&amp;Table2[[#This Row],[Object name]]</f>
        <v>070669-EP Newcomers &amp; mandatory courses 3 hemicycles on Kirchberg: A guided tour of European Parliament history in Luxembourg</v>
      </c>
      <c r="C488" t="str">
        <f>Table2[[#This Row],[Object identification code]]&amp;" "&amp;Table2[[#This Row],[Full catalogue path]]</f>
        <v>070669-EP Newcomers &amp; mandatory courses</v>
      </c>
      <c r="D488" t="s">
        <v>950</v>
      </c>
      <c r="E488" t="s">
        <v>953</v>
      </c>
      <c r="F488" t="s">
        <v>21</v>
      </c>
      <c r="G488" t="s">
        <v>22</v>
      </c>
      <c r="H488">
        <v>12</v>
      </c>
      <c r="I488" s="2">
        <v>45832.625</v>
      </c>
      <c r="J488" s="2">
        <v>45832.6875</v>
      </c>
      <c r="K488" s="1">
        <v>46051</v>
      </c>
      <c r="L488" t="e">
        <f>VLOOKUP(Table2[[#This Row],[Helper colum]],Table1[],1,FALSE)</f>
        <v>#N/A</v>
      </c>
      <c r="M488" t="e">
        <f>VLOOKUP(Table2[[#This Row],[Column1]],#REF!,1,FALSE)</f>
        <v>#REF!</v>
      </c>
    </row>
    <row r="489" spans="1:13" ht="14.65">
      <c r="A489" t="s">
        <v>943</v>
      </c>
      <c r="B489" t="str">
        <f>Table2[[#This Row],[Object identification code]]&amp;" "&amp;Table2[[#This Row],[Full catalogue path]]&amp;" "&amp;Table2[[#This Row],[Object name]]</f>
        <v>EP_003759 Newcomers &amp; mandatory courses APA - Training programme</v>
      </c>
      <c r="C489" t="str">
        <f>Table2[[#This Row],[Object identification code]]&amp;" "&amp;Table2[[#This Row],[Full catalogue path]]</f>
        <v>EP_003759 Newcomers &amp; mandatory courses</v>
      </c>
      <c r="D489" t="s">
        <v>950</v>
      </c>
      <c r="E489" t="s">
        <v>945</v>
      </c>
      <c r="F489" t="s">
        <v>38</v>
      </c>
      <c r="K489" s="1">
        <v>46036</v>
      </c>
      <c r="L489" t="e">
        <f>VLOOKUP(Table2[[#This Row],[Helper colum]],Table1[],1,FALSE)</f>
        <v>#N/A</v>
      </c>
      <c r="M489" t="e">
        <f>VLOOKUP(Table2[[#This Row],[Column1]],#REF!,1,FALSE)</f>
        <v>#REF!</v>
      </c>
    </row>
    <row r="490" spans="1:13" ht="14.65">
      <c r="A490" t="s">
        <v>954</v>
      </c>
      <c r="B490" t="str">
        <f>Table2[[#This Row],[Object identification code]]&amp;" "&amp;Table2[[#This Row],[Full catalogue path]]&amp;" "&amp;Table2[[#This Row],[Object name]]</f>
        <v xml:space="preserve">070223-EP Newcomers &amp; mandatory courses Buildings, People &amp; Power: Tour of the European Parliament in Brussels </v>
      </c>
      <c r="C490" t="str">
        <f>Table2[[#This Row],[Object identification code]]&amp;" "&amp;Table2[[#This Row],[Full catalogue path]]</f>
        <v>070223-EP Newcomers &amp; mandatory courses</v>
      </c>
      <c r="D490" t="s">
        <v>950</v>
      </c>
      <c r="E490" t="s">
        <v>955</v>
      </c>
      <c r="F490" t="s">
        <v>21</v>
      </c>
      <c r="G490" t="s">
        <v>22</v>
      </c>
      <c r="H490">
        <v>32</v>
      </c>
      <c r="I490" s="2">
        <v>45958.447916666664</v>
      </c>
      <c r="J490" s="2">
        <v>45958.510416666664</v>
      </c>
      <c r="K490" s="1">
        <v>46056</v>
      </c>
      <c r="L490" t="e">
        <f>VLOOKUP(Table2[[#This Row],[Helper colum]],Table1[],1,FALSE)</f>
        <v>#N/A</v>
      </c>
      <c r="M490" t="e">
        <f>VLOOKUP(Table2[[#This Row],[Column1]],#REF!,1,FALSE)</f>
        <v>#REF!</v>
      </c>
    </row>
    <row r="491" spans="1:13" ht="14.65">
      <c r="A491" t="s">
        <v>956</v>
      </c>
      <c r="B491" t="str">
        <f>Table2[[#This Row],[Object identification code]]&amp;" "&amp;Table2[[#This Row],[Full catalogue path]]&amp;" "&amp;Table2[[#This Row],[Object name]]</f>
        <v xml:space="preserve">070511-EP Newcomers &amp; mandatory courses Corridors, Chambers and Stories: Tour of the European Parliament in Brussels </v>
      </c>
      <c r="C491" t="str">
        <f>Table2[[#This Row],[Object identification code]]&amp;" "&amp;Table2[[#This Row],[Full catalogue path]]</f>
        <v>070511-EP Newcomers &amp; mandatory courses</v>
      </c>
      <c r="D491" t="s">
        <v>950</v>
      </c>
      <c r="E491" t="s">
        <v>957</v>
      </c>
      <c r="F491" t="s">
        <v>21</v>
      </c>
      <c r="G491" t="s">
        <v>22</v>
      </c>
      <c r="H491">
        <v>8</v>
      </c>
      <c r="I491" s="2">
        <v>46080.458333333336</v>
      </c>
      <c r="J491" s="2">
        <v>46080.520833333336</v>
      </c>
      <c r="K491" s="1">
        <v>46050</v>
      </c>
      <c r="L491" t="e">
        <f>VLOOKUP(Table2[[#This Row],[Helper colum]],Table1[],1,FALSE)</f>
        <v>#N/A</v>
      </c>
      <c r="M491" t="e">
        <f>VLOOKUP(Table2[[#This Row],[Column1]],#REF!,1,FALSE)</f>
        <v>#REF!</v>
      </c>
    </row>
    <row r="492" spans="1:13" ht="14.65">
      <c r="A492" t="s">
        <v>958</v>
      </c>
      <c r="B492" t="str">
        <f>Table2[[#This Row],[Object identification code]]&amp;" "&amp;Table2[[#This Row],[Full catalogue path]]&amp;" "&amp;Table2[[#This Row],[Object name]]</f>
        <v>071127-EP Newcomers &amp; mandatory courses European Parliament's Induction Programme</v>
      </c>
      <c r="C492" t="str">
        <f>Table2[[#This Row],[Object identification code]]&amp;" "&amp;Table2[[#This Row],[Full catalogue path]]</f>
        <v>071127-EP Newcomers &amp; mandatory courses</v>
      </c>
      <c r="D492" t="s">
        <v>950</v>
      </c>
      <c r="E492" t="s">
        <v>959</v>
      </c>
      <c r="F492" t="s">
        <v>21</v>
      </c>
      <c r="G492" t="s">
        <v>22</v>
      </c>
      <c r="H492">
        <v>28</v>
      </c>
      <c r="I492" s="2">
        <v>46076.354166666664</v>
      </c>
      <c r="J492" s="2">
        <v>46078.729166666664</v>
      </c>
      <c r="K492" s="1">
        <v>46056</v>
      </c>
      <c r="L492" t="e">
        <f>VLOOKUP(Table2[[#This Row],[Helper colum]],Table1[],1,FALSE)</f>
        <v>#N/A</v>
      </c>
      <c r="M492" t="e">
        <f>VLOOKUP(Table2[[#This Row],[Column1]],#REF!,1,FALSE)</f>
        <v>#REF!</v>
      </c>
    </row>
    <row r="493" spans="1:13" ht="14.65">
      <c r="A493" t="s">
        <v>960</v>
      </c>
      <c r="B493" t="str">
        <f>Table2[[#This Row],[Object identification code]]&amp;" "&amp;Table2[[#This Row],[Full catalogue path]]&amp;" "&amp;Table2[[#This Row],[Object name]]</f>
        <v>028361-EP Newcomers &amp; mandatory courses Explore the buildings of the European Parliament in Strasbourg</v>
      </c>
      <c r="C493" t="str">
        <f>Table2[[#This Row],[Object identification code]]&amp;" "&amp;Table2[[#This Row],[Full catalogue path]]</f>
        <v>028361-EP Newcomers &amp; mandatory courses</v>
      </c>
      <c r="D493" t="s">
        <v>950</v>
      </c>
      <c r="E493" t="s">
        <v>961</v>
      </c>
      <c r="F493" t="s">
        <v>21</v>
      </c>
      <c r="G493" t="s">
        <v>22</v>
      </c>
      <c r="H493">
        <v>12</v>
      </c>
      <c r="I493" s="2">
        <v>46139.625</v>
      </c>
      <c r="J493" s="2">
        <v>46139.6875</v>
      </c>
      <c r="K493" s="1">
        <v>46051</v>
      </c>
      <c r="L493" t="e">
        <f>VLOOKUP(Table2[[#This Row],[Helper colum]],Table1[],1,FALSE)</f>
        <v>#N/A</v>
      </c>
      <c r="M493" t="e">
        <f>VLOOKUP(Table2[[#This Row],[Column1]],#REF!,1,FALSE)</f>
        <v>#REF!</v>
      </c>
    </row>
    <row r="494" spans="1:13" ht="14.65">
      <c r="A494" t="s">
        <v>962</v>
      </c>
      <c r="B494" t="str">
        <f>Table2[[#This Row],[Object identification code]]&amp;" "&amp;Table2[[#This Row],[Full catalogue path]]&amp;" "&amp;Table2[[#This Row],[Object name]]</f>
        <v>EP_002539 Newcomers &amp; mandatory courses Newcomers Learning Pack</v>
      </c>
      <c r="C494" t="str">
        <f>Table2[[#This Row],[Object identification code]]&amp;" "&amp;Table2[[#This Row],[Full catalogue path]]</f>
        <v>EP_002539 Newcomers &amp; mandatory courses</v>
      </c>
      <c r="D494" t="s">
        <v>950</v>
      </c>
      <c r="E494" t="s">
        <v>963</v>
      </c>
      <c r="F494" t="s">
        <v>38</v>
      </c>
      <c r="K494" s="1">
        <v>46056</v>
      </c>
      <c r="L494" t="e">
        <f>VLOOKUP(Table2[[#This Row],[Helper colum]],Table1[],1,FALSE)</f>
        <v>#N/A</v>
      </c>
      <c r="M494" t="e">
        <f>VLOOKUP(Table2[[#This Row],[Column1]],#REF!,1,FALSE)</f>
        <v>#REF!</v>
      </c>
    </row>
    <row r="495" spans="1:13" ht="14.65">
      <c r="A495" t="s">
        <v>964</v>
      </c>
      <c r="B495" t="str">
        <f>Table2[[#This Row],[Object identification code]]&amp;" "&amp;Table2[[#This Row],[Full catalogue path]]&amp;" "&amp;Table2[[#This Row],[Object name]]</f>
        <v>030180-EP Newcomers &amp; mandatory courses Representation - 16 stories of women in the European Parliament</v>
      </c>
      <c r="C495" t="str">
        <f>Table2[[#This Row],[Object identification code]]&amp;" "&amp;Table2[[#This Row],[Full catalogue path]]</f>
        <v>030180-EP Newcomers &amp; mandatory courses</v>
      </c>
      <c r="D495" t="s">
        <v>950</v>
      </c>
      <c r="E495" t="s">
        <v>965</v>
      </c>
      <c r="F495" t="s">
        <v>21</v>
      </c>
      <c r="G495" t="s">
        <v>22</v>
      </c>
      <c r="H495">
        <v>26</v>
      </c>
      <c r="I495" s="2">
        <v>46195.604166666664</v>
      </c>
      <c r="J495" s="2">
        <v>46195.739583333336</v>
      </c>
      <c r="K495" s="1">
        <v>46055</v>
      </c>
      <c r="L495" t="e">
        <f>VLOOKUP(Table2[[#This Row],[Helper colum]],Table1[],1,FALSE)</f>
        <v>#N/A</v>
      </c>
      <c r="M495" t="e">
        <f>VLOOKUP(Table2[[#This Row],[Column1]],#REF!,1,FALSE)</f>
        <v>#REF!</v>
      </c>
    </row>
    <row r="496" spans="1:13" ht="14.65">
      <c r="A496" t="s">
        <v>557</v>
      </c>
      <c r="B496" t="str">
        <f>Table2[[#This Row],[Object identification code]]&amp;" "&amp;Table2[[#This Row],[Full catalogue path]]&amp;" "&amp;Table2[[#This Row],[Object name]]</f>
        <v>054231-EP Newcomers &amp; mandatory courses Ten things you need to know about the European Parliament</v>
      </c>
      <c r="C496" t="str">
        <f>Table2[[#This Row],[Object identification code]]&amp;" "&amp;Table2[[#This Row],[Full catalogue path]]</f>
        <v>054231-EP Newcomers &amp; mandatory courses</v>
      </c>
      <c r="D496" t="s">
        <v>950</v>
      </c>
      <c r="E496" t="s">
        <v>558</v>
      </c>
      <c r="F496" t="s">
        <v>21</v>
      </c>
      <c r="G496" t="s">
        <v>22</v>
      </c>
      <c r="H496">
        <v>55</v>
      </c>
      <c r="I496" s="2">
        <v>46126.5625</v>
      </c>
      <c r="J496" s="2">
        <v>46126.708333333336</v>
      </c>
      <c r="K496" s="1">
        <v>46056</v>
      </c>
      <c r="L496" t="e">
        <f>VLOOKUP(Table2[[#This Row],[Helper colum]],Table1[],1,FALSE)</f>
        <v>#N/A</v>
      </c>
      <c r="M496" t="e">
        <f>VLOOKUP(Table2[[#This Row],[Column1]],#REF!,1,FALSE)</f>
        <v>#REF!</v>
      </c>
    </row>
    <row r="497" spans="1:13" ht="14.65">
      <c r="A497" t="s">
        <v>966</v>
      </c>
      <c r="B497" t="str">
        <f>Table2[[#This Row],[Object identification code]]&amp;" "&amp;Table2[[#This Row],[Full catalogue path]]&amp;" "&amp;Table2[[#This Row],[Object name]]</f>
        <v>049492-EP Newcomers &amp; mandatory courses The Louise Weiss building of the European Parliament in Strasbourg</v>
      </c>
      <c r="C497" t="str">
        <f>Table2[[#This Row],[Object identification code]]&amp;" "&amp;Table2[[#This Row],[Full catalogue path]]</f>
        <v>049492-EP Newcomers &amp; mandatory courses</v>
      </c>
      <c r="D497" t="s">
        <v>950</v>
      </c>
      <c r="E497" t="s">
        <v>967</v>
      </c>
      <c r="F497" t="s">
        <v>21</v>
      </c>
      <c r="G497" t="s">
        <v>22</v>
      </c>
      <c r="H497">
        <v>18</v>
      </c>
      <c r="I497" s="2">
        <v>46141.5</v>
      </c>
      <c r="J497" s="2">
        <v>46141.5625</v>
      </c>
      <c r="K497" s="1">
        <v>46056</v>
      </c>
      <c r="L497" t="e">
        <f>VLOOKUP(Table2[[#This Row],[Helper colum]],Table1[],1,FALSE)</f>
        <v>#N/A</v>
      </c>
      <c r="M497" t="e">
        <f>VLOOKUP(Table2[[#This Row],[Column1]],#REF!,1,FALSE)</f>
        <v>#REF!</v>
      </c>
    </row>
    <row r="498" spans="1:13" ht="14.65">
      <c r="A498" t="s">
        <v>968</v>
      </c>
      <c r="B498" t="str">
        <f>Table2[[#This Row],[Object identification code]]&amp;" "&amp;Table2[[#This Row],[Full catalogue path]]&amp;" "&amp;Table2[[#This Row],[Object name]]</f>
        <v>EP_003721 Onboarding learning paths &gt; ADM Onboarding path for Human resources assistant</v>
      </c>
      <c r="C498" t="str">
        <f>Table2[[#This Row],[Object identification code]]&amp;" "&amp;Table2[[#This Row],[Full catalogue path]]</f>
        <v>EP_003721 Onboarding learning paths &gt; ADM</v>
      </c>
      <c r="D498" t="s">
        <v>969</v>
      </c>
      <c r="E498" t="s">
        <v>970</v>
      </c>
      <c r="F498" t="s">
        <v>38</v>
      </c>
      <c r="K498" s="1">
        <v>46044</v>
      </c>
      <c r="L498" t="e">
        <f>VLOOKUP(Table2[[#This Row],[Helper colum]],Table1[],1,FALSE)</f>
        <v>#N/A</v>
      </c>
      <c r="M498" t="e">
        <f>VLOOKUP(Table2[[#This Row],[Column1]],#REF!,1,FALSE)</f>
        <v>#REF!</v>
      </c>
    </row>
    <row r="499" spans="1:13" ht="14.65">
      <c r="A499" t="s">
        <v>971</v>
      </c>
      <c r="B499" t="str">
        <f>Table2[[#This Row],[Object identification code]]&amp;" "&amp;Table2[[#This Row],[Full catalogue path]]&amp;" "&amp;Table2[[#This Row],[Object name]]</f>
        <v>EP_003720 Onboarding learning paths &gt; ADM Onboarding path for Secretary</v>
      </c>
      <c r="C499" t="str">
        <f>Table2[[#This Row],[Object identification code]]&amp;" "&amp;Table2[[#This Row],[Full catalogue path]]</f>
        <v>EP_003720 Onboarding learning paths &gt; ADM</v>
      </c>
      <c r="D499" t="s">
        <v>969</v>
      </c>
      <c r="E499" t="s">
        <v>972</v>
      </c>
      <c r="F499" t="s">
        <v>38</v>
      </c>
      <c r="K499" s="1">
        <v>46052</v>
      </c>
      <c r="L499" t="e">
        <f>VLOOKUP(Table2[[#This Row],[Helper colum]],Table1[],1,FALSE)</f>
        <v>#N/A</v>
      </c>
      <c r="M499" t="e">
        <f>VLOOKUP(Table2[[#This Row],[Column1]],#REF!,1,FALSE)</f>
        <v>#REF!</v>
      </c>
    </row>
    <row r="500" spans="1:13" ht="14.65">
      <c r="A500" t="s">
        <v>973</v>
      </c>
      <c r="B500" t="str">
        <f>Table2[[#This Row],[Object identification code]]&amp;" "&amp;Table2[[#This Row],[Full catalogue path]]&amp;" "&amp;Table2[[#This Row],[Object name]]</f>
        <v>EP_003719 Onboarding learning paths &gt; ADM Onboarding path for Senior Clerical Officer</v>
      </c>
      <c r="C500" t="str">
        <f>Table2[[#This Row],[Object identification code]]&amp;" "&amp;Table2[[#This Row],[Full catalogue path]]</f>
        <v>EP_003719 Onboarding learning paths &gt; ADM</v>
      </c>
      <c r="D500" t="s">
        <v>969</v>
      </c>
      <c r="E500" t="s">
        <v>974</v>
      </c>
      <c r="F500" t="s">
        <v>38</v>
      </c>
      <c r="K500" s="1">
        <v>45961</v>
      </c>
      <c r="L500" t="e">
        <f>VLOOKUP(Table2[[#This Row],[Helper colum]],Table1[],1,FALSE)</f>
        <v>#N/A</v>
      </c>
      <c r="M500" t="e">
        <f>VLOOKUP(Table2[[#This Row],[Column1]],#REF!,1,FALSE)</f>
        <v>#REF!</v>
      </c>
    </row>
    <row r="501" spans="1:13" ht="14.65">
      <c r="A501" t="s">
        <v>975</v>
      </c>
      <c r="B501" t="str">
        <f>Table2[[#This Row],[Object identification code]]&amp;" "&amp;Table2[[#This Row],[Full catalogue path]]&amp;" "&amp;Table2[[#This Row],[Object name]]</f>
        <v>EP_003659 Onboarding learning paths &gt; FIN Onboarding for Financial Officer</v>
      </c>
      <c r="C501" t="str">
        <f>Table2[[#This Row],[Object identification code]]&amp;" "&amp;Table2[[#This Row],[Full catalogue path]]</f>
        <v>EP_003659 Onboarding learning paths &gt; FIN</v>
      </c>
      <c r="D501" t="s">
        <v>976</v>
      </c>
      <c r="E501" t="s">
        <v>977</v>
      </c>
      <c r="F501" t="s">
        <v>38</v>
      </c>
      <c r="K501" s="1">
        <v>46008</v>
      </c>
      <c r="L501" t="e">
        <f>VLOOKUP(Table2[[#This Row],[Helper colum]],Table1[],1,FALSE)</f>
        <v>#N/A</v>
      </c>
      <c r="M501" t="e">
        <f>VLOOKUP(Table2[[#This Row],[Column1]],#REF!,1,FALSE)</f>
        <v>#REF!</v>
      </c>
    </row>
    <row r="502" spans="1:13" ht="14.65">
      <c r="A502" t="s">
        <v>978</v>
      </c>
      <c r="B502" t="str">
        <f>Table2[[#This Row],[Object identification code]]&amp;" "&amp;Table2[[#This Row],[Full catalogue path]]&amp;" "&amp;Table2[[#This Row],[Object name]]</f>
        <v>EP_003741 Onboarding learning paths &gt; FIN Onboarding path for Financial Adminstrator</v>
      </c>
      <c r="C502" t="str">
        <f>Table2[[#This Row],[Object identification code]]&amp;" "&amp;Table2[[#This Row],[Full catalogue path]]</f>
        <v>EP_003741 Onboarding learning paths &gt; FIN</v>
      </c>
      <c r="D502" t="s">
        <v>976</v>
      </c>
      <c r="E502" t="s">
        <v>979</v>
      </c>
      <c r="F502" t="s">
        <v>38</v>
      </c>
      <c r="K502" s="1">
        <v>45975</v>
      </c>
      <c r="L502" t="e">
        <f>VLOOKUP(Table2[[#This Row],[Helper colum]],Table1[],1,FALSE)</f>
        <v>#N/A</v>
      </c>
      <c r="M502" t="e">
        <f>VLOOKUP(Table2[[#This Row],[Column1]],#REF!,1,FALSE)</f>
        <v>#REF!</v>
      </c>
    </row>
    <row r="503" spans="1:13" ht="14.65">
      <c r="A503" t="s">
        <v>980</v>
      </c>
      <c r="B503" t="str">
        <f>Table2[[#This Row],[Object identification code]]&amp;" "&amp;Table2[[#This Row],[Full catalogue path]]&amp;" "&amp;Table2[[#This Row],[Object name]]</f>
        <v>EP_003679 Onboarding learning paths &gt; INF Onboarding paths for ICT Applications Officer</v>
      </c>
      <c r="C503" t="str">
        <f>Table2[[#This Row],[Object identification code]]&amp;" "&amp;Table2[[#This Row],[Full catalogue path]]</f>
        <v>EP_003679 Onboarding learning paths &gt; INF</v>
      </c>
      <c r="D503" t="s">
        <v>981</v>
      </c>
      <c r="E503" t="s">
        <v>982</v>
      </c>
      <c r="F503" t="s">
        <v>38</v>
      </c>
      <c r="L503" t="e">
        <f>VLOOKUP(Table2[[#This Row],[Helper colum]],Table1[],1,FALSE)</f>
        <v>#N/A</v>
      </c>
      <c r="M503" t="e">
        <f>VLOOKUP(Table2[[#This Row],[Column1]],#REF!,1,FALSE)</f>
        <v>#REF!</v>
      </c>
    </row>
    <row r="504" spans="1:13" ht="14.65">
      <c r="A504" t="s">
        <v>983</v>
      </c>
      <c r="B504" t="str">
        <f>Table2[[#This Row],[Object identification code]]&amp;" "&amp;Table2[[#This Row],[Full catalogue path]]&amp;" "&amp;Table2[[#This Row],[Object name]]</f>
        <v>EP_003699 Onboarding learning paths &gt; INF Onboarding paths for ICT Engineering Specialist</v>
      </c>
      <c r="C504" t="str">
        <f>Table2[[#This Row],[Object identification code]]&amp;" "&amp;Table2[[#This Row],[Full catalogue path]]</f>
        <v>EP_003699 Onboarding learning paths &gt; INF</v>
      </c>
      <c r="D504" t="s">
        <v>981</v>
      </c>
      <c r="E504" t="s">
        <v>984</v>
      </c>
      <c r="F504" t="s">
        <v>38</v>
      </c>
      <c r="L504" t="e">
        <f>VLOOKUP(Table2[[#This Row],[Helper colum]],Table1[],1,FALSE)</f>
        <v>#N/A</v>
      </c>
      <c r="M504" t="e">
        <f>VLOOKUP(Table2[[#This Row],[Column1]],#REF!,1,FALSE)</f>
        <v>#REF!</v>
      </c>
    </row>
    <row r="505" spans="1:13" ht="14.65">
      <c r="A505" t="s">
        <v>985</v>
      </c>
      <c r="B505" t="str">
        <f>Table2[[#This Row],[Object identification code]]&amp;" "&amp;Table2[[#This Row],[Full catalogue path]]&amp;" "&amp;Table2[[#This Row],[Object name]]</f>
        <v>EP_003642 Onboarding learning paths &gt; LING Onboarding for Intercultural and Language Professional (Dir B)</v>
      </c>
      <c r="C505" t="str">
        <f>Table2[[#This Row],[Object identification code]]&amp;" "&amp;Table2[[#This Row],[Full catalogue path]]</f>
        <v>EP_003642 Onboarding learning paths &gt; LING</v>
      </c>
      <c r="D505" t="s">
        <v>986</v>
      </c>
      <c r="E505" t="s">
        <v>987</v>
      </c>
      <c r="F505" t="s">
        <v>38</v>
      </c>
      <c r="K505" s="1">
        <v>45897</v>
      </c>
      <c r="L505" t="e">
        <f>VLOOKUP(Table2[[#This Row],[Helper colum]],Table1[],1,FALSE)</f>
        <v>#N/A</v>
      </c>
      <c r="M505" t="e">
        <f>VLOOKUP(Table2[[#This Row],[Column1]],#REF!,1,FALSE)</f>
        <v>#REF!</v>
      </c>
    </row>
    <row r="506" spans="1:13" ht="14.65">
      <c r="A506" t="s">
        <v>988</v>
      </c>
      <c r="B506" t="str">
        <f>Table2[[#This Row],[Object identification code]]&amp;" "&amp;Table2[[#This Row],[Full catalogue path]]&amp;" "&amp;Table2[[#This Row],[Object name]]</f>
        <v>EP_003579 Onboarding learning paths &gt; LING Onboarding for Legal Language Professionals</v>
      </c>
      <c r="C506" t="str">
        <f>Table2[[#This Row],[Object identification code]]&amp;" "&amp;Table2[[#This Row],[Full catalogue path]]</f>
        <v>EP_003579 Onboarding learning paths &gt; LING</v>
      </c>
      <c r="D506" t="s">
        <v>986</v>
      </c>
      <c r="E506" t="s">
        <v>989</v>
      </c>
      <c r="F506" t="s">
        <v>38</v>
      </c>
      <c r="K506" s="1">
        <v>45693</v>
      </c>
      <c r="L506" t="e">
        <f>VLOOKUP(Table2[[#This Row],[Helper colum]],Table1[],1,FALSE)</f>
        <v>#N/A</v>
      </c>
      <c r="M506" t="e">
        <f>VLOOKUP(Table2[[#This Row],[Column1]],#REF!,1,FALSE)</f>
        <v>#REF!</v>
      </c>
    </row>
    <row r="507" spans="1:13" ht="14.65">
      <c r="A507" t="s">
        <v>943</v>
      </c>
      <c r="B507" t="str">
        <f>Table2[[#This Row],[Object identification code]]&amp;" "&amp;Table2[[#This Row],[Full catalogue path]]&amp;" "&amp;Table2[[#This Row],[Object name]]</f>
        <v>EP_003759 Test APA - Training programme</v>
      </c>
      <c r="C507" t="str">
        <f>Table2[[#This Row],[Object identification code]]&amp;" "&amp;Table2[[#This Row],[Full catalogue path]]</f>
        <v>EP_003759 Test</v>
      </c>
      <c r="D507" t="s">
        <v>990</v>
      </c>
      <c r="E507" t="s">
        <v>945</v>
      </c>
      <c r="F507" t="s">
        <v>38</v>
      </c>
      <c r="K507" s="1">
        <v>46036</v>
      </c>
      <c r="L507" t="e">
        <f>VLOOKUP(Table2[[#This Row],[Helper colum]],Table1[],1,FALSE)</f>
        <v>#N/A</v>
      </c>
      <c r="M507" t="e">
        <f>VLOOKUP(Table2[[#This Row],[Column1]],#REF!,1,FALSE)</f>
        <v>#REF!</v>
      </c>
    </row>
    <row r="508" spans="1:13" ht="14.65">
      <c r="A508" t="s">
        <v>991</v>
      </c>
      <c r="B508" t="str">
        <f>Table2[[#This Row],[Object identification code]]&amp;" "&amp;Table2[[#This Row],[Full catalogue path]]&amp;" "&amp;Table2[[#This Row],[Object name]]</f>
        <v>072410-EP Test Christmas course</v>
      </c>
      <c r="C508" t="str">
        <f>Table2[[#This Row],[Object identification code]]&amp;" "&amp;Table2[[#This Row],[Full catalogue path]]</f>
        <v>072410-EP Test</v>
      </c>
      <c r="D508" t="s">
        <v>990</v>
      </c>
      <c r="E508" t="s">
        <v>992</v>
      </c>
      <c r="F508" t="s">
        <v>21</v>
      </c>
      <c r="G508" t="s">
        <v>22</v>
      </c>
      <c r="H508">
        <v>0</v>
      </c>
      <c r="I508" s="2">
        <v>45986.375</v>
      </c>
      <c r="J508" s="2">
        <v>45986.458333333336</v>
      </c>
      <c r="K508" t="s">
        <v>198</v>
      </c>
      <c r="L508" t="e">
        <f>VLOOKUP(Table2[[#This Row],[Helper colum]],Table1[],1,FALSE)</f>
        <v>#N/A</v>
      </c>
      <c r="M508" t="e">
        <f>VLOOKUP(Table2[[#This Row],[Column1]],#REF!,1,FALSE)</f>
        <v>#REF!</v>
      </c>
    </row>
    <row r="509" spans="1:13" ht="14.65">
      <c r="A509" t="s">
        <v>993</v>
      </c>
      <c r="B509" t="str">
        <f>Table2[[#This Row],[Object identification code]]&amp;" "&amp;Table2[[#This Row],[Full catalogue path]]&amp;" "&amp;Table2[[#This Row],[Object name]]</f>
        <v>072320-EP Test Christmas course</v>
      </c>
      <c r="C509" t="str">
        <f>Table2[[#This Row],[Object identification code]]&amp;" "&amp;Table2[[#This Row],[Full catalogue path]]</f>
        <v>072320-EP Test</v>
      </c>
      <c r="D509" t="s">
        <v>990</v>
      </c>
      <c r="E509" t="s">
        <v>992</v>
      </c>
      <c r="F509" t="s">
        <v>21</v>
      </c>
      <c r="G509" t="s">
        <v>22</v>
      </c>
      <c r="H509">
        <v>0</v>
      </c>
      <c r="I509" s="2">
        <v>46015.416666666664</v>
      </c>
      <c r="J509" s="2">
        <v>46015.458333333336</v>
      </c>
      <c r="K509" s="1">
        <v>45980</v>
      </c>
      <c r="L509" t="e">
        <f>VLOOKUP(Table2[[#This Row],[Helper colum]],Table1[],1,FALSE)</f>
        <v>#N/A</v>
      </c>
      <c r="M509" t="e">
        <f>VLOOKUP(Table2[[#This Row],[Column1]],#REF!,1,FALSE)</f>
        <v>#REF!</v>
      </c>
    </row>
    <row r="510" spans="1:13" ht="14.65">
      <c r="A510" t="s">
        <v>994</v>
      </c>
      <c r="B510" t="str">
        <f>Table2[[#This Row],[Object identification code]]&amp;" "&amp;Table2[[#This Row],[Full catalogue path]]&amp;" "&amp;Table2[[#This Row],[Object name]]</f>
        <v>072408-EP Test Christmas umbrella</v>
      </c>
      <c r="C510" t="str">
        <f>Table2[[#This Row],[Object identification code]]&amp;" "&amp;Table2[[#This Row],[Full catalogue path]]</f>
        <v>072408-EP Test</v>
      </c>
      <c r="D510" t="s">
        <v>990</v>
      </c>
      <c r="E510" t="s">
        <v>995</v>
      </c>
      <c r="F510" t="s">
        <v>21</v>
      </c>
      <c r="G510" t="s">
        <v>25</v>
      </c>
      <c r="I510" s="2">
        <v>45966.333333333336</v>
      </c>
      <c r="J510" s="2">
        <v>47325.333333333336</v>
      </c>
      <c r="K510" t="s">
        <v>198</v>
      </c>
      <c r="L510" t="e">
        <f>VLOOKUP(Table2[[#This Row],[Helper colum]],Table1[],1,FALSE)</f>
        <v>#N/A</v>
      </c>
      <c r="M510" t="e">
        <f>VLOOKUP(Table2[[#This Row],[Column1]],#REF!,1,FALSE)</f>
        <v>#REF!</v>
      </c>
    </row>
    <row r="511" spans="1:13" ht="14.65">
      <c r="A511" t="s">
        <v>996</v>
      </c>
      <c r="B511" t="str">
        <f>Table2[[#This Row],[Object identification code]]&amp;" "&amp;Table2[[#This Row],[Full catalogue path]]&amp;" "&amp;Table2[[#This Row],[Object name]]</f>
        <v>072272-EP Test DG PERS Learning Community (test)</v>
      </c>
      <c r="C511" t="str">
        <f>Table2[[#This Row],[Object identification code]]&amp;" "&amp;Table2[[#This Row],[Full catalogue path]]</f>
        <v>072272-EP Test</v>
      </c>
      <c r="D511" t="s">
        <v>990</v>
      </c>
      <c r="E511" t="s">
        <v>997</v>
      </c>
      <c r="F511" t="s">
        <v>21</v>
      </c>
      <c r="G511" t="s">
        <v>22</v>
      </c>
      <c r="H511">
        <v>0</v>
      </c>
      <c r="I511" s="2">
        <v>45952.333333333336</v>
      </c>
      <c r="J511" s="2">
        <v>46164.333333333336</v>
      </c>
      <c r="K511" s="1">
        <v>45989</v>
      </c>
      <c r="L511" t="e">
        <f>VLOOKUP(Table2[[#This Row],[Helper colum]],Table1[],1,FALSE)</f>
        <v>#N/A</v>
      </c>
      <c r="M511" t="e">
        <f>VLOOKUP(Table2[[#This Row],[Column1]],#REF!,1,FALSE)</f>
        <v>#REF!</v>
      </c>
    </row>
    <row r="512" spans="1:13" ht="14.65">
      <c r="A512" t="s">
        <v>998</v>
      </c>
      <c r="B512" t="str">
        <f>Table2[[#This Row],[Object identification code]]&amp;" "&amp;Table2[[#This Row],[Full catalogue path]]&amp;" "&amp;Table2[[#This Row],[Object name]]</f>
        <v>EP_004159 Test HR Professional</v>
      </c>
      <c r="C512" t="str">
        <f>Table2[[#This Row],[Object identification code]]&amp;" "&amp;Table2[[#This Row],[Full catalogue path]]</f>
        <v>EP_004159 Test</v>
      </c>
      <c r="D512" t="s">
        <v>990</v>
      </c>
      <c r="E512" t="s">
        <v>999</v>
      </c>
      <c r="F512" t="s">
        <v>38</v>
      </c>
      <c r="K512" s="1">
        <v>45576</v>
      </c>
      <c r="L512" t="e">
        <f>VLOOKUP(Table2[[#This Row],[Helper colum]],Table1[],1,FALSE)</f>
        <v>#N/A</v>
      </c>
      <c r="M512" t="e">
        <f>VLOOKUP(Table2[[#This Row],[Column1]],#REF!,1,FALSE)</f>
        <v>#REF!</v>
      </c>
    </row>
    <row r="513" spans="1:13" ht="14.65">
      <c r="A513" t="s">
        <v>1000</v>
      </c>
      <c r="B513" t="str">
        <f>Table2[[#This Row],[Object identification code]]&amp;" "&amp;Table2[[#This Row],[Full catalogue path]]&amp;" "&amp;Table2[[#This Row],[Object name]]</f>
        <v>061813-EP Test MEP welcome aides - Brussels Tour</v>
      </c>
      <c r="C513" t="str">
        <f>Table2[[#This Row],[Object identification code]]&amp;" "&amp;Table2[[#This Row],[Full catalogue path]]</f>
        <v>061813-EP Test</v>
      </c>
      <c r="D513" t="s">
        <v>990</v>
      </c>
      <c r="E513" t="s">
        <v>1001</v>
      </c>
      <c r="F513" t="s">
        <v>21</v>
      </c>
      <c r="G513" t="s">
        <v>22</v>
      </c>
      <c r="H513">
        <v>1</v>
      </c>
      <c r="I513" s="2">
        <v>45448.375</v>
      </c>
      <c r="J513" s="2">
        <v>45448.4375</v>
      </c>
      <c r="K513" s="1">
        <v>45495</v>
      </c>
      <c r="L513" t="e">
        <f>VLOOKUP(Table2[[#This Row],[Helper colum]],Table1[],1,FALSE)</f>
        <v>#N/A</v>
      </c>
      <c r="M513" t="e">
        <f>VLOOKUP(Table2[[#This Row],[Column1]],#REF!,1,FALSE)</f>
        <v>#REF!</v>
      </c>
    </row>
    <row r="514" spans="1:13" ht="14.65">
      <c r="A514" t="s">
        <v>1002</v>
      </c>
      <c r="B514" t="str">
        <f>Table2[[#This Row],[Object identification code]]&amp;" "&amp;Table2[[#This Row],[Full catalogue path]]&amp;" "&amp;Table2[[#This Row],[Object name]]</f>
        <v>071286-EP Test Online workshop facilitation: tools, flow, and best practices (mockup)</v>
      </c>
      <c r="C514" t="str">
        <f>Table2[[#This Row],[Object identification code]]&amp;" "&amp;Table2[[#This Row],[Full catalogue path]]</f>
        <v>071286-EP Test</v>
      </c>
      <c r="D514" t="s">
        <v>990</v>
      </c>
      <c r="E514" t="s">
        <v>1003</v>
      </c>
      <c r="F514" t="s">
        <v>21</v>
      </c>
      <c r="G514" t="s">
        <v>22</v>
      </c>
      <c r="H514">
        <v>0</v>
      </c>
      <c r="I514" s="2">
        <v>47841.583333333336</v>
      </c>
      <c r="J514" s="2">
        <v>47841.666666666664</v>
      </c>
      <c r="K514" t="s">
        <v>198</v>
      </c>
      <c r="L514" t="e">
        <f>VLOOKUP(Table2[[#This Row],[Helper colum]],Table1[],1,FALSE)</f>
        <v>#N/A</v>
      </c>
      <c r="M514" t="e">
        <f>VLOOKUP(Table2[[#This Row],[Column1]],#REF!,1,FALSE)</f>
        <v>#REF!</v>
      </c>
    </row>
    <row r="515" spans="1:13" ht="14.65">
      <c r="A515" t="s">
        <v>1004</v>
      </c>
      <c r="B515" t="str">
        <f>Table2[[#This Row],[Object identification code]]&amp;" "&amp;Table2[[#This Row],[Full catalogue path]]&amp;" "&amp;Table2[[#This Row],[Object name]]</f>
        <v>065906-EP-0011-EN-GB Test Pack for APAs - Online | Blended | Classroom  - testing</v>
      </c>
      <c r="C515" t="str">
        <f>Table2[[#This Row],[Object identification code]]&amp;" "&amp;Table2[[#This Row],[Full catalogue path]]</f>
        <v>065906-EP-0011-EN-GB Test</v>
      </c>
      <c r="D515" t="s">
        <v>990</v>
      </c>
      <c r="E515" t="s">
        <v>1005</v>
      </c>
      <c r="F515" t="s">
        <v>16</v>
      </c>
      <c r="I515" s="2">
        <v>45584.333333333336</v>
      </c>
      <c r="J515" s="2">
        <v>47410.333333333336</v>
      </c>
      <c r="L515" t="e">
        <f>VLOOKUP(Table2[[#This Row],[Helper colum]],Table1[],1,FALSE)</f>
        <v>#N/A</v>
      </c>
      <c r="M515" t="e">
        <f>VLOOKUP(Table2[[#This Row],[Column1]],#REF!,1,FALSE)</f>
        <v>#REF!</v>
      </c>
    </row>
    <row r="516" spans="1:13" ht="14.65">
      <c r="A516" t="s">
        <v>1006</v>
      </c>
      <c r="B516" t="str">
        <f>Table2[[#This Row],[Object identification code]]&amp;" "&amp;Table2[[#This Row],[Full catalogue path]]&amp;" "&amp;Table2[[#This Row],[Object name]]</f>
        <v>071427-EP-0002-EN-GB Test Review of Ethics (EN)</v>
      </c>
      <c r="C516" t="str">
        <f>Table2[[#This Row],[Object identification code]]&amp;" "&amp;Table2[[#This Row],[Full catalogue path]]</f>
        <v>071427-EP-0002-EN-GB Test</v>
      </c>
      <c r="D516" t="s">
        <v>990</v>
      </c>
      <c r="E516" t="s">
        <v>1007</v>
      </c>
      <c r="F516" t="s">
        <v>16</v>
      </c>
      <c r="I516" t="s">
        <v>17</v>
      </c>
      <c r="K516" s="1">
        <v>45939</v>
      </c>
      <c r="L516" t="e">
        <f>VLOOKUP(Table2[[#This Row],[Helper colum]],Table1[],1,FALSE)</f>
        <v>#N/A</v>
      </c>
      <c r="M516" t="e">
        <f>VLOOKUP(Table2[[#This Row],[Column1]],#REF!,1,FALSE)</f>
        <v>#REF!</v>
      </c>
    </row>
    <row r="517" spans="1:13" ht="14.65">
      <c r="A517" t="s">
        <v>1008</v>
      </c>
      <c r="B517" t="str">
        <f>Table2[[#This Row],[Object identification code]]&amp;" "&amp;Table2[[#This Row],[Full catalogue path]]&amp;" "&amp;Table2[[#This Row],[Object name]]</f>
        <v>071427-EP-0001-EN-GB Test Review of Ethics (FR)</v>
      </c>
      <c r="C517" t="str">
        <f>Table2[[#This Row],[Object identification code]]&amp;" "&amp;Table2[[#This Row],[Full catalogue path]]</f>
        <v>071427-EP-0001-EN-GB Test</v>
      </c>
      <c r="D517" t="s">
        <v>990</v>
      </c>
      <c r="E517" t="s">
        <v>1009</v>
      </c>
      <c r="F517" t="s">
        <v>16</v>
      </c>
      <c r="I517" t="s">
        <v>17</v>
      </c>
      <c r="K517" s="1">
        <v>45929</v>
      </c>
      <c r="L517" t="e">
        <f>VLOOKUP(Table2[[#This Row],[Helper colum]],Table1[],1,FALSE)</f>
        <v>#N/A</v>
      </c>
      <c r="M517" t="e">
        <f>VLOOKUP(Table2[[#This Row],[Column1]],#REF!,1,FALSE)</f>
        <v>#REF!</v>
      </c>
    </row>
    <row r="518" spans="1:13" ht="14.65">
      <c r="A518" t="s">
        <v>1010</v>
      </c>
      <c r="B518" t="str">
        <f>Table2[[#This Row],[Object identification code]]&amp;" "&amp;Table2[[#This Row],[Full catalogue path]]&amp;" "&amp;Table2[[#This Row],[Object name]]</f>
        <v xml:space="preserve">072271-EP Test Test community </v>
      </c>
      <c r="C518" t="str">
        <f>Table2[[#This Row],[Object identification code]]&amp;" "&amp;Table2[[#This Row],[Full catalogue path]]</f>
        <v>072271-EP Test</v>
      </c>
      <c r="D518" t="s">
        <v>990</v>
      </c>
      <c r="E518" t="s">
        <v>1011</v>
      </c>
      <c r="F518" t="s">
        <v>21</v>
      </c>
      <c r="G518" t="s">
        <v>25</v>
      </c>
      <c r="K518" s="1">
        <v>45951</v>
      </c>
      <c r="L518" t="e">
        <f>VLOOKUP(Table2[[#This Row],[Helper colum]],Table1[],1,FALSE)</f>
        <v>#N/A</v>
      </c>
      <c r="M518" t="e">
        <f>VLOOKUP(Table2[[#This Row],[Column1]],#REF!,1,FALSE)</f>
        <v>#REF!</v>
      </c>
    </row>
    <row r="519" spans="1:13" ht="14.65">
      <c r="A519" t="s">
        <v>1012</v>
      </c>
      <c r="B519" t="str">
        <f>Table2[[#This Row],[Object identification code]]&amp;" "&amp;Table2[[#This Row],[Full catalogue path]]&amp;" "&amp;Table2[[#This Row],[Object name]]</f>
        <v>071126-EP-0001-EN-GB Test The Communication Doctor</v>
      </c>
      <c r="C519" t="str">
        <f>Table2[[#This Row],[Object identification code]]&amp;" "&amp;Table2[[#This Row],[Full catalogue path]]</f>
        <v>071126-EP-0001-EN-GB Test</v>
      </c>
      <c r="D519" t="s">
        <v>990</v>
      </c>
      <c r="E519" t="s">
        <v>1013</v>
      </c>
      <c r="F519" t="s">
        <v>16</v>
      </c>
      <c r="I519" s="2">
        <v>45831.375</v>
      </c>
      <c r="J519" s="2">
        <v>45831.708333333336</v>
      </c>
      <c r="K519" s="1">
        <v>45831</v>
      </c>
      <c r="L519" t="e">
        <f>VLOOKUP(Table2[[#This Row],[Helper colum]],Table1[],1,FALSE)</f>
        <v>#N/A</v>
      </c>
      <c r="M519" t="e">
        <f>VLOOKUP(Table2[[#This Row],[Column1]],#REF!,1,FALSE)</f>
        <v>#REF!</v>
      </c>
    </row>
    <row r="520" spans="1:13" ht="14.65">
      <c r="A520" t="s">
        <v>1014</v>
      </c>
      <c r="B520" t="str">
        <f>Table2[[#This Row],[Object identification code]]&amp;" "&amp;Table2[[#This Row],[Full catalogue path]]&amp;" "&amp;Table2[[#This Row],[Object name]]</f>
        <v>EP_005459 Test Training of the new Confidential Counsellors</v>
      </c>
      <c r="C520" t="str">
        <f>Table2[[#This Row],[Object identification code]]&amp;" "&amp;Table2[[#This Row],[Full catalogue path]]</f>
        <v>EP_005459 Test</v>
      </c>
      <c r="D520" t="s">
        <v>990</v>
      </c>
      <c r="E520" t="s">
        <v>1015</v>
      </c>
      <c r="F520" t="s">
        <v>38</v>
      </c>
      <c r="K520" s="1">
        <v>45916</v>
      </c>
      <c r="L520" t="e">
        <f>VLOOKUP(Table2[[#This Row],[Helper colum]],Table1[],1,FALSE)</f>
        <v>#N/A</v>
      </c>
      <c r="M520" t="e">
        <f>VLOOKUP(Table2[[#This Row],[Column1]],#REF!,1,FALSE)</f>
        <v>#REF!</v>
      </c>
    </row>
    <row r="521" spans="1:13" ht="14.65">
      <c r="A521" t="s">
        <v>1016</v>
      </c>
      <c r="B521" t="str">
        <f>Table2[[#This Row],[Object identification code]]&amp;" "&amp;Table2[[#This Row],[Full catalogue path]]&amp;" "&amp;Table2[[#This Row],[Object name]]</f>
        <v>065906-EP-0010-EN-GB Test What you need to know about Economics - Online | Blended | Classroom (with pictures)</v>
      </c>
      <c r="C521" t="str">
        <f>Table2[[#This Row],[Object identification code]]&amp;" "&amp;Table2[[#This Row],[Full catalogue path]]</f>
        <v>065906-EP-0010-EN-GB Test</v>
      </c>
      <c r="D521" t="s">
        <v>990</v>
      </c>
      <c r="E521" t="s">
        <v>1017</v>
      </c>
      <c r="F521" t="s">
        <v>16</v>
      </c>
      <c r="I521" s="2">
        <v>45584.333333333336</v>
      </c>
      <c r="J521" s="2">
        <v>47410.333333333336</v>
      </c>
      <c r="L521" t="e">
        <f>VLOOKUP(Table2[[#This Row],[Helper colum]],Table1[],1,FALSE)</f>
        <v>#N/A</v>
      </c>
      <c r="M521" t="e">
        <f>VLOOKUP(Table2[[#This Row],[Column1]],#REF!,1,FALSE)</f>
        <v>#REF!</v>
      </c>
    </row>
    <row r="522" spans="1:13" ht="14.65">
      <c r="A522" t="s">
        <v>1018</v>
      </c>
      <c r="B522" t="str">
        <f>Table2[[#This Row],[Object identification code]]&amp;" "&amp;Table2[[#This Row],[Full catalogue path]]&amp;" "&amp;Table2[[#This Row],[Object name]]</f>
        <v>066020-EP-0001-EN-GB Test What you need to know about Economics: Online | Blended | Classroom (without pictures)</v>
      </c>
      <c r="C522" t="str">
        <f>Table2[[#This Row],[Object identification code]]&amp;" "&amp;Table2[[#This Row],[Full catalogue path]]</f>
        <v>066020-EP-0001-EN-GB Test</v>
      </c>
      <c r="D522" t="s">
        <v>990</v>
      </c>
      <c r="E522" t="s">
        <v>1019</v>
      </c>
      <c r="F522" t="s">
        <v>16</v>
      </c>
      <c r="I522" s="2">
        <v>45584.333333333336</v>
      </c>
      <c r="J522" s="2">
        <v>47410.333333333336</v>
      </c>
      <c r="L522" t="e">
        <f>VLOOKUP(Table2[[#This Row],[Helper colum]],Table1[],1,FALSE)</f>
        <v>#N/A</v>
      </c>
      <c r="M522" t="e">
        <f>VLOOKUP(Table2[[#This Row],[Column1]],#REF!,1,FALSE)</f>
        <v>#REF!</v>
      </c>
    </row>
    <row r="523" spans="1:13" ht="14.65">
      <c r="A523" t="s">
        <v>1020</v>
      </c>
      <c r="B523" t="str">
        <f>Table2[[#This Row],[Object identification code]]&amp;" "&amp;Table2[[#This Row],[Full catalogue path]]&amp;" "&amp;Table2[[#This Row],[Object name]]</f>
        <v>068420-EP Test learn.EP master template - Umbrella for multiple course types</v>
      </c>
      <c r="C523" t="str">
        <f>Table2[[#This Row],[Object identification code]]&amp;" "&amp;Table2[[#This Row],[Full catalogue path]]</f>
        <v>068420-EP Test</v>
      </c>
      <c r="D523" t="s">
        <v>990</v>
      </c>
      <c r="E523" t="s">
        <v>1021</v>
      </c>
      <c r="F523" t="s">
        <v>21</v>
      </c>
      <c r="G523" t="s">
        <v>25</v>
      </c>
      <c r="I523" s="2">
        <v>45292.333333333336</v>
      </c>
      <c r="J523" s="2">
        <v>47484.333333333336</v>
      </c>
      <c r="K523" t="s">
        <v>198</v>
      </c>
      <c r="L523" t="e">
        <f>VLOOKUP(Table2[[#This Row],[Helper colum]],Table1[],1,FALSE)</f>
        <v>#N/A</v>
      </c>
      <c r="M523" t="e">
        <f>VLOOKUP(Table2[[#This Row],[Column1]],#REF!,1,FALSE)</f>
        <v>#REF!</v>
      </c>
    </row>
    <row r="524" spans="1:13" ht="14.65">
      <c r="A524" t="s">
        <v>1022</v>
      </c>
      <c r="B524" t="str">
        <f>Table2[[#This Row],[Object identification code]]&amp;" "&amp;Table2[[#This Row],[Full catalogue path]]&amp;" "&amp;Table2[[#This Row],[Object name]]</f>
        <v>073141-CONS-0003-EN-GB Wellbeing Digital Twins and Human Modelling to Improve Workplace Ergonomics</v>
      </c>
      <c r="C524" t="str">
        <f>Table2[[#This Row],[Object identification code]]&amp;" "&amp;Table2[[#This Row],[Full catalogue path]]</f>
        <v>073141-CONS-0003-EN-GB Wellbeing</v>
      </c>
      <c r="D524" t="s">
        <v>1023</v>
      </c>
      <c r="E524" t="s">
        <v>1024</v>
      </c>
      <c r="F524" t="s">
        <v>16</v>
      </c>
      <c r="I524" s="2">
        <v>46059.458333333336</v>
      </c>
      <c r="J524" s="2">
        <v>46059.5</v>
      </c>
      <c r="K524" s="1">
        <v>46056</v>
      </c>
      <c r="L524" t="e">
        <f>VLOOKUP(Table2[[#This Row],[Helper colum]],Table1[],1,FALSE)</f>
        <v>#N/A</v>
      </c>
      <c r="M524" t="e">
        <f>VLOOKUP(Table2[[#This Row],[Column1]],#REF!,1,FALSE)</f>
        <v>#REF!</v>
      </c>
    </row>
    <row r="525" spans="1:13" ht="14.65">
      <c r="A525" t="s">
        <v>1025</v>
      </c>
      <c r="B525" t="str">
        <f>Table2[[#This Row],[Object identification code]]&amp;" "&amp;Table2[[#This Row],[Full catalogue path]]&amp;" "&amp;Table2[[#This Row],[Object name]]</f>
        <v>060061-EP Wellbeing How to stay fit while working at your desk: ergonomic training for healthy work practices</v>
      </c>
      <c r="C525" t="str">
        <f>Table2[[#This Row],[Object identification code]]&amp;" "&amp;Table2[[#This Row],[Full catalogue path]]</f>
        <v>060061-EP Wellbeing</v>
      </c>
      <c r="D525" t="s">
        <v>1023</v>
      </c>
      <c r="E525" t="s">
        <v>1026</v>
      </c>
      <c r="F525" t="s">
        <v>21</v>
      </c>
      <c r="G525" t="s">
        <v>22</v>
      </c>
      <c r="H525">
        <v>26</v>
      </c>
      <c r="I525" s="2">
        <v>45819.375</v>
      </c>
      <c r="J525" s="2">
        <v>45819.479166666664</v>
      </c>
      <c r="K525" s="1">
        <v>46034</v>
      </c>
      <c r="L525" t="e">
        <f>VLOOKUP(Table2[[#This Row],[Helper colum]],Table1[],1,FALSE)</f>
        <v>#N/A</v>
      </c>
      <c r="M525" t="e">
        <f>VLOOKUP(Table2[[#This Row],[Column1]],#REF!,1,FALSE)</f>
        <v>#REF!</v>
      </c>
    </row>
    <row r="526" spans="1:13" ht="14.65">
      <c r="A526" t="s">
        <v>1027</v>
      </c>
      <c r="B526" t="str">
        <f>Table2[[#This Row],[Object identification code]]&amp;" "&amp;Table2[[#This Row],[Full catalogue path]]&amp;" "&amp;Table2[[#This Row],[Object name]]</f>
        <v>033860-EP Wellbeing How to stay fit while working at your desk: ergonomic training for healthy work practices</v>
      </c>
      <c r="C526" t="str">
        <f>Table2[[#This Row],[Object identification code]]&amp;" "&amp;Table2[[#This Row],[Full catalogue path]]</f>
        <v>033860-EP Wellbeing</v>
      </c>
      <c r="D526" t="s">
        <v>1023</v>
      </c>
      <c r="E526" t="s">
        <v>1026</v>
      </c>
      <c r="F526" t="s">
        <v>21</v>
      </c>
      <c r="G526" t="s">
        <v>22</v>
      </c>
      <c r="H526">
        <v>32</v>
      </c>
      <c r="I526" s="2">
        <v>46198.395833333336</v>
      </c>
      <c r="J526" s="2">
        <v>46198.520833333336</v>
      </c>
      <c r="K526" s="1">
        <v>46055</v>
      </c>
      <c r="L526" t="e">
        <f>VLOOKUP(Table2[[#This Row],[Helper colum]],Table1[],1,FALSE)</f>
        <v>#N/A</v>
      </c>
      <c r="M526" t="e">
        <f>VLOOKUP(Table2[[#This Row],[Column1]],#REF!,1,FALSE)</f>
        <v>#REF!</v>
      </c>
    </row>
    <row r="527" spans="1:13" ht="14.65">
      <c r="A527" t="s">
        <v>1028</v>
      </c>
      <c r="B527" t="str">
        <f>Table2[[#This Row],[Object identification code]]&amp;" "&amp;Table2[[#This Row],[Full catalogue path]]&amp;" "&amp;Table2[[#This Row],[Object name]]</f>
        <v xml:space="preserve">065992-EP Wellbeing Listen, speak and support as a mentor </v>
      </c>
      <c r="C527" t="str">
        <f>Table2[[#This Row],[Object identification code]]&amp;" "&amp;Table2[[#This Row],[Full catalogue path]]</f>
        <v>065992-EP Wellbeing</v>
      </c>
      <c r="D527" t="s">
        <v>1023</v>
      </c>
      <c r="E527" t="s">
        <v>1029</v>
      </c>
      <c r="F527" t="s">
        <v>21</v>
      </c>
      <c r="G527" t="s">
        <v>22</v>
      </c>
      <c r="H527">
        <v>15</v>
      </c>
      <c r="I527" s="2">
        <v>46345.375</v>
      </c>
      <c r="J527" s="2">
        <v>46345.708333333336</v>
      </c>
      <c r="K527" s="1">
        <v>46056</v>
      </c>
      <c r="L527" t="e">
        <f>VLOOKUP(Table2[[#This Row],[Helper colum]],Table1[],1,FALSE)</f>
        <v>#N/A</v>
      </c>
      <c r="M527" t="e">
        <f>VLOOKUP(Table2[[#This Row],[Column1]],#REF!,1,FALSE)</f>
        <v>#REF!</v>
      </c>
    </row>
    <row r="528" spans="1:13" ht="14.65">
      <c r="A528" t="s">
        <v>1030</v>
      </c>
      <c r="B528" t="str">
        <f>Table2[[#This Row],[Object identification code]]&amp;" "&amp;Table2[[#This Row],[Full catalogue path]]&amp;" "&amp;Table2[[#This Row],[Object name]]</f>
        <v>070785-EP Wellbeing Mental Health First Aid course</v>
      </c>
      <c r="C528" t="str">
        <f>Table2[[#This Row],[Object identification code]]&amp;" "&amp;Table2[[#This Row],[Full catalogue path]]</f>
        <v>070785-EP Wellbeing</v>
      </c>
      <c r="D528" t="s">
        <v>1023</v>
      </c>
      <c r="E528" t="s">
        <v>1031</v>
      </c>
      <c r="F528" t="s">
        <v>21</v>
      </c>
      <c r="G528" t="s">
        <v>25</v>
      </c>
      <c r="I528" s="2">
        <v>45770.333333333336</v>
      </c>
      <c r="J528" s="2">
        <v>47330.333333333336</v>
      </c>
      <c r="K528" t="s">
        <v>198</v>
      </c>
      <c r="L528" t="e">
        <f>VLOOKUP(Table2[[#This Row],[Helper colum]],Table1[],1,FALSE)</f>
        <v>#N/A</v>
      </c>
      <c r="M528" t="e">
        <f>VLOOKUP(Table2[[#This Row],[Column1]],#REF!,1,FALSE)</f>
        <v>#REF!</v>
      </c>
    </row>
    <row r="529" spans="1:13" ht="14.65">
      <c r="A529" t="s">
        <v>1032</v>
      </c>
      <c r="B529" t="str">
        <f>Table2[[#This Row],[Object identification code]]&amp;" "&amp;Table2[[#This Row],[Full catalogue path]]&amp;" "&amp;Table2[[#This Row],[Object name]]</f>
        <v>062202-EP Wellbeing Navigate your emotional intelligence</v>
      </c>
      <c r="C529" t="str">
        <f>Table2[[#This Row],[Object identification code]]&amp;" "&amp;Table2[[#This Row],[Full catalogue path]]</f>
        <v>062202-EP Wellbeing</v>
      </c>
      <c r="D529" t="s">
        <v>1023</v>
      </c>
      <c r="E529" t="s">
        <v>1033</v>
      </c>
      <c r="F529" t="s">
        <v>21</v>
      </c>
      <c r="G529" t="s">
        <v>22</v>
      </c>
      <c r="H529">
        <v>31</v>
      </c>
      <c r="I529" s="2">
        <v>46359.395833333336</v>
      </c>
      <c r="J529" s="2">
        <v>46359.708333333336</v>
      </c>
      <c r="K529" s="1">
        <v>46056</v>
      </c>
      <c r="L529" t="e">
        <f>VLOOKUP(Table2[[#This Row],[Helper colum]],Table1[],1,FALSE)</f>
        <v>#N/A</v>
      </c>
      <c r="M529" t="e">
        <f>VLOOKUP(Table2[[#This Row],[Column1]],#REF!,1,FALSE)</f>
        <v>#REF!</v>
      </c>
    </row>
    <row r="530" spans="1:13" ht="14.65">
      <c r="A530" t="s">
        <v>1034</v>
      </c>
      <c r="B530" t="str">
        <f>Table2[[#This Row],[Object identification code]]&amp;" "&amp;Table2[[#This Row],[Full catalogue path]]&amp;" "&amp;Table2[[#This Row],[Object name]]</f>
        <v xml:space="preserve">070380-EP Wellbeing Preventing harassment </v>
      </c>
      <c r="C530" t="str">
        <f>Table2[[#This Row],[Object identification code]]&amp;" "&amp;Table2[[#This Row],[Full catalogue path]]</f>
        <v>070380-EP Wellbeing</v>
      </c>
      <c r="D530" t="s">
        <v>1023</v>
      </c>
      <c r="E530" t="s">
        <v>1035</v>
      </c>
      <c r="F530" t="s">
        <v>21</v>
      </c>
      <c r="G530" t="s">
        <v>25</v>
      </c>
      <c r="I530" s="2">
        <v>45727.333333333336</v>
      </c>
      <c r="J530" s="2">
        <v>47330.333333333336</v>
      </c>
      <c r="K530" t="s">
        <v>198</v>
      </c>
      <c r="L530" t="e">
        <f>VLOOKUP(Table2[[#This Row],[Helper colum]],Table1[],1,FALSE)</f>
        <v>#N/A</v>
      </c>
      <c r="M530" t="e">
        <f>VLOOKUP(Table2[[#This Row],[Column1]],#REF!,1,FALSE)</f>
        <v>#REF!</v>
      </c>
    </row>
    <row r="531" spans="1:13" ht="14.65">
      <c r="A531" t="s">
        <v>1036</v>
      </c>
      <c r="B531" t="str">
        <f>Table2[[#This Row],[Object identification code]]&amp;" "&amp;Table2[[#This Row],[Full catalogue path]]&amp;" "&amp;Table2[[#This Row],[Object name]]</f>
        <v>069284-EP Wellbeing Resilience Masterclass</v>
      </c>
      <c r="C531" t="str">
        <f>Table2[[#This Row],[Object identification code]]&amp;" "&amp;Table2[[#This Row],[Full catalogue path]]</f>
        <v>069284-EP Wellbeing</v>
      </c>
      <c r="D531" t="s">
        <v>1023</v>
      </c>
      <c r="E531" t="s">
        <v>1037</v>
      </c>
      <c r="F531" t="s">
        <v>21</v>
      </c>
      <c r="G531" t="s">
        <v>22</v>
      </c>
      <c r="H531">
        <v>25</v>
      </c>
      <c r="I531" s="2">
        <v>45757.520833333336</v>
      </c>
      <c r="J531" s="2">
        <v>45757.583333333336</v>
      </c>
      <c r="K531" s="1">
        <v>46037</v>
      </c>
      <c r="L531" t="e">
        <f>VLOOKUP(Table2[[#This Row],[Helper colum]],Table1[],1,FALSE)</f>
        <v>#N/A</v>
      </c>
      <c r="M531" t="e">
        <f>VLOOKUP(Table2[[#This Row],[Column1]],#REF!,1,FALSE)</f>
        <v>#REF!</v>
      </c>
    </row>
    <row r="532" spans="1:13" ht="14.65">
      <c r="A532" t="s">
        <v>1038</v>
      </c>
      <c r="B532" t="str">
        <f>Table2[[#This Row],[Object identification code]]&amp;" "&amp;Table2[[#This Row],[Full catalogue path]]&amp;" "&amp;Table2[[#This Row],[Object name]]</f>
        <v>064285-EP Wellbeing Resilience at Work: Boost your resilience and thrive under pressure</v>
      </c>
      <c r="C532" t="str">
        <f>Table2[[#This Row],[Object identification code]]&amp;" "&amp;Table2[[#This Row],[Full catalogue path]]</f>
        <v>064285-EP Wellbeing</v>
      </c>
      <c r="D532" t="s">
        <v>1023</v>
      </c>
      <c r="E532" t="s">
        <v>1039</v>
      </c>
      <c r="F532" t="s">
        <v>21</v>
      </c>
      <c r="G532" t="s">
        <v>22</v>
      </c>
      <c r="H532">
        <v>22</v>
      </c>
      <c r="I532" s="2">
        <v>46083.416666666664</v>
      </c>
      <c r="J532" s="2">
        <v>46107.708333333336</v>
      </c>
      <c r="K532" s="1">
        <v>46056</v>
      </c>
      <c r="L532" t="e">
        <f>VLOOKUP(Table2[[#This Row],[Helper colum]],Table1[],1,FALSE)</f>
        <v>#N/A</v>
      </c>
      <c r="M532" t="e">
        <f>VLOOKUP(Table2[[#This Row],[Column1]],#REF!,1,FALSE)</f>
        <v>#REF!</v>
      </c>
    </row>
    <row r="533" spans="1:13" ht="14.65">
      <c r="A533" t="s">
        <v>1040</v>
      </c>
      <c r="B533" t="str">
        <f>Table2[[#This Row],[Object identification code]]&amp;" "&amp;Table2[[#This Row],[Full catalogue path]]&amp;" "&amp;Table2[[#This Row],[Object name]]</f>
        <v>070837-EP-0001-EN-GB Wellbeing The “STREAM” programme – Resilience and Well-being at work</v>
      </c>
      <c r="C533" t="str">
        <f>Table2[[#This Row],[Object identification code]]&amp;" "&amp;Table2[[#This Row],[Full catalogue path]]</f>
        <v>070837-EP-0001-EN-GB Wellbeing</v>
      </c>
      <c r="D533" t="s">
        <v>1023</v>
      </c>
      <c r="E533" t="s">
        <v>1041</v>
      </c>
      <c r="F533" t="s">
        <v>16</v>
      </c>
      <c r="I533" s="2">
        <v>45939.53125</v>
      </c>
      <c r="J533" s="2">
        <v>45988.583333333336</v>
      </c>
      <c r="K533" s="1">
        <v>45992</v>
      </c>
      <c r="L533" t="e">
        <f>VLOOKUP(Table2[[#This Row],[Helper colum]],Table1[],1,FALSE)</f>
        <v>#N/A</v>
      </c>
      <c r="M533" t="e">
        <f>VLOOKUP(Table2[[#This Row],[Column1]],#REF!,1,FALSE)</f>
        <v>#REF!</v>
      </c>
    </row>
    <row r="534" spans="1:13" ht="14.65">
      <c r="A534" t="s">
        <v>1042</v>
      </c>
      <c r="B534" t="str">
        <f>Table2[[#This Row],[Object identification code]]&amp;" "&amp;Table2[[#This Row],[Full catalogue path]]&amp;" "&amp;Table2[[#This Row],[Object name]]</f>
        <v>071521-EP Wellbeing Your mind at work</v>
      </c>
      <c r="C534" t="str">
        <f>Table2[[#This Row],[Object identification code]]&amp;" "&amp;Table2[[#This Row],[Full catalogue path]]</f>
        <v>071521-EP Wellbeing</v>
      </c>
      <c r="D534" t="s">
        <v>1023</v>
      </c>
      <c r="E534" t="s">
        <v>472</v>
      </c>
      <c r="F534" t="s">
        <v>21</v>
      </c>
      <c r="G534" t="s">
        <v>25</v>
      </c>
      <c r="I534" s="2">
        <v>46035.375</v>
      </c>
      <c r="J534" s="2">
        <v>46091.4375</v>
      </c>
      <c r="K534" s="1">
        <v>46034</v>
      </c>
      <c r="L534" t="e">
        <f>VLOOKUP(Table2[[#This Row],[Helper colum]],Table1[],1,FALSE)</f>
        <v>#N/A</v>
      </c>
      <c r="M534" t="e">
        <f>VLOOKUP(Table2[[#This Row],[Column1]],#REF!,1,FALSE)</f>
        <v>#REF!</v>
      </c>
    </row>
  </sheetData>
  <phoneticPr fontId="2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603"/>
  <sheetViews>
    <sheetView topLeftCell="A465" zoomScale="85" zoomScaleNormal="85" workbookViewId="0">
      <selection activeCell="K174" sqref="K174"/>
    </sheetView>
  </sheetViews>
  <sheetFormatPr defaultColWidth="9.140625" defaultRowHeight="15" customHeight="1"/>
  <cols>
    <col min="1" max="1" width="39.140625" customWidth="1"/>
    <col min="2" max="2" width="44.140625" customWidth="1"/>
    <col min="3" max="3" width="22.28515625" customWidth="1"/>
    <col min="4" max="4" width="16.28515625" hidden="1" customWidth="1"/>
    <col min="5" max="5" width="13.7109375" hidden="1" customWidth="1"/>
    <col min="6" max="6" width="9.140625" hidden="1" customWidth="1"/>
    <col min="7" max="7" width="16" customWidth="1"/>
    <col min="8" max="8" width="23.85546875" hidden="1" customWidth="1"/>
    <col min="9" max="9" width="22.140625" hidden="1" customWidth="1"/>
    <col min="10" max="10" width="9.140625" customWidth="1"/>
    <col min="11" max="11" width="54" customWidth="1"/>
  </cols>
  <sheetData>
    <row r="2" spans="1:11" ht="14.65">
      <c r="A2" t="s">
        <v>3</v>
      </c>
      <c r="B2" t="s">
        <v>4</v>
      </c>
      <c r="C2" t="s">
        <v>0</v>
      </c>
      <c r="D2" t="s">
        <v>5</v>
      </c>
      <c r="E2" t="s">
        <v>6</v>
      </c>
      <c r="F2" t="s">
        <v>7</v>
      </c>
      <c r="G2" t="s">
        <v>8</v>
      </c>
      <c r="H2" t="s">
        <v>9</v>
      </c>
      <c r="I2" t="s">
        <v>10</v>
      </c>
      <c r="J2" t="s">
        <v>1043</v>
      </c>
      <c r="K2" t="s">
        <v>1044</v>
      </c>
    </row>
    <row r="3" spans="1:11" ht="14.65" hidden="1">
      <c r="A3" t="s">
        <v>19</v>
      </c>
      <c r="B3" t="s">
        <v>20</v>
      </c>
      <c r="C3" t="s">
        <v>18</v>
      </c>
      <c r="D3" t="s">
        <v>21</v>
      </c>
      <c r="E3" t="s">
        <v>22</v>
      </c>
      <c r="F3">
        <v>20</v>
      </c>
      <c r="G3" s="1">
        <v>45923.375</v>
      </c>
      <c r="H3" s="2">
        <v>45923.541666666664</v>
      </c>
      <c r="I3" s="1">
        <v>45932</v>
      </c>
      <c r="J3" t="s">
        <v>1045</v>
      </c>
      <c r="K3" t="s">
        <v>1046</v>
      </c>
    </row>
    <row r="4" spans="1:11" ht="14.65">
      <c r="A4" t="s">
        <v>19</v>
      </c>
      <c r="B4" t="s">
        <v>29</v>
      </c>
      <c r="C4" t="s">
        <v>28</v>
      </c>
      <c r="D4" t="s">
        <v>21</v>
      </c>
      <c r="E4" t="s">
        <v>22</v>
      </c>
      <c r="F4">
        <v>48</v>
      </c>
      <c r="G4" s="1">
        <v>46343.375</v>
      </c>
      <c r="H4" s="2">
        <v>45967.708333333336</v>
      </c>
      <c r="I4" s="1">
        <v>45945</v>
      </c>
      <c r="J4" t="s">
        <v>22</v>
      </c>
      <c r="K4" t="s">
        <v>1047</v>
      </c>
    </row>
    <row r="5" spans="1:11" ht="14.65" hidden="1">
      <c r="A5" s="3" t="s">
        <v>19</v>
      </c>
      <c r="B5" s="3" t="s">
        <v>31</v>
      </c>
      <c r="C5" s="3" t="s">
        <v>30</v>
      </c>
      <c r="D5" s="3" t="s">
        <v>21</v>
      </c>
      <c r="E5" s="3" t="s">
        <v>22</v>
      </c>
      <c r="F5" s="3">
        <v>39</v>
      </c>
      <c r="G5" s="4">
        <v>46140.375</v>
      </c>
      <c r="H5" s="6">
        <v>45791.708333333336</v>
      </c>
      <c r="I5" s="4">
        <v>45937</v>
      </c>
      <c r="J5" s="3" t="s">
        <v>1045</v>
      </c>
      <c r="K5" t="s">
        <v>1048</v>
      </c>
    </row>
    <row r="6" spans="1:11" ht="14.65" hidden="1">
      <c r="A6" s="3" t="s">
        <v>19</v>
      </c>
      <c r="B6" s="3" t="s">
        <v>24</v>
      </c>
      <c r="C6" s="3" t="s">
        <v>23</v>
      </c>
      <c r="D6" s="3" t="s">
        <v>21</v>
      </c>
      <c r="E6" s="3" t="s">
        <v>25</v>
      </c>
      <c r="F6" s="3"/>
      <c r="G6" s="4">
        <v>45842.375</v>
      </c>
      <c r="H6" s="2">
        <v>45842.520833333336</v>
      </c>
      <c r="I6" s="1">
        <v>45832</v>
      </c>
      <c r="J6" t="s">
        <v>1045</v>
      </c>
      <c r="K6" t="s">
        <v>1048</v>
      </c>
    </row>
    <row r="7" spans="1:11" ht="14.65" hidden="1">
      <c r="A7" s="3" t="s">
        <v>19</v>
      </c>
      <c r="B7" s="3" t="s">
        <v>27</v>
      </c>
      <c r="C7" s="3" t="s">
        <v>26</v>
      </c>
      <c r="D7" s="3" t="s">
        <v>21</v>
      </c>
      <c r="E7" s="3" t="s">
        <v>25</v>
      </c>
      <c r="F7" s="3"/>
      <c r="G7" s="4">
        <v>45540.375</v>
      </c>
      <c r="H7" s="6">
        <v>45540.729166666664</v>
      </c>
      <c r="I7" s="1">
        <v>45749</v>
      </c>
      <c r="J7" t="s">
        <v>1045</v>
      </c>
      <c r="K7" t="s">
        <v>1048</v>
      </c>
    </row>
    <row r="8" spans="1:11" ht="14.65">
      <c r="A8" t="s">
        <v>19</v>
      </c>
      <c r="B8" t="s">
        <v>33</v>
      </c>
      <c r="C8" t="s">
        <v>32</v>
      </c>
      <c r="D8" t="s">
        <v>21</v>
      </c>
      <c r="E8" t="s">
        <v>22</v>
      </c>
      <c r="F8">
        <v>37</v>
      </c>
      <c r="G8" s="1">
        <v>46083.375</v>
      </c>
      <c r="H8" s="2">
        <v>46006.520833333336</v>
      </c>
      <c r="I8" s="1">
        <v>45945</v>
      </c>
      <c r="J8" t="s">
        <v>22</v>
      </c>
      <c r="K8" t="s">
        <v>1047</v>
      </c>
    </row>
    <row r="9" spans="1:11" ht="14.65" hidden="1">
      <c r="A9" t="s">
        <v>19</v>
      </c>
      <c r="B9" t="s">
        <v>35</v>
      </c>
      <c r="C9" t="s">
        <v>34</v>
      </c>
      <c r="D9" t="s">
        <v>21</v>
      </c>
      <c r="E9" t="s">
        <v>22</v>
      </c>
      <c r="F9">
        <v>36</v>
      </c>
      <c r="G9" s="1">
        <v>46027.333333333336</v>
      </c>
      <c r="H9" s="2">
        <v>46022.333333333336</v>
      </c>
      <c r="I9" s="1">
        <v>45944</v>
      </c>
      <c r="J9" t="s">
        <v>1045</v>
      </c>
      <c r="K9" t="s">
        <v>1047</v>
      </c>
    </row>
    <row r="10" spans="1:11" ht="14.65" hidden="1">
      <c r="A10" s="3" t="s">
        <v>19</v>
      </c>
      <c r="B10" s="3" t="s">
        <v>37</v>
      </c>
      <c r="C10" s="3" t="s">
        <v>36</v>
      </c>
      <c r="D10" t="s">
        <v>38</v>
      </c>
      <c r="G10" s="1"/>
      <c r="I10" s="1">
        <v>45943</v>
      </c>
      <c r="J10" t="s">
        <v>1045</v>
      </c>
      <c r="K10" t="s">
        <v>1048</v>
      </c>
    </row>
    <row r="11" spans="1:11" ht="14.65">
      <c r="A11" t="s">
        <v>19</v>
      </c>
      <c r="B11" t="s">
        <v>40</v>
      </c>
      <c r="C11" t="s">
        <v>39</v>
      </c>
      <c r="D11" t="s">
        <v>21</v>
      </c>
      <c r="E11" t="s">
        <v>22</v>
      </c>
      <c r="F11">
        <v>10</v>
      </c>
      <c r="G11" s="1">
        <v>45946.395833333336</v>
      </c>
      <c r="H11" s="2">
        <v>45946.708333333336</v>
      </c>
      <c r="I11" s="1">
        <v>45944</v>
      </c>
      <c r="J11" t="s">
        <v>22</v>
      </c>
      <c r="K11" t="s">
        <v>1047</v>
      </c>
    </row>
    <row r="12" spans="1:11" ht="14.65">
      <c r="A12" t="s">
        <v>19</v>
      </c>
      <c r="B12" t="s">
        <v>1049</v>
      </c>
      <c r="G12" s="1"/>
      <c r="H12" s="2"/>
      <c r="I12" s="1"/>
      <c r="J12" t="s">
        <v>22</v>
      </c>
      <c r="K12" t="s">
        <v>1050</v>
      </c>
    </row>
    <row r="13" spans="1:11" ht="14.65" hidden="1">
      <c r="A13" t="s">
        <v>19</v>
      </c>
      <c r="B13" t="s">
        <v>42</v>
      </c>
      <c r="C13" t="s">
        <v>41</v>
      </c>
      <c r="D13" t="s">
        <v>21</v>
      </c>
      <c r="E13" t="s">
        <v>22</v>
      </c>
      <c r="F13">
        <v>86</v>
      </c>
      <c r="G13" s="1">
        <v>45964.395833333336</v>
      </c>
      <c r="H13" s="2">
        <v>45964.520833333336</v>
      </c>
      <c r="I13" s="1">
        <v>45939</v>
      </c>
      <c r="J13" t="s">
        <v>1045</v>
      </c>
      <c r="K13" t="s">
        <v>1047</v>
      </c>
    </row>
    <row r="14" spans="1:11" ht="14.65" hidden="1">
      <c r="A14" t="s">
        <v>19</v>
      </c>
      <c r="B14" t="s">
        <v>44</v>
      </c>
      <c r="C14" t="s">
        <v>43</v>
      </c>
      <c r="D14" t="s">
        <v>21</v>
      </c>
      <c r="E14" t="s">
        <v>22</v>
      </c>
      <c r="F14">
        <v>36</v>
      </c>
      <c r="G14" s="1">
        <v>45971.395833333336</v>
      </c>
      <c r="H14" s="2">
        <v>45971.520833333336</v>
      </c>
      <c r="I14" s="1">
        <v>45937</v>
      </c>
      <c r="J14" t="s">
        <v>1045</v>
      </c>
      <c r="K14" t="s">
        <v>1047</v>
      </c>
    </row>
    <row r="15" spans="1:11" ht="14.65" hidden="1">
      <c r="A15" t="s">
        <v>19</v>
      </c>
      <c r="B15" t="s">
        <v>46</v>
      </c>
      <c r="C15" t="s">
        <v>45</v>
      </c>
      <c r="D15" t="s">
        <v>21</v>
      </c>
      <c r="E15" t="s">
        <v>22</v>
      </c>
      <c r="F15">
        <v>32</v>
      </c>
      <c r="G15" s="1">
        <v>45972.395833333336</v>
      </c>
      <c r="H15" s="2">
        <v>45972.520833333336</v>
      </c>
      <c r="I15" s="1">
        <v>45940</v>
      </c>
      <c r="J15" t="s">
        <v>1045</v>
      </c>
      <c r="K15" t="s">
        <v>1047</v>
      </c>
    </row>
    <row r="16" spans="1:11" ht="14.65" hidden="1">
      <c r="A16" t="s">
        <v>19</v>
      </c>
      <c r="B16" t="s">
        <v>48</v>
      </c>
      <c r="C16" t="s">
        <v>47</v>
      </c>
      <c r="D16" t="s">
        <v>21</v>
      </c>
      <c r="E16" t="s">
        <v>22</v>
      </c>
      <c r="F16">
        <v>25</v>
      </c>
      <c r="G16" s="1">
        <v>45996.395833333336</v>
      </c>
      <c r="H16" s="2">
        <v>45996.520833333336</v>
      </c>
      <c r="I16" s="1">
        <v>45937</v>
      </c>
      <c r="J16" t="s">
        <v>1045</v>
      </c>
      <c r="K16" t="s">
        <v>1047</v>
      </c>
    </row>
    <row r="17" spans="1:11" ht="14.65" hidden="1">
      <c r="A17" s="3" t="s">
        <v>19</v>
      </c>
      <c r="B17" s="3" t="s">
        <v>50</v>
      </c>
      <c r="C17" s="3" t="s">
        <v>49</v>
      </c>
      <c r="D17" t="s">
        <v>21</v>
      </c>
      <c r="E17" t="s">
        <v>22</v>
      </c>
      <c r="F17" s="3">
        <v>41</v>
      </c>
      <c r="G17" s="4">
        <v>45441.375</v>
      </c>
      <c r="H17" s="2">
        <v>45441.708333333336</v>
      </c>
      <c r="I17" s="1">
        <v>45895</v>
      </c>
      <c r="J17" t="s">
        <v>1045</v>
      </c>
      <c r="K17" t="s">
        <v>1048</v>
      </c>
    </row>
    <row r="18" spans="1:11" ht="14.65" hidden="1">
      <c r="A18" s="3" t="s">
        <v>19</v>
      </c>
      <c r="B18" s="3" t="s">
        <v>52</v>
      </c>
      <c r="C18" s="3" t="s">
        <v>51</v>
      </c>
      <c r="D18" s="3" t="s">
        <v>21</v>
      </c>
      <c r="E18" s="3" t="s">
        <v>22</v>
      </c>
      <c r="F18" s="3">
        <v>44</v>
      </c>
      <c r="G18" s="4">
        <v>45981.583333333336</v>
      </c>
      <c r="H18" s="2">
        <v>45981.708333333336</v>
      </c>
      <c r="I18" s="1">
        <v>45945</v>
      </c>
      <c r="J18" t="s">
        <v>1045</v>
      </c>
      <c r="K18" t="s">
        <v>1048</v>
      </c>
    </row>
    <row r="19" spans="1:11" ht="14.65">
      <c r="A19" t="s">
        <v>54</v>
      </c>
      <c r="B19" s="3"/>
      <c r="C19" s="3"/>
      <c r="D19" s="3"/>
      <c r="E19" s="3"/>
      <c r="F19" s="3"/>
      <c r="G19" s="4"/>
      <c r="H19" s="2"/>
      <c r="I19" s="1"/>
      <c r="J19" t="s">
        <v>22</v>
      </c>
      <c r="K19" t="s">
        <v>1051</v>
      </c>
    </row>
    <row r="20" spans="1:11" ht="14.65" hidden="1">
      <c r="A20" t="s">
        <v>54</v>
      </c>
      <c r="B20" t="s">
        <v>55</v>
      </c>
      <c r="C20" t="s">
        <v>53</v>
      </c>
      <c r="D20" t="s">
        <v>21</v>
      </c>
      <c r="E20" t="s">
        <v>22</v>
      </c>
      <c r="F20">
        <v>18</v>
      </c>
      <c r="G20" s="1">
        <v>46077.4375</v>
      </c>
      <c r="H20" s="2">
        <v>45979.5</v>
      </c>
      <c r="I20" s="1">
        <v>45938</v>
      </c>
      <c r="J20" t="s">
        <v>1045</v>
      </c>
      <c r="K20" t="s">
        <v>1047</v>
      </c>
    </row>
    <row r="21" spans="1:11" ht="14.65" hidden="1">
      <c r="A21" t="s">
        <v>54</v>
      </c>
      <c r="B21" t="s">
        <v>63</v>
      </c>
      <c r="C21" t="s">
        <v>1052</v>
      </c>
      <c r="D21" t="s">
        <v>21</v>
      </c>
      <c r="E21" t="s">
        <v>22</v>
      </c>
      <c r="F21">
        <v>200</v>
      </c>
      <c r="G21" s="1" t="s">
        <v>17</v>
      </c>
      <c r="I21" s="1">
        <v>45944</v>
      </c>
      <c r="J21" t="s">
        <v>1045</v>
      </c>
      <c r="K21" t="s">
        <v>1047</v>
      </c>
    </row>
    <row r="22" spans="1:11" ht="14.65" hidden="1">
      <c r="A22" s="3" t="s">
        <v>54</v>
      </c>
      <c r="B22" s="3" t="s">
        <v>1053</v>
      </c>
      <c r="C22" s="3" t="s">
        <v>58</v>
      </c>
      <c r="D22" s="3" t="s">
        <v>21</v>
      </c>
      <c r="E22" s="3" t="s">
        <v>22</v>
      </c>
      <c r="F22" s="3">
        <v>20</v>
      </c>
      <c r="G22" s="4">
        <v>46090.375</v>
      </c>
      <c r="H22" s="2">
        <v>46091.520833333336</v>
      </c>
      <c r="I22" s="1">
        <v>46056</v>
      </c>
      <c r="J22" t="s">
        <v>1045</v>
      </c>
      <c r="K22" t="s">
        <v>1048</v>
      </c>
    </row>
    <row r="23" spans="1:11" ht="14.65" hidden="1">
      <c r="A23" t="s">
        <v>54</v>
      </c>
      <c r="B23" t="s">
        <v>1053</v>
      </c>
      <c r="C23" t="s">
        <v>1054</v>
      </c>
      <c r="G23" s="1"/>
      <c r="H23" s="2"/>
      <c r="I23" s="1"/>
      <c r="J23" t="s">
        <v>1045</v>
      </c>
      <c r="K23" t="s">
        <v>1055</v>
      </c>
    </row>
    <row r="24" spans="1:11" ht="14.65" hidden="1">
      <c r="A24" s="3" t="s">
        <v>54</v>
      </c>
      <c r="B24" s="3" t="s">
        <v>65</v>
      </c>
      <c r="C24" s="3" t="s">
        <v>64</v>
      </c>
      <c r="D24" s="3" t="s">
        <v>21</v>
      </c>
      <c r="E24" s="3" t="s">
        <v>22</v>
      </c>
      <c r="F24" s="3">
        <v>16</v>
      </c>
      <c r="G24" s="4">
        <v>46062.375</v>
      </c>
      <c r="H24" s="2">
        <v>46003.708333333336</v>
      </c>
      <c r="I24" s="1">
        <v>45943</v>
      </c>
      <c r="J24" t="s">
        <v>1045</v>
      </c>
      <c r="K24" t="s">
        <v>1048</v>
      </c>
    </row>
    <row r="25" spans="1:11" ht="14.65" hidden="1">
      <c r="A25" s="3" t="s">
        <v>54</v>
      </c>
      <c r="B25" s="3" t="s">
        <v>65</v>
      </c>
      <c r="C25" s="3" t="s">
        <v>66</v>
      </c>
      <c r="D25" s="3" t="s">
        <v>21</v>
      </c>
      <c r="E25" s="3" t="s">
        <v>22</v>
      </c>
      <c r="F25" s="3">
        <v>52</v>
      </c>
      <c r="G25" s="4">
        <v>45721.375</v>
      </c>
      <c r="H25" s="2">
        <v>45722.708333333336</v>
      </c>
      <c r="I25" s="1">
        <v>45905</v>
      </c>
      <c r="J25" t="s">
        <v>1045</v>
      </c>
      <c r="K25" t="s">
        <v>1048</v>
      </c>
    </row>
    <row r="26" spans="1:11" ht="14.65" hidden="1">
      <c r="A26" t="s">
        <v>54</v>
      </c>
      <c r="B26" t="s">
        <v>65</v>
      </c>
      <c r="C26" t="s">
        <v>1056</v>
      </c>
      <c r="G26" s="1"/>
      <c r="H26" s="2"/>
      <c r="I26" s="1"/>
      <c r="J26" t="s">
        <v>1045</v>
      </c>
      <c r="K26" t="s">
        <v>1055</v>
      </c>
    </row>
    <row r="27" spans="1:11" ht="14.65" hidden="1">
      <c r="A27" t="s">
        <v>54</v>
      </c>
      <c r="B27" t="s">
        <v>1057</v>
      </c>
      <c r="C27" t="s">
        <v>60</v>
      </c>
      <c r="D27" t="s">
        <v>21</v>
      </c>
      <c r="E27" t="s">
        <v>22</v>
      </c>
      <c r="F27">
        <v>18</v>
      </c>
      <c r="G27" s="1">
        <v>46084.427083333336</v>
      </c>
      <c r="H27" s="2">
        <v>45986.479166666664</v>
      </c>
      <c r="I27" s="1">
        <v>45932</v>
      </c>
      <c r="J27" t="s">
        <v>1045</v>
      </c>
      <c r="K27" t="s">
        <v>1047</v>
      </c>
    </row>
    <row r="28" spans="1:11" ht="14.65" hidden="1">
      <c r="A28" t="s">
        <v>54</v>
      </c>
      <c r="B28" t="s">
        <v>1058</v>
      </c>
      <c r="C28" t="s">
        <v>56</v>
      </c>
      <c r="D28" t="s">
        <v>21</v>
      </c>
      <c r="E28" t="s">
        <v>22</v>
      </c>
      <c r="F28">
        <v>24</v>
      </c>
      <c r="G28" s="1"/>
      <c r="I28" s="1">
        <v>45938</v>
      </c>
      <c r="J28" t="s">
        <v>1045</v>
      </c>
      <c r="K28" t="s">
        <v>1047</v>
      </c>
    </row>
    <row r="29" spans="1:11" ht="14.65" hidden="1">
      <c r="A29" s="3" t="s">
        <v>54</v>
      </c>
      <c r="B29" s="3" t="s">
        <v>68</v>
      </c>
      <c r="C29" s="3" t="s">
        <v>67</v>
      </c>
      <c r="D29" s="3" t="s">
        <v>21</v>
      </c>
      <c r="E29" s="3" t="s">
        <v>22</v>
      </c>
      <c r="F29" s="3">
        <v>76</v>
      </c>
      <c r="G29" s="4">
        <v>46058.375</v>
      </c>
      <c r="H29" s="2">
        <v>45974.708333333336</v>
      </c>
      <c r="I29" s="1">
        <v>45945</v>
      </c>
      <c r="J29" t="s">
        <v>1045</v>
      </c>
      <c r="K29" t="s">
        <v>1048</v>
      </c>
    </row>
    <row r="30" spans="1:11" ht="14.65" hidden="1">
      <c r="A30" s="3" t="s">
        <v>54</v>
      </c>
      <c r="B30" s="3" t="s">
        <v>70</v>
      </c>
      <c r="C30" s="3" t="s">
        <v>69</v>
      </c>
      <c r="D30" s="3" t="s">
        <v>21</v>
      </c>
      <c r="E30" s="3" t="s">
        <v>22</v>
      </c>
      <c r="F30" s="3">
        <v>37</v>
      </c>
      <c r="G30" s="4">
        <v>46058.375</v>
      </c>
      <c r="H30" s="2">
        <v>45971.708333333336</v>
      </c>
      <c r="I30" s="1">
        <v>45940</v>
      </c>
      <c r="J30" t="s">
        <v>1045</v>
      </c>
      <c r="K30" t="s">
        <v>1048</v>
      </c>
    </row>
    <row r="31" spans="1:11" ht="14.65" hidden="1">
      <c r="A31" t="s">
        <v>54</v>
      </c>
      <c r="B31" t="s">
        <v>70</v>
      </c>
      <c r="C31" t="s">
        <v>1059</v>
      </c>
      <c r="G31" s="1"/>
      <c r="H31" s="2"/>
      <c r="I31" s="1"/>
      <c r="J31" t="s">
        <v>1045</v>
      </c>
      <c r="K31" t="s">
        <v>1055</v>
      </c>
    </row>
    <row r="32" spans="1:11" ht="14.65" hidden="1">
      <c r="A32" t="s">
        <v>72</v>
      </c>
      <c r="B32" t="s">
        <v>73</v>
      </c>
      <c r="C32" t="s">
        <v>71</v>
      </c>
      <c r="D32" t="s">
        <v>21</v>
      </c>
      <c r="E32" t="s">
        <v>22</v>
      </c>
      <c r="F32">
        <v>18</v>
      </c>
      <c r="G32" s="1">
        <v>46023.333333333336</v>
      </c>
      <c r="H32" s="2">
        <v>46022.75</v>
      </c>
      <c r="I32" s="1">
        <v>45944</v>
      </c>
      <c r="J32" t="s">
        <v>1045</v>
      </c>
      <c r="K32" t="s">
        <v>1047</v>
      </c>
    </row>
    <row r="33" spans="1:11" ht="14.65" hidden="1">
      <c r="A33" t="s">
        <v>72</v>
      </c>
      <c r="B33" t="s">
        <v>35</v>
      </c>
      <c r="C33" t="s">
        <v>34</v>
      </c>
      <c r="D33" t="s">
        <v>21</v>
      </c>
      <c r="E33" t="s">
        <v>22</v>
      </c>
      <c r="F33">
        <v>36</v>
      </c>
      <c r="G33" s="1">
        <v>46027.333333333336</v>
      </c>
      <c r="H33" s="2">
        <v>46022.333333333336</v>
      </c>
      <c r="I33" s="1">
        <v>45944</v>
      </c>
      <c r="J33" t="s">
        <v>1045</v>
      </c>
      <c r="K33" t="s">
        <v>1047</v>
      </c>
    </row>
    <row r="34" spans="1:11" ht="14.65" hidden="1">
      <c r="A34" t="s">
        <v>74</v>
      </c>
      <c r="B34" t="s">
        <v>75</v>
      </c>
      <c r="D34" t="s">
        <v>76</v>
      </c>
      <c r="G34" s="1"/>
      <c r="J34" t="s">
        <v>1045</v>
      </c>
      <c r="K34" t="s">
        <v>1047</v>
      </c>
    </row>
    <row r="35" spans="1:11" ht="14.65">
      <c r="A35" t="s">
        <v>74</v>
      </c>
      <c r="G35" s="1"/>
      <c r="H35" s="2"/>
      <c r="I35" s="1"/>
      <c r="J35" t="s">
        <v>22</v>
      </c>
      <c r="K35" t="s">
        <v>1060</v>
      </c>
    </row>
    <row r="36" spans="1:11" ht="14.65" hidden="1">
      <c r="A36" s="3" t="s">
        <v>1061</v>
      </c>
      <c r="B36" s="3" t="s">
        <v>79</v>
      </c>
      <c r="C36" s="3" t="s">
        <v>77</v>
      </c>
      <c r="D36" t="s">
        <v>38</v>
      </c>
      <c r="G36" s="4"/>
      <c r="H36" s="6"/>
      <c r="I36" s="1">
        <v>45971</v>
      </c>
      <c r="J36" t="s">
        <v>1045</v>
      </c>
      <c r="K36" t="s">
        <v>1048</v>
      </c>
    </row>
    <row r="37" spans="1:11" ht="14.65" hidden="1">
      <c r="A37" t="s">
        <v>1062</v>
      </c>
      <c r="B37" t="s">
        <v>82</v>
      </c>
      <c r="C37" t="s">
        <v>80</v>
      </c>
      <c r="D37" t="s">
        <v>38</v>
      </c>
      <c r="G37" s="1"/>
      <c r="H37" s="2"/>
      <c r="I37" s="1">
        <v>46052</v>
      </c>
      <c r="J37" t="s">
        <v>1045</v>
      </c>
      <c r="K37" t="s">
        <v>1047</v>
      </c>
    </row>
    <row r="38" spans="1:11" ht="14.65" hidden="1">
      <c r="A38" t="s">
        <v>1062</v>
      </c>
      <c r="B38" t="s">
        <v>90</v>
      </c>
      <c r="C38" t="s">
        <v>89</v>
      </c>
      <c r="D38" t="s">
        <v>38</v>
      </c>
      <c r="G38" s="1"/>
      <c r="H38" s="2"/>
      <c r="I38" s="1">
        <v>46052</v>
      </c>
      <c r="J38" t="s">
        <v>1045</v>
      </c>
      <c r="K38" t="s">
        <v>1047</v>
      </c>
    </row>
    <row r="39" spans="1:11" ht="14.65" hidden="1">
      <c r="A39" t="s">
        <v>1062</v>
      </c>
      <c r="B39" t="s">
        <v>92</v>
      </c>
      <c r="C39" t="s">
        <v>91</v>
      </c>
      <c r="D39" t="s">
        <v>38</v>
      </c>
      <c r="G39" s="1"/>
      <c r="H39" s="2"/>
      <c r="I39" s="1">
        <v>46038</v>
      </c>
      <c r="J39" t="s">
        <v>1045</v>
      </c>
      <c r="K39" t="s">
        <v>1047</v>
      </c>
    </row>
    <row r="40" spans="1:11" ht="14.65" hidden="1">
      <c r="A40" t="s">
        <v>1062</v>
      </c>
      <c r="B40" t="s">
        <v>94</v>
      </c>
      <c r="C40" t="s">
        <v>93</v>
      </c>
      <c r="D40" t="s">
        <v>38</v>
      </c>
      <c r="G40" s="1"/>
      <c r="H40" s="2"/>
      <c r="I40" s="1">
        <v>46048</v>
      </c>
      <c r="J40" t="s">
        <v>1045</v>
      </c>
      <c r="K40" t="s">
        <v>1047</v>
      </c>
    </row>
    <row r="41" spans="1:11" ht="14.65" hidden="1">
      <c r="A41" t="s">
        <v>1062</v>
      </c>
      <c r="B41" t="s">
        <v>84</v>
      </c>
      <c r="C41" t="s">
        <v>83</v>
      </c>
      <c r="D41" t="s">
        <v>38</v>
      </c>
      <c r="G41" s="1"/>
      <c r="H41" s="2"/>
      <c r="I41" s="1">
        <v>46052</v>
      </c>
      <c r="J41" t="s">
        <v>1045</v>
      </c>
      <c r="K41" t="s">
        <v>1047</v>
      </c>
    </row>
    <row r="42" spans="1:11" ht="14.65" hidden="1">
      <c r="A42" t="s">
        <v>1062</v>
      </c>
      <c r="B42" t="s">
        <v>86</v>
      </c>
      <c r="C42" t="s">
        <v>85</v>
      </c>
      <c r="D42" t="s">
        <v>38</v>
      </c>
      <c r="G42" s="1"/>
      <c r="H42" s="2"/>
      <c r="I42" s="1">
        <v>45688</v>
      </c>
      <c r="J42" t="s">
        <v>1045</v>
      </c>
      <c r="K42" t="s">
        <v>1047</v>
      </c>
    </row>
    <row r="43" spans="1:11" ht="14.65" hidden="1">
      <c r="A43" t="s">
        <v>1062</v>
      </c>
      <c r="B43" t="s">
        <v>88</v>
      </c>
      <c r="C43" t="s">
        <v>87</v>
      </c>
      <c r="D43" t="s">
        <v>38</v>
      </c>
      <c r="G43" s="1"/>
      <c r="H43" s="2"/>
      <c r="I43" s="1">
        <v>46036</v>
      </c>
      <c r="J43" t="s">
        <v>1045</v>
      </c>
      <c r="K43" t="s">
        <v>1047</v>
      </c>
    </row>
    <row r="44" spans="1:11" ht="14.65" hidden="1">
      <c r="A44" t="s">
        <v>1062</v>
      </c>
      <c r="B44" t="s">
        <v>96</v>
      </c>
      <c r="C44" t="s">
        <v>95</v>
      </c>
      <c r="D44" t="s">
        <v>38</v>
      </c>
      <c r="G44" s="1"/>
      <c r="H44" s="2"/>
      <c r="I44" s="1">
        <v>45986</v>
      </c>
      <c r="J44" t="s">
        <v>1045</v>
      </c>
      <c r="K44" t="s">
        <v>1047</v>
      </c>
    </row>
    <row r="45" spans="1:11" ht="14.65" hidden="1">
      <c r="A45" t="s">
        <v>1062</v>
      </c>
      <c r="B45" t="s">
        <v>98</v>
      </c>
      <c r="C45" t="s">
        <v>97</v>
      </c>
      <c r="D45" t="s">
        <v>38</v>
      </c>
      <c r="G45" s="1"/>
      <c r="H45" s="2"/>
      <c r="I45" s="1">
        <v>45803</v>
      </c>
      <c r="J45" t="s">
        <v>1045</v>
      </c>
      <c r="K45" t="s">
        <v>1047</v>
      </c>
    </row>
    <row r="46" spans="1:11" ht="14.65" hidden="1">
      <c r="A46" t="s">
        <v>1063</v>
      </c>
      <c r="B46" t="s">
        <v>101</v>
      </c>
      <c r="C46" t="s">
        <v>99</v>
      </c>
      <c r="D46" t="s">
        <v>38</v>
      </c>
      <c r="G46" s="1"/>
      <c r="H46" s="2"/>
      <c r="I46" s="1">
        <v>45569</v>
      </c>
      <c r="J46" t="s">
        <v>1045</v>
      </c>
      <c r="K46" t="s">
        <v>1047</v>
      </c>
    </row>
    <row r="47" spans="1:11" ht="14.65" hidden="1">
      <c r="A47" t="s">
        <v>1063</v>
      </c>
      <c r="B47" t="s">
        <v>103</v>
      </c>
      <c r="C47" t="s">
        <v>102</v>
      </c>
      <c r="D47" t="s">
        <v>38</v>
      </c>
      <c r="G47" s="1"/>
      <c r="H47" s="2"/>
      <c r="I47" s="1">
        <v>45512</v>
      </c>
      <c r="J47" t="s">
        <v>1045</v>
      </c>
      <c r="K47" t="s">
        <v>1047</v>
      </c>
    </row>
    <row r="48" spans="1:11" ht="14.65" hidden="1">
      <c r="A48" t="s">
        <v>1063</v>
      </c>
      <c r="B48" t="s">
        <v>105</v>
      </c>
      <c r="C48" t="s">
        <v>104</v>
      </c>
      <c r="D48" t="s">
        <v>38</v>
      </c>
      <c r="G48" s="1"/>
      <c r="H48" s="2"/>
      <c r="I48" s="1">
        <v>45964</v>
      </c>
      <c r="J48" t="s">
        <v>1045</v>
      </c>
      <c r="K48" t="s">
        <v>1047</v>
      </c>
    </row>
    <row r="49" spans="1:11" ht="14.65" hidden="1">
      <c r="A49" t="s">
        <v>1064</v>
      </c>
      <c r="B49" t="s">
        <v>1065</v>
      </c>
      <c r="C49" t="s">
        <v>1066</v>
      </c>
      <c r="D49" t="s">
        <v>38</v>
      </c>
      <c r="G49" s="1"/>
      <c r="H49" s="2"/>
      <c r="I49" s="1"/>
      <c r="J49" t="s">
        <v>1045</v>
      </c>
      <c r="K49" t="s">
        <v>1047</v>
      </c>
    </row>
    <row r="50" spans="1:11" ht="14.65" hidden="1">
      <c r="A50" t="s">
        <v>1064</v>
      </c>
      <c r="B50" t="s">
        <v>1067</v>
      </c>
      <c r="C50" t="s">
        <v>1068</v>
      </c>
      <c r="D50" t="s">
        <v>38</v>
      </c>
      <c r="G50" s="1"/>
      <c r="H50" s="2"/>
      <c r="I50" s="1"/>
      <c r="J50" t="s">
        <v>1045</v>
      </c>
      <c r="K50" t="s">
        <v>1047</v>
      </c>
    </row>
    <row r="51" spans="1:11" ht="14.65" hidden="1">
      <c r="A51" t="s">
        <v>1064</v>
      </c>
      <c r="B51" t="s">
        <v>1069</v>
      </c>
      <c r="C51" t="s">
        <v>1070</v>
      </c>
      <c r="D51" t="s">
        <v>38</v>
      </c>
      <c r="G51" s="1"/>
      <c r="H51" s="2"/>
      <c r="I51" s="1"/>
      <c r="J51" t="s">
        <v>1045</v>
      </c>
      <c r="K51" t="s">
        <v>1047</v>
      </c>
    </row>
    <row r="52" spans="1:11" ht="14.65" hidden="1">
      <c r="A52" t="s">
        <v>1064</v>
      </c>
      <c r="B52" t="s">
        <v>1071</v>
      </c>
      <c r="C52" t="s">
        <v>1072</v>
      </c>
      <c r="D52" t="s">
        <v>38</v>
      </c>
      <c r="G52" s="1"/>
      <c r="H52" s="2"/>
      <c r="I52" s="1"/>
      <c r="J52" t="s">
        <v>1045</v>
      </c>
      <c r="K52" t="s">
        <v>1047</v>
      </c>
    </row>
    <row r="53" spans="1:11" ht="14.65" hidden="1">
      <c r="A53" t="s">
        <v>1064</v>
      </c>
      <c r="B53" t="s">
        <v>1073</v>
      </c>
      <c r="C53" t="s">
        <v>1074</v>
      </c>
      <c r="D53" t="s">
        <v>38</v>
      </c>
      <c r="G53" s="1"/>
      <c r="H53" s="2"/>
      <c r="I53" s="1">
        <v>46083</v>
      </c>
      <c r="J53" t="s">
        <v>1045</v>
      </c>
      <c r="K53" t="s">
        <v>1047</v>
      </c>
    </row>
    <row r="54" spans="1:11" ht="14.65" hidden="1">
      <c r="A54" t="s">
        <v>1064</v>
      </c>
      <c r="B54" t="s">
        <v>1075</v>
      </c>
      <c r="C54" t="s">
        <v>1076</v>
      </c>
      <c r="D54" t="s">
        <v>38</v>
      </c>
      <c r="G54" s="1"/>
      <c r="H54" s="2"/>
      <c r="I54" s="1">
        <v>46086</v>
      </c>
      <c r="J54" t="s">
        <v>1045</v>
      </c>
      <c r="K54" t="s">
        <v>1047</v>
      </c>
    </row>
    <row r="55" spans="1:11" ht="14.65" hidden="1">
      <c r="A55" t="s">
        <v>1064</v>
      </c>
      <c r="B55" t="s">
        <v>79</v>
      </c>
      <c r="C55" t="s">
        <v>77</v>
      </c>
      <c r="D55" t="s">
        <v>38</v>
      </c>
      <c r="G55" s="1"/>
      <c r="H55" s="2"/>
      <c r="I55" s="1">
        <v>45971</v>
      </c>
      <c r="J55" t="s">
        <v>1045</v>
      </c>
      <c r="K55" t="s">
        <v>1047</v>
      </c>
    </row>
    <row r="56" spans="1:11" ht="14.65" hidden="1">
      <c r="A56" t="s">
        <v>1064</v>
      </c>
      <c r="B56" t="s">
        <v>1077</v>
      </c>
      <c r="C56" t="s">
        <v>1078</v>
      </c>
      <c r="D56" t="s">
        <v>38</v>
      </c>
      <c r="G56" s="1"/>
      <c r="H56" s="2"/>
      <c r="I56" s="1">
        <v>46079</v>
      </c>
      <c r="J56" t="s">
        <v>1045</v>
      </c>
      <c r="K56" t="s">
        <v>1047</v>
      </c>
    </row>
    <row r="57" spans="1:11" ht="14.65" hidden="1">
      <c r="A57" t="s">
        <v>1064</v>
      </c>
      <c r="B57" t="s">
        <v>1079</v>
      </c>
      <c r="C57" t="s">
        <v>1080</v>
      </c>
      <c r="D57" t="s">
        <v>38</v>
      </c>
      <c r="G57" s="1"/>
      <c r="H57" s="2"/>
      <c r="I57" s="1"/>
      <c r="J57" t="s">
        <v>1045</v>
      </c>
      <c r="K57" t="s">
        <v>1047</v>
      </c>
    </row>
    <row r="58" spans="1:11" ht="14.65" hidden="1">
      <c r="A58" t="s">
        <v>108</v>
      </c>
      <c r="B58" t="s">
        <v>109</v>
      </c>
      <c r="C58" t="s">
        <v>107</v>
      </c>
      <c r="D58" t="s">
        <v>38</v>
      </c>
      <c r="G58" s="1"/>
      <c r="H58" s="2"/>
      <c r="I58" s="1">
        <v>46000</v>
      </c>
      <c r="J58" t="s">
        <v>1045</v>
      </c>
      <c r="K58" t="s">
        <v>1047</v>
      </c>
    </row>
    <row r="59" spans="1:11" ht="14.65" hidden="1">
      <c r="A59" t="s">
        <v>108</v>
      </c>
      <c r="B59" t="s">
        <v>111</v>
      </c>
      <c r="C59" t="s">
        <v>110</v>
      </c>
      <c r="D59" t="s">
        <v>38</v>
      </c>
      <c r="G59" s="1"/>
      <c r="H59" s="2"/>
      <c r="I59" s="1">
        <v>45910</v>
      </c>
      <c r="J59" t="s">
        <v>1045</v>
      </c>
      <c r="K59" t="s">
        <v>1047</v>
      </c>
    </row>
    <row r="60" spans="1:11" ht="14.65" hidden="1">
      <c r="A60" t="s">
        <v>108</v>
      </c>
      <c r="B60" t="s">
        <v>113</v>
      </c>
      <c r="C60" t="s">
        <v>112</v>
      </c>
      <c r="D60" t="s">
        <v>38</v>
      </c>
      <c r="G60" s="1"/>
      <c r="H60" s="2"/>
      <c r="I60" s="1">
        <v>45665</v>
      </c>
      <c r="J60" t="s">
        <v>1045</v>
      </c>
      <c r="K60" t="s">
        <v>1047</v>
      </c>
    </row>
    <row r="61" spans="1:11" ht="14.65" hidden="1">
      <c r="A61" t="s">
        <v>115</v>
      </c>
      <c r="B61" t="s">
        <v>116</v>
      </c>
      <c r="C61" t="s">
        <v>114</v>
      </c>
      <c r="D61" t="s">
        <v>38</v>
      </c>
      <c r="G61" s="1"/>
      <c r="H61" s="2"/>
      <c r="I61" s="1">
        <v>46007</v>
      </c>
      <c r="J61" t="s">
        <v>1045</v>
      </c>
      <c r="K61" t="s">
        <v>1047</v>
      </c>
    </row>
    <row r="62" spans="1:11" ht="14.65" hidden="1">
      <c r="A62" t="s">
        <v>115</v>
      </c>
      <c r="B62" t="s">
        <v>118</v>
      </c>
      <c r="C62" t="s">
        <v>117</v>
      </c>
      <c r="D62" t="s">
        <v>38</v>
      </c>
      <c r="G62" s="1"/>
      <c r="H62" s="2"/>
      <c r="I62" s="1">
        <v>46002</v>
      </c>
      <c r="J62" t="s">
        <v>1045</v>
      </c>
      <c r="K62" t="s">
        <v>1047</v>
      </c>
    </row>
    <row r="63" spans="1:11" ht="14.65" hidden="1">
      <c r="A63" t="s">
        <v>115</v>
      </c>
      <c r="B63" t="s">
        <v>120</v>
      </c>
      <c r="C63" t="s">
        <v>119</v>
      </c>
      <c r="D63" t="s">
        <v>38</v>
      </c>
      <c r="G63" s="1"/>
      <c r="H63" s="2"/>
      <c r="I63" s="1">
        <v>45771</v>
      </c>
      <c r="J63" t="s">
        <v>1045</v>
      </c>
      <c r="K63" t="s">
        <v>1047</v>
      </c>
    </row>
    <row r="64" spans="1:11" ht="14.65" hidden="1">
      <c r="A64" t="s">
        <v>122</v>
      </c>
      <c r="B64" t="s">
        <v>123</v>
      </c>
      <c r="C64" t="s">
        <v>121</v>
      </c>
      <c r="D64" t="s">
        <v>38</v>
      </c>
      <c r="G64" s="1"/>
      <c r="H64" s="2"/>
      <c r="I64" s="1">
        <v>46030</v>
      </c>
      <c r="J64" t="s">
        <v>1045</v>
      </c>
      <c r="K64" t="s">
        <v>1047</v>
      </c>
    </row>
    <row r="65" spans="1:11" ht="14.65" hidden="1">
      <c r="A65" t="s">
        <v>122</v>
      </c>
      <c r="B65" t="s">
        <v>125</v>
      </c>
      <c r="C65" t="s">
        <v>124</v>
      </c>
      <c r="D65" t="s">
        <v>38</v>
      </c>
      <c r="G65" s="1"/>
      <c r="H65" s="2"/>
      <c r="I65" s="1">
        <v>45894</v>
      </c>
      <c r="J65" t="s">
        <v>1045</v>
      </c>
      <c r="K65" t="s">
        <v>1047</v>
      </c>
    </row>
    <row r="66" spans="1:11" ht="14.65" hidden="1">
      <c r="A66" t="s">
        <v>122</v>
      </c>
      <c r="B66" t="s">
        <v>127</v>
      </c>
      <c r="C66" t="s">
        <v>126</v>
      </c>
      <c r="D66" t="s">
        <v>38</v>
      </c>
      <c r="G66" s="1"/>
      <c r="H66" s="2"/>
      <c r="I66" s="1">
        <v>45749</v>
      </c>
      <c r="J66" t="s">
        <v>1045</v>
      </c>
      <c r="K66" t="s">
        <v>1047</v>
      </c>
    </row>
    <row r="67" spans="1:11" ht="14.65" hidden="1">
      <c r="A67" t="s">
        <v>129</v>
      </c>
      <c r="B67" t="s">
        <v>130</v>
      </c>
      <c r="C67" t="s">
        <v>128</v>
      </c>
      <c r="D67" t="s">
        <v>38</v>
      </c>
      <c r="G67" s="1"/>
      <c r="H67" s="2"/>
      <c r="I67" s="1">
        <v>46043</v>
      </c>
      <c r="J67" t="s">
        <v>1045</v>
      </c>
      <c r="K67" t="s">
        <v>1047</v>
      </c>
    </row>
    <row r="68" spans="1:11" ht="14.65" hidden="1">
      <c r="A68" t="s">
        <v>129</v>
      </c>
      <c r="B68" t="s">
        <v>132</v>
      </c>
      <c r="C68" t="s">
        <v>131</v>
      </c>
      <c r="D68" t="s">
        <v>38</v>
      </c>
      <c r="G68" s="1"/>
      <c r="H68" s="2"/>
      <c r="I68" s="1">
        <v>45894</v>
      </c>
      <c r="J68" t="s">
        <v>1045</v>
      </c>
      <c r="K68" t="s">
        <v>1047</v>
      </c>
    </row>
    <row r="69" spans="1:11" ht="14.65" hidden="1">
      <c r="A69" t="s">
        <v>129</v>
      </c>
      <c r="B69" t="s">
        <v>134</v>
      </c>
      <c r="C69" t="s">
        <v>133</v>
      </c>
      <c r="D69" t="s">
        <v>38</v>
      </c>
      <c r="G69" s="1"/>
      <c r="H69" s="2"/>
      <c r="I69" s="1">
        <v>45894</v>
      </c>
      <c r="J69" t="s">
        <v>1045</v>
      </c>
      <c r="K69" t="s">
        <v>1047</v>
      </c>
    </row>
    <row r="70" spans="1:11" ht="14.65" hidden="1">
      <c r="A70" t="s">
        <v>129</v>
      </c>
      <c r="B70" t="s">
        <v>136</v>
      </c>
      <c r="C70" t="s">
        <v>135</v>
      </c>
      <c r="D70" t="s">
        <v>38</v>
      </c>
      <c r="G70" s="1"/>
      <c r="H70" s="2"/>
      <c r="I70" s="1">
        <v>45894</v>
      </c>
      <c r="J70" t="s">
        <v>1045</v>
      </c>
      <c r="K70" t="s">
        <v>1047</v>
      </c>
    </row>
    <row r="71" spans="1:11" ht="14.65" hidden="1">
      <c r="A71" t="s">
        <v>129</v>
      </c>
      <c r="B71" t="s">
        <v>138</v>
      </c>
      <c r="C71" t="s">
        <v>137</v>
      </c>
      <c r="D71" t="s">
        <v>38</v>
      </c>
      <c r="G71" s="1"/>
      <c r="H71" s="2"/>
      <c r="I71" s="1">
        <v>45894</v>
      </c>
      <c r="J71" t="s">
        <v>1045</v>
      </c>
      <c r="K71" t="s">
        <v>1047</v>
      </c>
    </row>
    <row r="72" spans="1:11" ht="14.65" hidden="1">
      <c r="A72" t="s">
        <v>140</v>
      </c>
      <c r="B72" t="s">
        <v>141</v>
      </c>
      <c r="C72" t="s">
        <v>139</v>
      </c>
      <c r="D72" t="s">
        <v>38</v>
      </c>
      <c r="G72" s="1"/>
      <c r="H72" s="2"/>
      <c r="I72" s="1">
        <v>45995</v>
      </c>
      <c r="J72" t="s">
        <v>1045</v>
      </c>
      <c r="K72" t="s">
        <v>1047</v>
      </c>
    </row>
    <row r="73" spans="1:11" ht="14.65" hidden="1">
      <c r="A73" t="s">
        <v>140</v>
      </c>
      <c r="B73" t="s">
        <v>143</v>
      </c>
      <c r="C73" t="s">
        <v>142</v>
      </c>
      <c r="D73" t="s">
        <v>38</v>
      </c>
      <c r="G73" s="1"/>
      <c r="H73" s="2"/>
      <c r="I73" s="1">
        <v>46038</v>
      </c>
      <c r="J73" t="s">
        <v>1045</v>
      </c>
      <c r="K73" t="s">
        <v>1047</v>
      </c>
    </row>
    <row r="74" spans="1:11" ht="14.65" hidden="1">
      <c r="A74" t="s">
        <v>140</v>
      </c>
      <c r="B74" t="s">
        <v>145</v>
      </c>
      <c r="C74" t="s">
        <v>144</v>
      </c>
      <c r="D74" t="s">
        <v>38</v>
      </c>
      <c r="G74" s="1"/>
      <c r="H74" s="2"/>
      <c r="I74" s="1">
        <v>45533</v>
      </c>
      <c r="J74" t="s">
        <v>1045</v>
      </c>
      <c r="K74" t="s">
        <v>1047</v>
      </c>
    </row>
    <row r="75" spans="1:11" ht="14.65" hidden="1">
      <c r="A75" t="s">
        <v>140</v>
      </c>
      <c r="B75" t="s">
        <v>147</v>
      </c>
      <c r="C75" t="s">
        <v>146</v>
      </c>
      <c r="D75" t="s">
        <v>38</v>
      </c>
      <c r="G75" s="1"/>
      <c r="H75" s="2"/>
      <c r="I75" s="1">
        <v>45915</v>
      </c>
      <c r="J75" t="s">
        <v>1045</v>
      </c>
      <c r="K75" t="s">
        <v>1047</v>
      </c>
    </row>
    <row r="76" spans="1:11" ht="14.65" hidden="1">
      <c r="A76" t="s">
        <v>149</v>
      </c>
      <c r="B76" t="s">
        <v>150</v>
      </c>
      <c r="C76" t="s">
        <v>148</v>
      </c>
      <c r="D76" t="s">
        <v>38</v>
      </c>
      <c r="G76" s="1"/>
      <c r="H76" s="2"/>
      <c r="I76" s="1">
        <v>46047</v>
      </c>
      <c r="J76" t="s">
        <v>1045</v>
      </c>
      <c r="K76" t="s">
        <v>1047</v>
      </c>
    </row>
    <row r="77" spans="1:11" ht="14.65" hidden="1">
      <c r="A77" t="s">
        <v>149</v>
      </c>
      <c r="B77" t="s">
        <v>152</v>
      </c>
      <c r="C77" t="s">
        <v>151</v>
      </c>
      <c r="D77" t="s">
        <v>38</v>
      </c>
      <c r="G77" s="1"/>
      <c r="H77" s="2"/>
      <c r="I77" s="1">
        <v>45995</v>
      </c>
      <c r="J77" t="s">
        <v>1045</v>
      </c>
      <c r="K77" t="s">
        <v>1047</v>
      </c>
    </row>
    <row r="78" spans="1:11" ht="14.65" hidden="1">
      <c r="A78" t="s">
        <v>149</v>
      </c>
      <c r="B78" t="s">
        <v>154</v>
      </c>
      <c r="C78" t="s">
        <v>153</v>
      </c>
      <c r="D78" t="s">
        <v>38</v>
      </c>
      <c r="G78" s="1"/>
      <c r="H78" s="2"/>
      <c r="I78" s="1">
        <v>45774</v>
      </c>
      <c r="J78" t="s">
        <v>1045</v>
      </c>
      <c r="K78" t="s">
        <v>1047</v>
      </c>
    </row>
    <row r="79" spans="1:11" ht="14.65" hidden="1">
      <c r="A79" t="s">
        <v>149</v>
      </c>
      <c r="B79" t="s">
        <v>156</v>
      </c>
      <c r="C79" t="s">
        <v>155</v>
      </c>
      <c r="D79" t="s">
        <v>38</v>
      </c>
      <c r="G79" s="1"/>
      <c r="H79" s="2"/>
      <c r="I79" s="1">
        <v>46051</v>
      </c>
      <c r="J79" t="s">
        <v>1045</v>
      </c>
      <c r="K79" t="s">
        <v>1047</v>
      </c>
    </row>
    <row r="80" spans="1:11" ht="14.65" hidden="1">
      <c r="A80" t="s">
        <v>149</v>
      </c>
      <c r="B80" t="s">
        <v>158</v>
      </c>
      <c r="C80" t="s">
        <v>157</v>
      </c>
      <c r="D80" t="s">
        <v>38</v>
      </c>
      <c r="G80" s="1"/>
      <c r="H80" s="2"/>
      <c r="I80" s="1">
        <v>45862</v>
      </c>
      <c r="J80" t="s">
        <v>1045</v>
      </c>
      <c r="K80" t="s">
        <v>1047</v>
      </c>
    </row>
    <row r="81" spans="1:11" ht="14.65" hidden="1">
      <c r="A81" t="s">
        <v>149</v>
      </c>
      <c r="B81" t="s">
        <v>160</v>
      </c>
      <c r="C81" t="s">
        <v>159</v>
      </c>
      <c r="D81" t="s">
        <v>38</v>
      </c>
      <c r="G81" s="1"/>
      <c r="H81" s="2"/>
      <c r="I81" s="1">
        <v>45771</v>
      </c>
      <c r="J81" t="s">
        <v>1045</v>
      </c>
      <c r="K81" t="s">
        <v>1047</v>
      </c>
    </row>
    <row r="82" spans="1:11" ht="14.65" hidden="1">
      <c r="A82" t="s">
        <v>162</v>
      </c>
      <c r="B82" t="s">
        <v>163</v>
      </c>
      <c r="C82" t="s">
        <v>161</v>
      </c>
      <c r="D82" t="s">
        <v>38</v>
      </c>
      <c r="G82" s="1"/>
      <c r="H82" s="2"/>
      <c r="I82" s="1">
        <v>46051</v>
      </c>
      <c r="J82" t="s">
        <v>1045</v>
      </c>
      <c r="K82" t="s">
        <v>1047</v>
      </c>
    </row>
    <row r="83" spans="1:11" ht="14.65" hidden="1">
      <c r="A83" t="s">
        <v>162</v>
      </c>
      <c r="B83" t="s">
        <v>165</v>
      </c>
      <c r="C83" t="s">
        <v>164</v>
      </c>
      <c r="D83" t="s">
        <v>38</v>
      </c>
      <c r="G83" s="1"/>
      <c r="H83" s="2"/>
      <c r="I83" s="1">
        <v>45866</v>
      </c>
      <c r="J83" t="s">
        <v>1045</v>
      </c>
      <c r="K83" t="s">
        <v>1047</v>
      </c>
    </row>
    <row r="84" spans="1:11" ht="14.65" hidden="1">
      <c r="A84" t="s">
        <v>162</v>
      </c>
      <c r="B84" t="s">
        <v>167</v>
      </c>
      <c r="C84" t="s">
        <v>166</v>
      </c>
      <c r="D84" t="s">
        <v>38</v>
      </c>
      <c r="G84" s="1"/>
      <c r="H84" s="2"/>
      <c r="I84" s="1">
        <v>45898</v>
      </c>
      <c r="J84" t="s">
        <v>1045</v>
      </c>
      <c r="K84" t="s">
        <v>1047</v>
      </c>
    </row>
    <row r="85" spans="1:11" ht="14.65" hidden="1">
      <c r="A85" t="s">
        <v>162</v>
      </c>
      <c r="B85" t="s">
        <v>169</v>
      </c>
      <c r="C85" t="s">
        <v>168</v>
      </c>
      <c r="D85" t="s">
        <v>38</v>
      </c>
      <c r="G85" s="1"/>
      <c r="H85" s="2"/>
      <c r="I85" s="1">
        <v>46035</v>
      </c>
      <c r="J85" t="s">
        <v>1045</v>
      </c>
      <c r="K85" t="s">
        <v>1047</v>
      </c>
    </row>
    <row r="86" spans="1:11" ht="14.65" hidden="1">
      <c r="A86" t="s">
        <v>162</v>
      </c>
      <c r="B86" t="s">
        <v>171</v>
      </c>
      <c r="C86" t="s">
        <v>170</v>
      </c>
      <c r="D86" t="s">
        <v>38</v>
      </c>
      <c r="G86" s="1"/>
      <c r="H86" s="2"/>
      <c r="I86" s="1">
        <v>46038</v>
      </c>
      <c r="J86" t="s">
        <v>1045</v>
      </c>
      <c r="K86" t="s">
        <v>1047</v>
      </c>
    </row>
    <row r="87" spans="1:11" ht="14.65" hidden="1">
      <c r="A87" t="s">
        <v>173</v>
      </c>
      <c r="B87" t="s">
        <v>174</v>
      </c>
      <c r="C87" t="s">
        <v>172</v>
      </c>
      <c r="D87" t="s">
        <v>38</v>
      </c>
      <c r="G87" s="1"/>
      <c r="H87" s="2"/>
      <c r="I87" s="1"/>
      <c r="J87" t="s">
        <v>1045</v>
      </c>
      <c r="K87" t="s">
        <v>1047</v>
      </c>
    </row>
    <row r="88" spans="1:11" ht="14.65" hidden="1">
      <c r="A88" t="s">
        <v>173</v>
      </c>
      <c r="B88" t="s">
        <v>176</v>
      </c>
      <c r="C88" t="s">
        <v>175</v>
      </c>
      <c r="D88" t="s">
        <v>38</v>
      </c>
      <c r="G88" s="1"/>
      <c r="H88" s="2"/>
      <c r="I88" s="1">
        <v>46027</v>
      </c>
      <c r="J88" t="s">
        <v>1045</v>
      </c>
      <c r="K88" t="s">
        <v>1047</v>
      </c>
    </row>
    <row r="89" spans="1:11" ht="14.65" hidden="1">
      <c r="A89" t="s">
        <v>173</v>
      </c>
      <c r="B89" t="s">
        <v>178</v>
      </c>
      <c r="C89" t="s">
        <v>177</v>
      </c>
      <c r="D89" t="s">
        <v>38</v>
      </c>
      <c r="G89" s="1"/>
      <c r="H89" s="2"/>
      <c r="I89" s="1">
        <v>45718</v>
      </c>
      <c r="J89" t="s">
        <v>1045</v>
      </c>
      <c r="K89" t="s">
        <v>1047</v>
      </c>
    </row>
    <row r="90" spans="1:11" ht="14.65" hidden="1">
      <c r="A90" t="s">
        <v>173</v>
      </c>
      <c r="B90" t="s">
        <v>180</v>
      </c>
      <c r="C90" t="s">
        <v>179</v>
      </c>
      <c r="D90" t="s">
        <v>38</v>
      </c>
      <c r="G90" s="1"/>
      <c r="H90" s="2"/>
      <c r="I90" s="1">
        <v>46037</v>
      </c>
      <c r="J90" t="s">
        <v>1045</v>
      </c>
      <c r="K90" t="s">
        <v>1047</v>
      </c>
    </row>
    <row r="91" spans="1:11" ht="14.65" hidden="1">
      <c r="A91" t="s">
        <v>173</v>
      </c>
      <c r="B91" t="s">
        <v>182</v>
      </c>
      <c r="C91" t="s">
        <v>181</v>
      </c>
      <c r="D91" t="s">
        <v>38</v>
      </c>
      <c r="G91" s="1"/>
      <c r="H91" s="2"/>
      <c r="I91" s="1">
        <v>45985</v>
      </c>
      <c r="J91" t="s">
        <v>1045</v>
      </c>
      <c r="K91" t="s">
        <v>1047</v>
      </c>
    </row>
    <row r="92" spans="1:11" ht="14.65" hidden="1">
      <c r="A92" t="s">
        <v>173</v>
      </c>
      <c r="B92" t="s">
        <v>184</v>
      </c>
      <c r="C92" t="s">
        <v>183</v>
      </c>
      <c r="D92" t="s">
        <v>38</v>
      </c>
      <c r="G92" s="1"/>
      <c r="H92" s="2"/>
      <c r="I92" s="1">
        <v>46029</v>
      </c>
      <c r="J92" t="s">
        <v>1045</v>
      </c>
      <c r="K92" t="s">
        <v>1047</v>
      </c>
    </row>
    <row r="93" spans="1:11" ht="14.65" hidden="1">
      <c r="A93" t="s">
        <v>173</v>
      </c>
      <c r="B93" t="s">
        <v>186</v>
      </c>
      <c r="C93" t="s">
        <v>185</v>
      </c>
      <c r="D93" t="s">
        <v>38</v>
      </c>
      <c r="G93" s="1"/>
      <c r="H93" s="2"/>
      <c r="I93" s="1">
        <v>45915</v>
      </c>
      <c r="J93" t="s">
        <v>1045</v>
      </c>
      <c r="K93" t="s">
        <v>1047</v>
      </c>
    </row>
    <row r="94" spans="1:11" ht="14.65" hidden="1">
      <c r="A94" t="s">
        <v>173</v>
      </c>
      <c r="B94" t="s">
        <v>188</v>
      </c>
      <c r="C94" t="s">
        <v>187</v>
      </c>
      <c r="D94" t="s">
        <v>38</v>
      </c>
      <c r="G94" s="1"/>
      <c r="H94" s="2"/>
      <c r="I94" s="1">
        <v>45839</v>
      </c>
      <c r="J94" t="s">
        <v>1045</v>
      </c>
      <c r="K94" t="s">
        <v>1047</v>
      </c>
    </row>
    <row r="95" spans="1:11" ht="14.65">
      <c r="A95" t="s">
        <v>190</v>
      </c>
      <c r="B95" t="s">
        <v>191</v>
      </c>
      <c r="C95" t="s">
        <v>189</v>
      </c>
      <c r="D95" t="s">
        <v>21</v>
      </c>
      <c r="E95" t="s">
        <v>22</v>
      </c>
      <c r="F95">
        <v>53</v>
      </c>
      <c r="G95" s="1">
        <v>46196.375</v>
      </c>
      <c r="H95" s="2">
        <v>45993.520833333336</v>
      </c>
      <c r="I95" s="1">
        <v>45940</v>
      </c>
      <c r="J95" t="s">
        <v>22</v>
      </c>
      <c r="K95" t="s">
        <v>1047</v>
      </c>
    </row>
    <row r="96" spans="1:11" ht="14.65" hidden="1">
      <c r="A96" s="3" t="s">
        <v>190</v>
      </c>
      <c r="B96" s="3" t="s">
        <v>193</v>
      </c>
      <c r="C96" s="3" t="s">
        <v>192</v>
      </c>
      <c r="D96" s="3" t="s">
        <v>16</v>
      </c>
      <c r="E96" s="3"/>
      <c r="F96" s="3"/>
      <c r="G96" s="4">
        <v>45932.375</v>
      </c>
      <c r="H96" s="2">
        <v>45932.708333333336</v>
      </c>
      <c r="I96" s="1">
        <v>45933</v>
      </c>
      <c r="J96" t="s">
        <v>1045</v>
      </c>
      <c r="K96" t="s">
        <v>1048</v>
      </c>
    </row>
    <row r="97" spans="1:11" ht="14.65">
      <c r="A97" t="s">
        <v>190</v>
      </c>
      <c r="B97" t="s">
        <v>1081</v>
      </c>
      <c r="C97" t="s">
        <v>1082</v>
      </c>
      <c r="D97" t="s">
        <v>21</v>
      </c>
      <c r="E97" t="s">
        <v>22</v>
      </c>
      <c r="F97">
        <v>2</v>
      </c>
      <c r="G97" s="1">
        <v>46106.395833333336</v>
      </c>
      <c r="H97" s="2">
        <v>46106.541666666664</v>
      </c>
      <c r="I97" s="1">
        <v>46086</v>
      </c>
      <c r="J97" t="s">
        <v>22</v>
      </c>
    </row>
    <row r="98" spans="1:11" ht="14.65">
      <c r="A98" t="s">
        <v>190</v>
      </c>
      <c r="B98" t="s">
        <v>195</v>
      </c>
      <c r="C98" t="s">
        <v>194</v>
      </c>
      <c r="D98" t="s">
        <v>21</v>
      </c>
      <c r="E98" t="s">
        <v>25</v>
      </c>
      <c r="G98" s="1">
        <v>45667.333333333336</v>
      </c>
      <c r="H98" s="2">
        <v>47312.333333333336</v>
      </c>
      <c r="I98" t="s">
        <v>198</v>
      </c>
      <c r="J98" t="s">
        <v>22</v>
      </c>
      <c r="K98" t="s">
        <v>1047</v>
      </c>
    </row>
    <row r="99" spans="1:11" ht="14.65">
      <c r="A99" t="s">
        <v>190</v>
      </c>
      <c r="B99" t="s">
        <v>197</v>
      </c>
      <c r="C99" t="s">
        <v>196</v>
      </c>
      <c r="D99" t="s">
        <v>21</v>
      </c>
      <c r="E99" t="s">
        <v>25</v>
      </c>
      <c r="G99" s="1">
        <v>45686.333333333336</v>
      </c>
      <c r="H99" s="2">
        <v>47330.333333333336</v>
      </c>
      <c r="I99" t="s">
        <v>198</v>
      </c>
      <c r="J99" t="s">
        <v>22</v>
      </c>
      <c r="K99" t="s">
        <v>1047</v>
      </c>
    </row>
    <row r="100" spans="1:11" ht="14.65" hidden="1">
      <c r="A100" s="3" t="s">
        <v>190</v>
      </c>
      <c r="B100" s="3" t="s">
        <v>200</v>
      </c>
      <c r="C100" s="3" t="s">
        <v>199</v>
      </c>
      <c r="D100" s="3" t="s">
        <v>21</v>
      </c>
      <c r="E100" s="3" t="s">
        <v>22</v>
      </c>
      <c r="F100" s="3">
        <v>32</v>
      </c>
      <c r="G100" s="4">
        <v>45372.583333333336</v>
      </c>
      <c r="H100" s="2">
        <v>45372.6875</v>
      </c>
      <c r="I100" s="1">
        <v>45925</v>
      </c>
      <c r="J100" t="s">
        <v>1045</v>
      </c>
      <c r="K100" t="s">
        <v>1048</v>
      </c>
    </row>
    <row r="101" spans="1:11" ht="14.65" hidden="1">
      <c r="A101" s="3" t="s">
        <v>190</v>
      </c>
      <c r="B101" s="3" t="s">
        <v>202</v>
      </c>
      <c r="C101" s="3" t="s">
        <v>201</v>
      </c>
      <c r="D101" s="3" t="s">
        <v>21</v>
      </c>
      <c r="E101" s="3" t="s">
        <v>22</v>
      </c>
      <c r="F101" s="3">
        <v>19</v>
      </c>
      <c r="G101" s="4">
        <v>45372.395833333336</v>
      </c>
      <c r="H101" s="2">
        <v>45372.5</v>
      </c>
      <c r="I101" s="1">
        <v>45932</v>
      </c>
      <c r="J101" t="s">
        <v>1045</v>
      </c>
      <c r="K101" t="s">
        <v>1048</v>
      </c>
    </row>
    <row r="102" spans="1:11" ht="14.65" hidden="1">
      <c r="A102" t="s">
        <v>190</v>
      </c>
      <c r="B102" t="s">
        <v>204</v>
      </c>
      <c r="C102" t="s">
        <v>1083</v>
      </c>
      <c r="D102" t="s">
        <v>21</v>
      </c>
      <c r="E102" t="s">
        <v>25</v>
      </c>
      <c r="G102" s="1">
        <v>45729.333333333336</v>
      </c>
      <c r="H102" s="2">
        <v>47330.333333333336</v>
      </c>
      <c r="I102" t="s">
        <v>198</v>
      </c>
      <c r="J102" t="s">
        <v>1045</v>
      </c>
      <c r="K102" t="s">
        <v>1047</v>
      </c>
    </row>
    <row r="103" spans="1:11" ht="14.65" hidden="1">
      <c r="A103" s="3" t="s">
        <v>190</v>
      </c>
      <c r="B103" s="3" t="s">
        <v>206</v>
      </c>
      <c r="C103" s="3" t="s">
        <v>205</v>
      </c>
      <c r="D103" s="3" t="s">
        <v>21</v>
      </c>
      <c r="E103" s="3" t="s">
        <v>22</v>
      </c>
      <c r="F103" s="3">
        <v>4</v>
      </c>
      <c r="G103" s="4">
        <v>45371.395833333336</v>
      </c>
      <c r="H103" s="2">
        <v>45371.520833333336</v>
      </c>
      <c r="I103" s="1">
        <v>45747</v>
      </c>
      <c r="J103" t="s">
        <v>1045</v>
      </c>
      <c r="K103" t="s">
        <v>1048</v>
      </c>
    </row>
    <row r="104" spans="1:11" ht="14.65" hidden="1">
      <c r="A104" s="3" t="s">
        <v>190</v>
      </c>
      <c r="B104" s="3" t="s">
        <v>208</v>
      </c>
      <c r="C104" s="3" t="s">
        <v>207</v>
      </c>
      <c r="D104" s="3" t="s">
        <v>21</v>
      </c>
      <c r="E104" s="3" t="s">
        <v>22</v>
      </c>
      <c r="F104" s="3">
        <v>5</v>
      </c>
      <c r="G104" s="4">
        <v>45790.375</v>
      </c>
      <c r="H104" s="2">
        <v>45791.708333333336</v>
      </c>
      <c r="I104" s="1">
        <v>45937</v>
      </c>
      <c r="J104" t="s">
        <v>1045</v>
      </c>
      <c r="K104" t="s">
        <v>1048</v>
      </c>
    </row>
    <row r="105" spans="1:11" ht="14.65" hidden="1">
      <c r="A105" s="3" t="s">
        <v>190</v>
      </c>
      <c r="B105" s="3" t="s">
        <v>210</v>
      </c>
      <c r="C105" s="3" t="s">
        <v>209</v>
      </c>
      <c r="D105" s="3" t="s">
        <v>21</v>
      </c>
      <c r="E105" s="3" t="s">
        <v>22</v>
      </c>
      <c r="F105" s="3">
        <v>2</v>
      </c>
      <c r="G105" s="4">
        <v>45926.395833333336</v>
      </c>
      <c r="H105" s="2">
        <v>45926.520833333336</v>
      </c>
      <c r="I105" s="1">
        <v>45934</v>
      </c>
      <c r="J105" t="s">
        <v>1045</v>
      </c>
      <c r="K105" t="s">
        <v>1048</v>
      </c>
    </row>
    <row r="106" spans="1:11" ht="14.65" hidden="1">
      <c r="A106" s="3" t="s">
        <v>190</v>
      </c>
      <c r="B106" s="3" t="s">
        <v>212</v>
      </c>
      <c r="C106" s="3" t="s">
        <v>211</v>
      </c>
      <c r="D106" s="3" t="s">
        <v>16</v>
      </c>
      <c r="E106" s="3"/>
      <c r="F106" s="3"/>
      <c r="G106" s="4">
        <v>46002.395833333336</v>
      </c>
      <c r="H106" s="2">
        <v>46002.729166666664</v>
      </c>
      <c r="I106" s="1">
        <v>46048</v>
      </c>
      <c r="J106" t="s">
        <v>1045</v>
      </c>
      <c r="K106" t="s">
        <v>1048</v>
      </c>
    </row>
    <row r="107" spans="1:11" ht="14.65">
      <c r="A107" t="s">
        <v>190</v>
      </c>
      <c r="B107" t="s">
        <v>212</v>
      </c>
      <c r="C107" t="s">
        <v>1084</v>
      </c>
      <c r="D107" t="s">
        <v>21</v>
      </c>
      <c r="E107" t="s">
        <v>22</v>
      </c>
      <c r="F107">
        <v>2</v>
      </c>
      <c r="G107" s="1">
        <v>46335.375</v>
      </c>
      <c r="H107" s="2">
        <v>46335.708333333336</v>
      </c>
      <c r="I107" s="1">
        <v>46086</v>
      </c>
      <c r="J107" t="s">
        <v>22</v>
      </c>
    </row>
    <row r="108" spans="1:11" ht="14.65">
      <c r="A108" t="s">
        <v>190</v>
      </c>
      <c r="B108" t="s">
        <v>1085</v>
      </c>
      <c r="C108" t="s">
        <v>1086</v>
      </c>
      <c r="D108" t="s">
        <v>21</v>
      </c>
      <c r="E108" t="s">
        <v>22</v>
      </c>
      <c r="F108">
        <v>0</v>
      </c>
      <c r="G108" s="1">
        <v>46295.583333333336</v>
      </c>
      <c r="H108" s="2">
        <v>46295.729166666664</v>
      </c>
      <c r="I108" s="1">
        <v>46089</v>
      </c>
      <c r="J108" t="s">
        <v>22</v>
      </c>
    </row>
    <row r="109" spans="1:11" ht="14.65" hidden="1">
      <c r="A109" s="3" t="s">
        <v>190</v>
      </c>
      <c r="B109" s="3" t="s">
        <v>214</v>
      </c>
      <c r="C109" s="3" t="s">
        <v>213</v>
      </c>
      <c r="D109" s="3" t="s">
        <v>21</v>
      </c>
      <c r="E109" s="3" t="s">
        <v>22</v>
      </c>
      <c r="F109" s="3">
        <v>7</v>
      </c>
      <c r="G109" s="4">
        <v>45827.583333333336</v>
      </c>
      <c r="H109" s="2">
        <v>45827.708333333336</v>
      </c>
      <c r="I109" s="1">
        <v>45918</v>
      </c>
      <c r="J109" t="s">
        <v>1045</v>
      </c>
      <c r="K109" t="s">
        <v>1048</v>
      </c>
    </row>
    <row r="110" spans="1:11" ht="14.65">
      <c r="A110" t="s">
        <v>190</v>
      </c>
      <c r="B110" t="s">
        <v>1087</v>
      </c>
      <c r="C110" t="s">
        <v>215</v>
      </c>
      <c r="D110" t="s">
        <v>21</v>
      </c>
      <c r="E110" t="s">
        <v>25</v>
      </c>
      <c r="G110" s="1">
        <v>45729.333333333336</v>
      </c>
      <c r="H110" s="2">
        <v>47330.333333333336</v>
      </c>
      <c r="I110" t="s">
        <v>198</v>
      </c>
      <c r="J110" t="s">
        <v>22</v>
      </c>
      <c r="K110" t="s">
        <v>1047</v>
      </c>
    </row>
    <row r="111" spans="1:11" ht="14.65" hidden="1">
      <c r="A111" t="s">
        <v>190</v>
      </c>
      <c r="B111" t="s">
        <v>218</v>
      </c>
      <c r="C111" t="s">
        <v>217</v>
      </c>
      <c r="D111" t="s">
        <v>21</v>
      </c>
      <c r="E111" t="s">
        <v>22</v>
      </c>
      <c r="F111">
        <v>19</v>
      </c>
      <c r="G111" s="1">
        <v>46100.5</v>
      </c>
      <c r="H111" s="2">
        <v>46002.65625</v>
      </c>
      <c r="I111" s="1">
        <v>45944</v>
      </c>
      <c r="J111" t="s">
        <v>1045</v>
      </c>
      <c r="K111" t="s">
        <v>1047</v>
      </c>
    </row>
    <row r="112" spans="1:11" ht="14.65" hidden="1">
      <c r="A112" s="3" t="s">
        <v>190</v>
      </c>
      <c r="B112" s="3" t="s">
        <v>220</v>
      </c>
      <c r="C112" s="3" t="s">
        <v>219</v>
      </c>
      <c r="D112" s="3" t="s">
        <v>21</v>
      </c>
      <c r="E112" s="3" t="s">
        <v>25</v>
      </c>
      <c r="F112" s="3"/>
      <c r="G112" s="4">
        <v>45693.333333333336</v>
      </c>
      <c r="H112" s="2">
        <v>47330.333333333336</v>
      </c>
      <c r="I112" t="s">
        <v>198</v>
      </c>
      <c r="J112" t="s">
        <v>1045</v>
      </c>
      <c r="K112" t="s">
        <v>1048</v>
      </c>
    </row>
    <row r="113" spans="1:11" ht="14.65" hidden="1">
      <c r="A113" s="3" t="s">
        <v>190</v>
      </c>
      <c r="B113" s="3" t="s">
        <v>222</v>
      </c>
      <c r="C113" s="3" t="s">
        <v>221</v>
      </c>
      <c r="D113" s="3" t="s">
        <v>21</v>
      </c>
      <c r="E113" s="3" t="s">
        <v>25</v>
      </c>
      <c r="F113" s="3"/>
      <c r="G113" s="4">
        <v>45789.5625</v>
      </c>
      <c r="H113" s="2">
        <v>45789.729166666664</v>
      </c>
      <c r="I113" s="1">
        <v>45790</v>
      </c>
      <c r="J113" t="s">
        <v>1045</v>
      </c>
      <c r="K113" t="s">
        <v>1048</v>
      </c>
    </row>
    <row r="114" spans="1:11" ht="14.65" hidden="1">
      <c r="A114" s="3" t="s">
        <v>190</v>
      </c>
      <c r="B114" s="3" t="s">
        <v>224</v>
      </c>
      <c r="C114" s="3" t="s">
        <v>223</v>
      </c>
      <c r="D114" s="3" t="s">
        <v>16</v>
      </c>
      <c r="E114" s="3"/>
      <c r="F114" s="3"/>
      <c r="G114" s="4">
        <v>46051.583333333336</v>
      </c>
      <c r="H114" s="2">
        <v>46051.709027777775</v>
      </c>
      <c r="I114" s="1">
        <v>46055</v>
      </c>
      <c r="J114" t="s">
        <v>1045</v>
      </c>
      <c r="K114" t="s">
        <v>1048</v>
      </c>
    </row>
    <row r="115" spans="1:11" ht="14.65" hidden="1">
      <c r="A115" s="3" t="s">
        <v>190</v>
      </c>
      <c r="B115" s="3" t="s">
        <v>226</v>
      </c>
      <c r="C115" s="3" t="s">
        <v>225</v>
      </c>
      <c r="D115" s="3" t="s">
        <v>16</v>
      </c>
      <c r="E115" s="3"/>
      <c r="F115" s="3"/>
      <c r="G115" s="4">
        <v>46051.583333333336</v>
      </c>
      <c r="H115" s="2">
        <v>46051.708333333336</v>
      </c>
      <c r="I115" s="1">
        <v>46055</v>
      </c>
      <c r="J115" t="s">
        <v>1045</v>
      </c>
      <c r="K115" t="s">
        <v>1048</v>
      </c>
    </row>
    <row r="116" spans="1:11" ht="14.65">
      <c r="A116" t="s">
        <v>190</v>
      </c>
      <c r="B116" t="s">
        <v>228</v>
      </c>
      <c r="C116" t="s">
        <v>227</v>
      </c>
      <c r="D116" t="s">
        <v>21</v>
      </c>
      <c r="E116" t="s">
        <v>22</v>
      </c>
      <c r="F116">
        <v>17</v>
      </c>
      <c r="G116" s="1">
        <v>46335.5625</v>
      </c>
      <c r="H116" s="2">
        <v>45943.729166666664</v>
      </c>
      <c r="I116" s="1">
        <v>45943</v>
      </c>
      <c r="J116" t="s">
        <v>22</v>
      </c>
      <c r="K116" t="s">
        <v>1047</v>
      </c>
    </row>
    <row r="117" spans="1:11" ht="14.65" hidden="1">
      <c r="A117" s="3" t="s">
        <v>190</v>
      </c>
      <c r="B117" s="3" t="s">
        <v>230</v>
      </c>
      <c r="C117" s="3" t="s">
        <v>229</v>
      </c>
      <c r="D117" s="3" t="s">
        <v>38</v>
      </c>
      <c r="E117" s="3"/>
      <c r="F117" s="3"/>
      <c r="G117" s="4"/>
      <c r="I117" s="1">
        <v>45933</v>
      </c>
      <c r="J117" t="s">
        <v>1045</v>
      </c>
      <c r="K117" t="s">
        <v>1048</v>
      </c>
    </row>
    <row r="118" spans="1:11" ht="14.65" hidden="1">
      <c r="A118" t="s">
        <v>190</v>
      </c>
      <c r="B118" t="s">
        <v>232</v>
      </c>
      <c r="C118" t="s">
        <v>231</v>
      </c>
      <c r="D118" t="s">
        <v>38</v>
      </c>
      <c r="G118" s="1"/>
      <c r="I118" s="1">
        <v>45938</v>
      </c>
      <c r="J118" t="s">
        <v>1045</v>
      </c>
      <c r="K118" t="s">
        <v>1047</v>
      </c>
    </row>
    <row r="119" spans="1:11" ht="14.65" hidden="1">
      <c r="A119" s="3" t="s">
        <v>190</v>
      </c>
      <c r="B119" s="3" t="s">
        <v>234</v>
      </c>
      <c r="C119" s="3" t="s">
        <v>233</v>
      </c>
      <c r="D119" s="3" t="s">
        <v>16</v>
      </c>
      <c r="E119" s="3"/>
      <c r="F119" s="3"/>
      <c r="G119" s="4">
        <v>46037.708333333336</v>
      </c>
      <c r="H119" s="2">
        <v>46037.75</v>
      </c>
      <c r="I119" s="1">
        <v>46042</v>
      </c>
      <c r="J119" t="s">
        <v>1045</v>
      </c>
      <c r="K119" t="s">
        <v>1048</v>
      </c>
    </row>
    <row r="120" spans="1:11" ht="14.65">
      <c r="A120" t="s">
        <v>190</v>
      </c>
      <c r="B120" t="s">
        <v>1088</v>
      </c>
      <c r="C120" t="s">
        <v>237</v>
      </c>
      <c r="D120" t="s">
        <v>21</v>
      </c>
      <c r="E120" t="s">
        <v>22</v>
      </c>
      <c r="F120">
        <v>5</v>
      </c>
      <c r="G120" s="1">
        <v>46106.395833333336</v>
      </c>
      <c r="H120" s="2">
        <v>46003.479166666664</v>
      </c>
      <c r="I120" s="1">
        <v>45944</v>
      </c>
      <c r="J120" t="s">
        <v>22</v>
      </c>
      <c r="K120" t="s">
        <v>1047</v>
      </c>
    </row>
    <row r="121" spans="1:11" ht="14.65" hidden="1">
      <c r="A121" t="s">
        <v>190</v>
      </c>
      <c r="B121" t="s">
        <v>240</v>
      </c>
      <c r="C121" t="s">
        <v>239</v>
      </c>
      <c r="D121" t="s">
        <v>21</v>
      </c>
      <c r="E121" t="s">
        <v>22</v>
      </c>
      <c r="F121">
        <v>28</v>
      </c>
      <c r="G121" s="1">
        <v>45985.395833333336</v>
      </c>
      <c r="H121" s="2">
        <v>45831.708333333336</v>
      </c>
      <c r="I121" s="1">
        <v>45943</v>
      </c>
      <c r="J121" t="s">
        <v>1045</v>
      </c>
      <c r="K121" t="s">
        <v>1047</v>
      </c>
    </row>
    <row r="122" spans="1:11" ht="14.65">
      <c r="A122" t="s">
        <v>190</v>
      </c>
      <c r="B122" t="s">
        <v>1089</v>
      </c>
      <c r="C122" t="s">
        <v>235</v>
      </c>
      <c r="D122" t="s">
        <v>21</v>
      </c>
      <c r="E122" t="s">
        <v>25</v>
      </c>
      <c r="G122" s="1">
        <v>45729.333333333336</v>
      </c>
      <c r="H122" s="2">
        <v>47330.333333333336</v>
      </c>
      <c r="I122" t="s">
        <v>198</v>
      </c>
      <c r="J122" t="s">
        <v>22</v>
      </c>
      <c r="K122" t="s">
        <v>1090</v>
      </c>
    </row>
    <row r="123" spans="1:11" ht="14.65">
      <c r="A123" t="s">
        <v>190</v>
      </c>
      <c r="B123" t="s">
        <v>242</v>
      </c>
      <c r="C123" t="s">
        <v>241</v>
      </c>
      <c r="D123" t="s">
        <v>21</v>
      </c>
      <c r="E123" t="s">
        <v>22</v>
      </c>
      <c r="F123">
        <v>10</v>
      </c>
      <c r="G123" s="1">
        <v>46160.5625</v>
      </c>
      <c r="H123" s="2">
        <v>45967.520833333336</v>
      </c>
      <c r="I123" s="1">
        <v>45939</v>
      </c>
      <c r="J123" t="s">
        <v>22</v>
      </c>
      <c r="K123" t="s">
        <v>1047</v>
      </c>
    </row>
    <row r="124" spans="1:11" ht="14.65">
      <c r="A124" t="s">
        <v>190</v>
      </c>
      <c r="B124" t="s">
        <v>244</v>
      </c>
      <c r="C124" t="s">
        <v>243</v>
      </c>
      <c r="D124" t="s">
        <v>21</v>
      </c>
      <c r="E124" t="s">
        <v>22</v>
      </c>
      <c r="F124">
        <v>28</v>
      </c>
      <c r="G124" s="1">
        <v>46169.375</v>
      </c>
      <c r="H124" s="2">
        <v>45974.75</v>
      </c>
      <c r="I124" s="1">
        <v>45943</v>
      </c>
      <c r="J124" t="s">
        <v>22</v>
      </c>
      <c r="K124" t="s">
        <v>1047</v>
      </c>
    </row>
    <row r="125" spans="1:11" ht="14.65">
      <c r="A125" t="s">
        <v>190</v>
      </c>
      <c r="B125" t="s">
        <v>246</v>
      </c>
      <c r="C125" t="s">
        <v>247</v>
      </c>
      <c r="D125" t="s">
        <v>21</v>
      </c>
      <c r="E125" t="s">
        <v>25</v>
      </c>
      <c r="G125" s="1">
        <v>46324.375</v>
      </c>
      <c r="H125" s="2">
        <v>46324.708333333336</v>
      </c>
      <c r="I125" s="1" t="s">
        <v>198</v>
      </c>
      <c r="J125" t="s">
        <v>22</v>
      </c>
      <c r="K125" t="s">
        <v>1047</v>
      </c>
    </row>
    <row r="126" spans="1:11" ht="14.65" hidden="1">
      <c r="A126" t="s">
        <v>190</v>
      </c>
      <c r="B126" t="s">
        <v>246</v>
      </c>
      <c r="C126" t="s">
        <v>245</v>
      </c>
      <c r="D126" t="s">
        <v>21</v>
      </c>
      <c r="E126" t="s">
        <v>22</v>
      </c>
      <c r="F126">
        <v>13</v>
      </c>
      <c r="G126" s="1">
        <v>46202.395833333336</v>
      </c>
      <c r="H126" s="2">
        <v>45994.729166666664</v>
      </c>
      <c r="I126" s="1">
        <v>45944</v>
      </c>
      <c r="J126" t="s">
        <v>1045</v>
      </c>
      <c r="K126" t="s">
        <v>1091</v>
      </c>
    </row>
    <row r="127" spans="1:11" ht="14.65" hidden="1">
      <c r="A127" s="3" t="s">
        <v>190</v>
      </c>
      <c r="B127" s="3" t="s">
        <v>249</v>
      </c>
      <c r="C127" s="3" t="s">
        <v>248</v>
      </c>
      <c r="D127" t="s">
        <v>21</v>
      </c>
      <c r="E127" t="s">
        <v>25</v>
      </c>
      <c r="F127" s="3"/>
      <c r="G127" s="4">
        <v>45729.333333333336</v>
      </c>
      <c r="H127" s="2">
        <v>47207.333333333336</v>
      </c>
      <c r="I127" t="s">
        <v>198</v>
      </c>
      <c r="J127" t="s">
        <v>1045</v>
      </c>
      <c r="K127" t="s">
        <v>1048</v>
      </c>
    </row>
    <row r="128" spans="1:11" ht="14.65">
      <c r="A128" t="s">
        <v>190</v>
      </c>
      <c r="B128" t="s">
        <v>251</v>
      </c>
      <c r="C128" t="s">
        <v>250</v>
      </c>
      <c r="D128" t="s">
        <v>21</v>
      </c>
      <c r="E128" t="s">
        <v>22</v>
      </c>
      <c r="F128">
        <v>8</v>
      </c>
      <c r="G128" s="1">
        <v>46161.375</v>
      </c>
      <c r="H128" s="2">
        <v>45992.708333333336</v>
      </c>
      <c r="I128" s="1">
        <v>45945</v>
      </c>
      <c r="J128" t="s">
        <v>22</v>
      </c>
      <c r="K128" t="s">
        <v>1047</v>
      </c>
    </row>
    <row r="129" spans="1:11" ht="14.65" hidden="1">
      <c r="A129" s="3" t="s">
        <v>190</v>
      </c>
      <c r="B129" s="3" t="s">
        <v>253</v>
      </c>
      <c r="C129" s="3" t="s">
        <v>252</v>
      </c>
      <c r="D129" s="3" t="s">
        <v>16</v>
      </c>
      <c r="E129" s="3"/>
      <c r="F129" s="3"/>
      <c r="G129" s="4" t="s">
        <v>17</v>
      </c>
      <c r="I129" s="1">
        <v>45939</v>
      </c>
      <c r="J129" t="s">
        <v>1045</v>
      </c>
      <c r="K129" t="s">
        <v>1048</v>
      </c>
    </row>
    <row r="130" spans="1:11" ht="14.65">
      <c r="A130" t="s">
        <v>255</v>
      </c>
      <c r="B130" s="3"/>
      <c r="C130" s="3"/>
      <c r="D130" s="3"/>
      <c r="E130" s="3"/>
      <c r="F130" s="3"/>
      <c r="G130" s="4"/>
      <c r="H130" s="2"/>
      <c r="I130" s="1"/>
      <c r="J130" t="s">
        <v>22</v>
      </c>
      <c r="K130" t="s">
        <v>1092</v>
      </c>
    </row>
    <row r="131" spans="1:11" ht="14.65" hidden="1">
      <c r="A131" t="s">
        <v>255</v>
      </c>
      <c r="B131" s="8" t="s">
        <v>1093</v>
      </c>
      <c r="C131" s="8" t="s">
        <v>1094</v>
      </c>
      <c r="D131" s="3"/>
      <c r="E131" s="3"/>
      <c r="F131" s="3"/>
      <c r="G131" s="4"/>
      <c r="H131" s="2"/>
      <c r="I131" s="1"/>
      <c r="J131" t="s">
        <v>1045</v>
      </c>
      <c r="K131" t="s">
        <v>1047</v>
      </c>
    </row>
    <row r="132" spans="1:11" ht="14.65" hidden="1">
      <c r="A132" t="s">
        <v>255</v>
      </c>
      <c r="B132" t="s">
        <v>256</v>
      </c>
      <c r="C132" t="s">
        <v>254</v>
      </c>
      <c r="D132" t="s">
        <v>21</v>
      </c>
      <c r="E132" t="s">
        <v>22</v>
      </c>
      <c r="F132">
        <v>3</v>
      </c>
      <c r="G132" s="1">
        <v>45826.375</v>
      </c>
      <c r="H132" s="2">
        <v>45826.520833333336</v>
      </c>
      <c r="I132" s="1">
        <v>45910</v>
      </c>
      <c r="J132" t="s">
        <v>1045</v>
      </c>
      <c r="K132" t="s">
        <v>1047</v>
      </c>
    </row>
    <row r="133" spans="1:11" ht="14.65" hidden="1">
      <c r="A133" t="s">
        <v>255</v>
      </c>
      <c r="B133" t="s">
        <v>258</v>
      </c>
      <c r="C133" t="s">
        <v>257</v>
      </c>
      <c r="D133" t="s">
        <v>21</v>
      </c>
      <c r="E133" t="s">
        <v>22</v>
      </c>
      <c r="F133">
        <v>4</v>
      </c>
      <c r="G133" s="1">
        <v>45912.375</v>
      </c>
      <c r="H133" s="2">
        <v>45912.520833333336</v>
      </c>
      <c r="I133" s="1">
        <v>45903</v>
      </c>
      <c r="J133" t="s">
        <v>1045</v>
      </c>
      <c r="K133" t="s">
        <v>1047</v>
      </c>
    </row>
    <row r="134" spans="1:11" ht="14.65" hidden="1">
      <c r="A134" t="s">
        <v>255</v>
      </c>
      <c r="B134" t="s">
        <v>260</v>
      </c>
      <c r="C134" t="s">
        <v>259</v>
      </c>
      <c r="D134" t="s">
        <v>21</v>
      </c>
      <c r="E134" t="s">
        <v>22</v>
      </c>
      <c r="F134">
        <v>7</v>
      </c>
      <c r="G134" s="1">
        <v>45915.375</v>
      </c>
      <c r="H134" s="2">
        <v>45915.520833333336</v>
      </c>
      <c r="I134" s="1">
        <v>45909</v>
      </c>
      <c r="J134" t="s">
        <v>1045</v>
      </c>
      <c r="K134" t="s">
        <v>1047</v>
      </c>
    </row>
    <row r="135" spans="1:11" ht="14.65" hidden="1">
      <c r="A135" t="s">
        <v>255</v>
      </c>
      <c r="B135" t="s">
        <v>262</v>
      </c>
      <c r="C135" t="s">
        <v>261</v>
      </c>
      <c r="D135" t="s">
        <v>21</v>
      </c>
      <c r="E135" t="s">
        <v>22</v>
      </c>
      <c r="F135">
        <v>30</v>
      </c>
      <c r="G135" s="1">
        <v>45911.375</v>
      </c>
      <c r="H135" s="2">
        <v>45911.520833333336</v>
      </c>
      <c r="I135" s="1">
        <v>45929</v>
      </c>
      <c r="J135" t="s">
        <v>1045</v>
      </c>
      <c r="K135" t="s">
        <v>1047</v>
      </c>
    </row>
    <row r="136" spans="1:11" ht="14.65" hidden="1">
      <c r="A136" t="s">
        <v>255</v>
      </c>
      <c r="B136" t="s">
        <v>264</v>
      </c>
      <c r="C136" t="s">
        <v>263</v>
      </c>
      <c r="D136" t="s">
        <v>21</v>
      </c>
      <c r="E136" t="s">
        <v>22</v>
      </c>
      <c r="F136">
        <v>28</v>
      </c>
      <c r="G136" s="1">
        <v>45908.375</v>
      </c>
      <c r="H136" s="2">
        <v>45908.520833333336</v>
      </c>
      <c r="I136" s="1">
        <v>45929</v>
      </c>
      <c r="J136" t="s">
        <v>1045</v>
      </c>
      <c r="K136" t="s">
        <v>1047</v>
      </c>
    </row>
    <row r="137" spans="1:11" ht="14.65" hidden="1">
      <c r="A137" t="s">
        <v>255</v>
      </c>
      <c r="B137" t="s">
        <v>266</v>
      </c>
      <c r="C137" t="s">
        <v>265</v>
      </c>
      <c r="D137" t="s">
        <v>21</v>
      </c>
      <c r="E137" t="s">
        <v>22</v>
      </c>
      <c r="F137">
        <v>12</v>
      </c>
      <c r="G137" s="1">
        <v>45909.375</v>
      </c>
      <c r="H137" s="2">
        <v>45909.520833333336</v>
      </c>
      <c r="I137" s="1">
        <v>45909</v>
      </c>
      <c r="J137" t="s">
        <v>1045</v>
      </c>
      <c r="K137" t="s">
        <v>1047</v>
      </c>
    </row>
    <row r="138" spans="1:11" ht="14.65" hidden="1">
      <c r="A138" t="s">
        <v>255</v>
      </c>
      <c r="B138" t="s">
        <v>268</v>
      </c>
      <c r="C138" t="s">
        <v>267</v>
      </c>
      <c r="D138" t="s">
        <v>21</v>
      </c>
      <c r="E138" t="s">
        <v>22</v>
      </c>
      <c r="F138">
        <v>31</v>
      </c>
      <c r="G138" s="1">
        <v>45905.375</v>
      </c>
      <c r="H138" s="2">
        <v>45905.520833333336</v>
      </c>
      <c r="I138" s="1">
        <v>45917</v>
      </c>
      <c r="J138" t="s">
        <v>1045</v>
      </c>
      <c r="K138" t="s">
        <v>1047</v>
      </c>
    </row>
    <row r="139" spans="1:11" ht="14.65" hidden="1">
      <c r="A139" t="s">
        <v>255</v>
      </c>
      <c r="B139" t="s">
        <v>270</v>
      </c>
      <c r="C139" t="s">
        <v>269</v>
      </c>
      <c r="D139" t="s">
        <v>21</v>
      </c>
      <c r="E139" t="s">
        <v>22</v>
      </c>
      <c r="F139">
        <v>35</v>
      </c>
      <c r="G139" s="1">
        <v>45903.375</v>
      </c>
      <c r="H139" s="2">
        <v>45903.520833333336</v>
      </c>
      <c r="I139" s="1">
        <v>45929</v>
      </c>
      <c r="J139" t="s">
        <v>1045</v>
      </c>
      <c r="K139" t="s">
        <v>1047</v>
      </c>
    </row>
    <row r="140" spans="1:11" ht="14.65" hidden="1">
      <c r="A140" t="s">
        <v>255</v>
      </c>
      <c r="B140" t="s">
        <v>280</v>
      </c>
      <c r="C140" t="s">
        <v>279</v>
      </c>
      <c r="D140" t="s">
        <v>38</v>
      </c>
      <c r="G140" s="1"/>
      <c r="I140" s="1">
        <v>45937</v>
      </c>
      <c r="J140" t="s">
        <v>1045</v>
      </c>
      <c r="K140" t="s">
        <v>1047</v>
      </c>
    </row>
    <row r="141" spans="1:11" ht="14.65" hidden="1">
      <c r="A141" t="s">
        <v>255</v>
      </c>
      <c r="B141" t="s">
        <v>272</v>
      </c>
      <c r="C141" t="s">
        <v>271</v>
      </c>
      <c r="D141" t="s">
        <v>21</v>
      </c>
      <c r="E141" t="s">
        <v>22</v>
      </c>
      <c r="F141">
        <v>102</v>
      </c>
      <c r="G141" s="1">
        <v>46185.416666666664</v>
      </c>
      <c r="H141" s="2">
        <v>46185.479166666664</v>
      </c>
      <c r="I141" s="1">
        <v>46055</v>
      </c>
      <c r="J141" t="s">
        <v>1045</v>
      </c>
      <c r="K141" t="s">
        <v>1046</v>
      </c>
    </row>
    <row r="142" spans="1:11" ht="14.65" hidden="1">
      <c r="A142" t="s">
        <v>255</v>
      </c>
      <c r="B142" t="s">
        <v>274</v>
      </c>
      <c r="C142" t="s">
        <v>273</v>
      </c>
      <c r="D142" t="s">
        <v>21</v>
      </c>
      <c r="E142" t="s">
        <v>22</v>
      </c>
      <c r="F142">
        <v>73</v>
      </c>
      <c r="G142" s="1">
        <v>46308.416666666664</v>
      </c>
      <c r="H142" s="2">
        <v>46308.479166666664</v>
      </c>
      <c r="I142" s="1">
        <v>46055</v>
      </c>
      <c r="J142" t="s">
        <v>1045</v>
      </c>
      <c r="K142" t="s">
        <v>1046</v>
      </c>
    </row>
    <row r="143" spans="1:11" ht="14.65" hidden="1">
      <c r="A143" t="s">
        <v>255</v>
      </c>
      <c r="B143" t="s">
        <v>276</v>
      </c>
      <c r="C143" t="s">
        <v>275</v>
      </c>
      <c r="D143" t="s">
        <v>21</v>
      </c>
      <c r="E143" t="s">
        <v>22</v>
      </c>
      <c r="F143">
        <v>59</v>
      </c>
      <c r="G143" s="1">
        <v>46315.416666666664</v>
      </c>
      <c r="H143" s="2">
        <v>46315.479166666664</v>
      </c>
      <c r="I143" s="1">
        <v>46055</v>
      </c>
      <c r="J143" t="s">
        <v>1045</v>
      </c>
      <c r="K143" t="s">
        <v>1046</v>
      </c>
    </row>
    <row r="144" spans="1:11" ht="14.65" hidden="1">
      <c r="A144" t="s">
        <v>255</v>
      </c>
      <c r="B144" t="s">
        <v>278</v>
      </c>
      <c r="C144" t="s">
        <v>277</v>
      </c>
      <c r="D144" t="s">
        <v>21</v>
      </c>
      <c r="E144" t="s">
        <v>22</v>
      </c>
      <c r="F144">
        <v>53</v>
      </c>
      <c r="G144" s="1">
        <v>46336.416666666664</v>
      </c>
      <c r="H144" s="2">
        <v>46336.479166666664</v>
      </c>
      <c r="I144" s="1">
        <v>46053</v>
      </c>
      <c r="J144" t="s">
        <v>1045</v>
      </c>
      <c r="K144" t="s">
        <v>1046</v>
      </c>
    </row>
    <row r="145" spans="1:11" ht="14.65" hidden="1">
      <c r="A145" t="s">
        <v>255</v>
      </c>
      <c r="B145" t="s">
        <v>282</v>
      </c>
      <c r="C145" t="s">
        <v>281</v>
      </c>
      <c r="D145" t="s">
        <v>21</v>
      </c>
      <c r="E145" t="s">
        <v>22</v>
      </c>
      <c r="F145">
        <v>103</v>
      </c>
      <c r="G145" s="1">
        <v>45896.375</v>
      </c>
      <c r="H145" s="2">
        <v>45896.520833333336</v>
      </c>
      <c r="I145" s="1">
        <v>45937</v>
      </c>
      <c r="J145" t="s">
        <v>1045</v>
      </c>
      <c r="K145" t="s">
        <v>1047</v>
      </c>
    </row>
    <row r="146" spans="1:11" ht="14.65" hidden="1">
      <c r="A146" t="s">
        <v>255</v>
      </c>
      <c r="B146" t="s">
        <v>284</v>
      </c>
      <c r="C146" t="s">
        <v>283</v>
      </c>
      <c r="D146" t="s">
        <v>21</v>
      </c>
      <c r="E146" t="s">
        <v>22</v>
      </c>
      <c r="F146">
        <v>11</v>
      </c>
      <c r="G146" s="1">
        <v>45904.458333333336</v>
      </c>
      <c r="H146" s="2">
        <v>45904.5</v>
      </c>
      <c r="I146" s="1">
        <v>45937</v>
      </c>
      <c r="J146" t="s">
        <v>1045</v>
      </c>
      <c r="K146" t="s">
        <v>1047</v>
      </c>
    </row>
    <row r="147" spans="1:11" ht="14.65" hidden="1">
      <c r="A147" t="s">
        <v>255</v>
      </c>
      <c r="B147" t="s">
        <v>286</v>
      </c>
      <c r="C147" t="s">
        <v>285</v>
      </c>
      <c r="D147" t="s">
        <v>21</v>
      </c>
      <c r="E147" t="s">
        <v>22</v>
      </c>
      <c r="F147">
        <v>45</v>
      </c>
      <c r="G147" s="1">
        <v>45898.375</v>
      </c>
      <c r="H147" s="2">
        <v>45898.520833333336</v>
      </c>
      <c r="I147" s="1">
        <v>45919</v>
      </c>
      <c r="J147" t="s">
        <v>1045</v>
      </c>
      <c r="K147" t="s">
        <v>1047</v>
      </c>
    </row>
    <row r="148" spans="1:11" ht="14.65">
      <c r="A148" t="s">
        <v>288</v>
      </c>
      <c r="B148" t="s">
        <v>289</v>
      </c>
      <c r="C148" t="s">
        <v>287</v>
      </c>
      <c r="D148" t="s">
        <v>21</v>
      </c>
      <c r="E148" t="s">
        <v>22</v>
      </c>
      <c r="F148">
        <v>52</v>
      </c>
      <c r="G148" s="1">
        <v>46043.375</v>
      </c>
      <c r="H148" s="2">
        <v>45979.708333333336</v>
      </c>
      <c r="I148" s="1">
        <v>45943</v>
      </c>
      <c r="J148" t="s">
        <v>22</v>
      </c>
      <c r="K148" t="s">
        <v>1047</v>
      </c>
    </row>
    <row r="149" spans="1:11" ht="14.65">
      <c r="A149" t="s">
        <v>288</v>
      </c>
      <c r="B149" t="s">
        <v>291</v>
      </c>
      <c r="C149" t="s">
        <v>290</v>
      </c>
      <c r="D149" t="s">
        <v>21</v>
      </c>
      <c r="E149" t="s">
        <v>22</v>
      </c>
      <c r="F149">
        <v>6</v>
      </c>
      <c r="G149" s="1">
        <v>46031.375</v>
      </c>
      <c r="H149" s="2">
        <v>45938.708333333336</v>
      </c>
      <c r="I149" s="1">
        <v>45945</v>
      </c>
      <c r="J149" t="s">
        <v>22</v>
      </c>
      <c r="K149" t="s">
        <v>1047</v>
      </c>
    </row>
    <row r="150" spans="1:11" ht="14.65">
      <c r="A150" t="s">
        <v>293</v>
      </c>
      <c r="G150" s="1"/>
      <c r="H150" s="2"/>
      <c r="I150" s="1"/>
      <c r="J150" t="s">
        <v>22</v>
      </c>
      <c r="K150" t="s">
        <v>1095</v>
      </c>
    </row>
    <row r="151" spans="1:11" ht="14.65" hidden="1">
      <c r="A151" t="s">
        <v>293</v>
      </c>
      <c r="B151" t="s">
        <v>294</v>
      </c>
      <c r="C151" t="s">
        <v>292</v>
      </c>
      <c r="D151" t="s">
        <v>21</v>
      </c>
      <c r="E151" t="s">
        <v>25</v>
      </c>
      <c r="G151" s="1">
        <v>46098.458333333336</v>
      </c>
      <c r="H151" s="2">
        <v>45980.5</v>
      </c>
      <c r="I151" s="1">
        <v>45944</v>
      </c>
      <c r="J151" t="s">
        <v>1045</v>
      </c>
      <c r="K151" t="s">
        <v>1046</v>
      </c>
    </row>
    <row r="152" spans="1:11" ht="14.65" hidden="1">
      <c r="A152" t="s">
        <v>293</v>
      </c>
      <c r="B152" t="s">
        <v>296</v>
      </c>
      <c r="C152" t="s">
        <v>295</v>
      </c>
      <c r="D152" t="s">
        <v>21</v>
      </c>
      <c r="E152" t="s">
        <v>25</v>
      </c>
      <c r="G152" s="1"/>
      <c r="I152" s="1">
        <v>45944</v>
      </c>
      <c r="J152" t="s">
        <v>1045</v>
      </c>
      <c r="K152" t="s">
        <v>1046</v>
      </c>
    </row>
    <row r="153" spans="1:11" ht="14.65" hidden="1">
      <c r="A153" t="s">
        <v>293</v>
      </c>
      <c r="B153" t="s">
        <v>298</v>
      </c>
      <c r="C153" t="s">
        <v>297</v>
      </c>
      <c r="D153" t="s">
        <v>38</v>
      </c>
      <c r="G153" s="1"/>
      <c r="I153" s="1">
        <v>45945</v>
      </c>
      <c r="J153" t="s">
        <v>1045</v>
      </c>
      <c r="K153" t="s">
        <v>1047</v>
      </c>
    </row>
    <row r="154" spans="1:11" ht="14.65" hidden="1">
      <c r="A154" t="s">
        <v>293</v>
      </c>
      <c r="B154" t="s">
        <v>300</v>
      </c>
      <c r="C154" t="s">
        <v>299</v>
      </c>
      <c r="D154" t="s">
        <v>16</v>
      </c>
      <c r="G154" s="1" t="s">
        <v>17</v>
      </c>
      <c r="I154" s="1">
        <v>45943</v>
      </c>
      <c r="J154" t="s">
        <v>1045</v>
      </c>
      <c r="K154" t="s">
        <v>1047</v>
      </c>
    </row>
    <row r="155" spans="1:11" ht="14.65" hidden="1">
      <c r="A155" t="s">
        <v>293</v>
      </c>
      <c r="B155" t="s">
        <v>302</v>
      </c>
      <c r="C155" t="s">
        <v>301</v>
      </c>
      <c r="D155" t="s">
        <v>16</v>
      </c>
      <c r="G155" s="1" t="s">
        <v>17</v>
      </c>
      <c r="I155" s="1">
        <v>45939</v>
      </c>
      <c r="J155" t="s">
        <v>1045</v>
      </c>
      <c r="K155" t="s">
        <v>1047</v>
      </c>
    </row>
    <row r="156" spans="1:11" ht="14.65" hidden="1">
      <c r="A156" t="s">
        <v>293</v>
      </c>
      <c r="B156" t="s">
        <v>304</v>
      </c>
      <c r="C156" t="s">
        <v>303</v>
      </c>
      <c r="D156" t="s">
        <v>21</v>
      </c>
      <c r="E156" t="s">
        <v>22</v>
      </c>
      <c r="F156">
        <v>94</v>
      </c>
      <c r="G156" s="1">
        <v>46085.5625</v>
      </c>
      <c r="H156" s="2">
        <v>45975.5</v>
      </c>
      <c r="I156" s="1">
        <v>45945</v>
      </c>
      <c r="J156" t="s">
        <v>1045</v>
      </c>
      <c r="K156" t="s">
        <v>1047</v>
      </c>
    </row>
    <row r="157" spans="1:11" ht="14.65" hidden="1">
      <c r="A157" t="s">
        <v>293</v>
      </c>
      <c r="B157" t="s">
        <v>306</v>
      </c>
      <c r="C157" t="s">
        <v>305</v>
      </c>
      <c r="D157" t="s">
        <v>16</v>
      </c>
      <c r="G157" s="1" t="s">
        <v>17</v>
      </c>
      <c r="I157" s="1">
        <v>45944</v>
      </c>
      <c r="J157" t="s">
        <v>1045</v>
      </c>
      <c r="K157" t="s">
        <v>1046</v>
      </c>
    </row>
    <row r="158" spans="1:11" ht="14.65">
      <c r="A158" t="s">
        <v>308</v>
      </c>
      <c r="G158" s="1"/>
      <c r="H158" s="2"/>
      <c r="I158" s="1"/>
      <c r="J158" t="s">
        <v>22</v>
      </c>
      <c r="K158" t="s">
        <v>1096</v>
      </c>
    </row>
    <row r="159" spans="1:11" ht="14.65" hidden="1">
      <c r="A159" t="s">
        <v>308</v>
      </c>
      <c r="B159" t="s">
        <v>309</v>
      </c>
      <c r="C159" t="s">
        <v>307</v>
      </c>
      <c r="D159" t="s">
        <v>21</v>
      </c>
      <c r="E159" t="s">
        <v>22</v>
      </c>
      <c r="F159">
        <v>4</v>
      </c>
      <c r="G159" s="1">
        <v>46100.375</v>
      </c>
      <c r="H159" s="2">
        <v>46100.541666666664</v>
      </c>
      <c r="I159" s="1">
        <v>46056</v>
      </c>
      <c r="J159" t="s">
        <v>1045</v>
      </c>
      <c r="K159" t="s">
        <v>1047</v>
      </c>
    </row>
    <row r="160" spans="1:11" ht="14.65" hidden="1">
      <c r="A160" s="3" t="s">
        <v>308</v>
      </c>
      <c r="B160" s="3" t="s">
        <v>311</v>
      </c>
      <c r="C160" s="3" t="s">
        <v>310</v>
      </c>
      <c r="D160" t="s">
        <v>21</v>
      </c>
      <c r="E160" t="s">
        <v>22</v>
      </c>
      <c r="F160">
        <v>23</v>
      </c>
      <c r="G160" s="4">
        <v>45548.583333333336</v>
      </c>
      <c r="H160" s="6">
        <v>45548.729166666664</v>
      </c>
      <c r="I160" s="1">
        <v>45847</v>
      </c>
      <c r="J160" t="s">
        <v>1045</v>
      </c>
      <c r="K160" t="s">
        <v>1048</v>
      </c>
    </row>
    <row r="161" spans="1:11" ht="14.65" hidden="1">
      <c r="A161" s="3" t="s">
        <v>313</v>
      </c>
      <c r="B161" s="3" t="s">
        <v>314</v>
      </c>
      <c r="C161" s="3" t="s">
        <v>312</v>
      </c>
      <c r="D161" s="3" t="s">
        <v>16</v>
      </c>
      <c r="E161" s="3"/>
      <c r="F161" s="3"/>
      <c r="G161" s="4">
        <v>45692.375</v>
      </c>
      <c r="H161" s="6">
        <v>45694.708333333336</v>
      </c>
      <c r="I161" s="1">
        <v>45692</v>
      </c>
      <c r="J161" t="s">
        <v>1045</v>
      </c>
      <c r="K161" t="s">
        <v>1048</v>
      </c>
    </row>
    <row r="162" spans="1:11" ht="14.65" hidden="1">
      <c r="A162" t="s">
        <v>313</v>
      </c>
      <c r="B162" t="s">
        <v>316</v>
      </c>
      <c r="C162" t="s">
        <v>315</v>
      </c>
      <c r="D162" t="s">
        <v>16</v>
      </c>
      <c r="G162" s="1" t="s">
        <v>17</v>
      </c>
      <c r="I162" s="1">
        <v>45820</v>
      </c>
      <c r="J162" t="s">
        <v>1045</v>
      </c>
      <c r="K162" t="s">
        <v>1047</v>
      </c>
    </row>
    <row r="163" spans="1:11" ht="14.65" hidden="1">
      <c r="A163" s="3" t="s">
        <v>313</v>
      </c>
      <c r="B163" s="3" t="s">
        <v>318</v>
      </c>
      <c r="C163" s="3" t="s">
        <v>317</v>
      </c>
      <c r="D163" s="3" t="s">
        <v>16</v>
      </c>
      <c r="E163" s="3"/>
      <c r="F163" s="3"/>
      <c r="G163" s="4" t="s">
        <v>17</v>
      </c>
      <c r="H163" s="3"/>
      <c r="I163" s="4">
        <v>45680</v>
      </c>
      <c r="J163" s="3" t="s">
        <v>1045</v>
      </c>
      <c r="K163" t="s">
        <v>1048</v>
      </c>
    </row>
    <row r="164" spans="1:11" ht="14.65" hidden="1">
      <c r="A164" s="3" t="s">
        <v>313</v>
      </c>
      <c r="B164" s="3" t="s">
        <v>320</v>
      </c>
      <c r="C164" s="3" t="s">
        <v>319</v>
      </c>
      <c r="D164" s="3" t="s">
        <v>16</v>
      </c>
      <c r="E164" s="3"/>
      <c r="F164" s="3"/>
      <c r="G164" s="4" t="s">
        <v>17</v>
      </c>
      <c r="H164" s="3"/>
      <c r="I164" s="4">
        <v>45560</v>
      </c>
      <c r="J164" s="3" t="s">
        <v>1045</v>
      </c>
      <c r="K164" t="s">
        <v>1048</v>
      </c>
    </row>
    <row r="165" spans="1:11" ht="14.65" hidden="1">
      <c r="A165" t="s">
        <v>322</v>
      </c>
      <c r="B165" t="s">
        <v>323</v>
      </c>
      <c r="C165" t="s">
        <v>321</v>
      </c>
      <c r="D165" t="s">
        <v>21</v>
      </c>
      <c r="E165" t="s">
        <v>22</v>
      </c>
      <c r="F165">
        <v>49</v>
      </c>
      <c r="G165" s="1">
        <v>45679.375</v>
      </c>
      <c r="H165" s="2">
        <v>45679.708333333336</v>
      </c>
      <c r="I165" s="1">
        <v>45938</v>
      </c>
      <c r="J165" t="s">
        <v>1045</v>
      </c>
      <c r="K165" t="s">
        <v>1046</v>
      </c>
    </row>
    <row r="166" spans="1:11" ht="14.65" hidden="1">
      <c r="A166" t="s">
        <v>324</v>
      </c>
      <c r="B166" t="s">
        <v>330</v>
      </c>
      <c r="D166" t="s">
        <v>76</v>
      </c>
      <c r="G166" s="1"/>
      <c r="J166" t="s">
        <v>1045</v>
      </c>
      <c r="K166" t="s">
        <v>1047</v>
      </c>
    </row>
    <row r="167" spans="1:11" ht="14.65" hidden="1">
      <c r="A167" t="s">
        <v>324</v>
      </c>
      <c r="B167" t="s">
        <v>325</v>
      </c>
      <c r="D167" t="s">
        <v>76</v>
      </c>
      <c r="G167" s="1"/>
      <c r="J167" t="s">
        <v>1045</v>
      </c>
      <c r="K167" t="s">
        <v>1047</v>
      </c>
    </row>
    <row r="168" spans="1:11" ht="14.65">
      <c r="A168" t="s">
        <v>324</v>
      </c>
      <c r="B168" t="s">
        <v>327</v>
      </c>
      <c r="C168" t="s">
        <v>326</v>
      </c>
      <c r="D168" t="s">
        <v>21</v>
      </c>
      <c r="E168" t="s">
        <v>22</v>
      </c>
      <c r="F168">
        <v>10</v>
      </c>
      <c r="G168" s="1">
        <v>46091.395833333336</v>
      </c>
      <c r="H168" s="2">
        <v>45994.5</v>
      </c>
      <c r="I168" s="1">
        <v>45940</v>
      </c>
      <c r="J168" t="s">
        <v>22</v>
      </c>
      <c r="K168" t="s">
        <v>1047</v>
      </c>
    </row>
    <row r="169" spans="1:11" ht="14.65" hidden="1">
      <c r="A169" t="s">
        <v>324</v>
      </c>
      <c r="B169" t="s">
        <v>329</v>
      </c>
      <c r="C169" t="s">
        <v>328</v>
      </c>
      <c r="D169" t="s">
        <v>38</v>
      </c>
      <c r="G169" s="1"/>
      <c r="I169" s="1">
        <v>45926</v>
      </c>
      <c r="J169" t="s">
        <v>1045</v>
      </c>
      <c r="K169" t="s">
        <v>1047</v>
      </c>
    </row>
    <row r="170" spans="1:11" ht="14.65" hidden="1">
      <c r="A170" t="s">
        <v>324</v>
      </c>
      <c r="B170" t="s">
        <v>332</v>
      </c>
      <c r="C170" t="s">
        <v>331</v>
      </c>
      <c r="D170" t="s">
        <v>21</v>
      </c>
      <c r="E170" t="s">
        <v>22</v>
      </c>
      <c r="F170">
        <v>39</v>
      </c>
      <c r="G170" s="1">
        <v>46134.395833333336</v>
      </c>
      <c r="H170" s="2">
        <v>46041.666666666664</v>
      </c>
      <c r="I170" s="1">
        <v>45944</v>
      </c>
      <c r="J170" t="s">
        <v>1045</v>
      </c>
      <c r="K170" t="s">
        <v>1046</v>
      </c>
    </row>
    <row r="171" spans="1:11" ht="14.65" hidden="1">
      <c r="A171" t="s">
        <v>324</v>
      </c>
      <c r="B171" t="s">
        <v>333</v>
      </c>
      <c r="D171" t="s">
        <v>76</v>
      </c>
      <c r="G171" s="1"/>
      <c r="J171" t="s">
        <v>1045</v>
      </c>
      <c r="K171" t="s">
        <v>1047</v>
      </c>
    </row>
    <row r="172" spans="1:11" ht="14.65" hidden="1">
      <c r="A172" t="s">
        <v>324</v>
      </c>
      <c r="B172" t="s">
        <v>335</v>
      </c>
      <c r="C172" t="s">
        <v>334</v>
      </c>
      <c r="D172" t="s">
        <v>21</v>
      </c>
      <c r="E172" t="s">
        <v>22</v>
      </c>
      <c r="F172">
        <v>8</v>
      </c>
      <c r="G172" s="1">
        <v>46104.395833333336</v>
      </c>
      <c r="H172" s="2">
        <v>46001.395833333336</v>
      </c>
      <c r="I172" s="1">
        <v>45931</v>
      </c>
      <c r="J172" t="s">
        <v>1045</v>
      </c>
      <c r="K172" t="s">
        <v>1047</v>
      </c>
    </row>
    <row r="173" spans="1:11" ht="14.65" hidden="1">
      <c r="A173" t="s">
        <v>324</v>
      </c>
      <c r="B173" t="s">
        <v>337</v>
      </c>
      <c r="C173" t="s">
        <v>336</v>
      </c>
      <c r="D173" t="s">
        <v>16</v>
      </c>
      <c r="G173" s="1" t="s">
        <v>17</v>
      </c>
      <c r="I173" s="1">
        <v>45928</v>
      </c>
      <c r="J173" t="s">
        <v>1045</v>
      </c>
      <c r="K173" t="s">
        <v>1047</v>
      </c>
    </row>
    <row r="174" spans="1:11" ht="14.65">
      <c r="A174" t="s">
        <v>1097</v>
      </c>
      <c r="G174" s="1"/>
      <c r="H174" s="2"/>
      <c r="I174" s="1"/>
      <c r="J174" t="s">
        <v>22</v>
      </c>
      <c r="K174" s="16" t="s">
        <v>1098</v>
      </c>
    </row>
    <row r="175" spans="1:11" ht="14.65" hidden="1">
      <c r="A175" t="s">
        <v>339</v>
      </c>
      <c r="B175" t="s">
        <v>340</v>
      </c>
      <c r="C175" t="s">
        <v>338</v>
      </c>
      <c r="D175" t="s">
        <v>21</v>
      </c>
      <c r="E175" t="s">
        <v>22</v>
      </c>
      <c r="F175">
        <v>26</v>
      </c>
      <c r="G175" s="1">
        <v>46104.5625</v>
      </c>
      <c r="H175" s="2">
        <v>46038.708333333336</v>
      </c>
      <c r="I175" s="1">
        <v>45944</v>
      </c>
      <c r="J175" t="s">
        <v>1045</v>
      </c>
      <c r="K175" t="s">
        <v>1047</v>
      </c>
    </row>
    <row r="176" spans="1:11" ht="14.65" hidden="1">
      <c r="A176" t="s">
        <v>339</v>
      </c>
      <c r="B176" t="s">
        <v>342</v>
      </c>
      <c r="C176" t="s">
        <v>341</v>
      </c>
      <c r="D176" t="s">
        <v>21</v>
      </c>
      <c r="E176" t="s">
        <v>22</v>
      </c>
      <c r="F176">
        <v>37</v>
      </c>
      <c r="G176" s="1">
        <v>45589.375</v>
      </c>
      <c r="H176" s="2">
        <v>45589.520833333336</v>
      </c>
      <c r="I176" s="1">
        <v>45943</v>
      </c>
      <c r="J176" t="s">
        <v>1045</v>
      </c>
      <c r="K176" t="s">
        <v>1047</v>
      </c>
    </row>
    <row r="177" spans="1:11" ht="14.65" hidden="1">
      <c r="A177" t="s">
        <v>339</v>
      </c>
      <c r="B177" t="s">
        <v>344</v>
      </c>
      <c r="C177" t="s">
        <v>343</v>
      </c>
      <c r="D177" t="s">
        <v>21</v>
      </c>
      <c r="E177" t="s">
        <v>22</v>
      </c>
      <c r="F177">
        <v>32</v>
      </c>
      <c r="G177" s="1">
        <v>46086.375</v>
      </c>
      <c r="H177" s="2">
        <v>46000.520833333336</v>
      </c>
      <c r="I177" s="1">
        <v>45943</v>
      </c>
      <c r="J177" t="s">
        <v>1045</v>
      </c>
      <c r="K177" t="s">
        <v>1047</v>
      </c>
    </row>
    <row r="178" spans="1:11" ht="14.65" hidden="1">
      <c r="A178" t="s">
        <v>339</v>
      </c>
      <c r="B178" t="s">
        <v>346</v>
      </c>
      <c r="C178" t="s">
        <v>345</v>
      </c>
      <c r="D178" t="s">
        <v>21</v>
      </c>
      <c r="E178" t="s">
        <v>22</v>
      </c>
      <c r="F178">
        <v>31</v>
      </c>
      <c r="G178" s="1">
        <v>46084.5625</v>
      </c>
      <c r="H178" s="2">
        <v>45952.520833333336</v>
      </c>
      <c r="I178" s="1">
        <v>45945</v>
      </c>
      <c r="J178" t="s">
        <v>1045</v>
      </c>
      <c r="K178" t="s">
        <v>1047</v>
      </c>
    </row>
    <row r="179" spans="1:11" ht="14.65" hidden="1">
      <c r="A179" t="s">
        <v>339</v>
      </c>
      <c r="B179" t="s">
        <v>348</v>
      </c>
      <c r="C179" t="s">
        <v>347</v>
      </c>
      <c r="D179" t="s">
        <v>21</v>
      </c>
      <c r="E179" t="s">
        <v>22</v>
      </c>
      <c r="F179">
        <v>31</v>
      </c>
      <c r="G179" s="1">
        <v>46045.375</v>
      </c>
      <c r="H179" s="2">
        <v>46045.520833333336</v>
      </c>
      <c r="I179" s="1">
        <v>45945</v>
      </c>
      <c r="J179" t="s">
        <v>1045</v>
      </c>
      <c r="K179" t="s">
        <v>1047</v>
      </c>
    </row>
    <row r="180" spans="1:11" ht="14.65" hidden="1">
      <c r="A180" t="s">
        <v>350</v>
      </c>
      <c r="B180" t="s">
        <v>351</v>
      </c>
      <c r="C180" t="s">
        <v>349</v>
      </c>
      <c r="D180" t="s">
        <v>16</v>
      </c>
      <c r="G180" s="1" t="s">
        <v>17</v>
      </c>
      <c r="I180" s="1">
        <v>45945</v>
      </c>
      <c r="J180" t="s">
        <v>1045</v>
      </c>
      <c r="K180" t="s">
        <v>1046</v>
      </c>
    </row>
    <row r="181" spans="1:11" ht="14.65" hidden="1">
      <c r="A181" t="s">
        <v>350</v>
      </c>
      <c r="B181" t="s">
        <v>353</v>
      </c>
      <c r="C181" t="s">
        <v>352</v>
      </c>
      <c r="D181" t="s">
        <v>16</v>
      </c>
      <c r="G181" s="1" t="s">
        <v>17</v>
      </c>
      <c r="I181" s="1">
        <v>45944</v>
      </c>
      <c r="J181" t="s">
        <v>1045</v>
      </c>
      <c r="K181" t="s">
        <v>1046</v>
      </c>
    </row>
    <row r="182" spans="1:11" ht="14.65" hidden="1">
      <c r="A182" t="s">
        <v>350</v>
      </c>
      <c r="B182" t="s">
        <v>355</v>
      </c>
      <c r="C182" t="s">
        <v>354</v>
      </c>
      <c r="D182" t="s">
        <v>16</v>
      </c>
      <c r="G182" s="1" t="s">
        <v>17</v>
      </c>
      <c r="I182" s="1">
        <v>45940</v>
      </c>
      <c r="J182" t="s">
        <v>1045</v>
      </c>
      <c r="K182" t="s">
        <v>1046</v>
      </c>
    </row>
    <row r="183" spans="1:11" ht="14.65" hidden="1">
      <c r="A183" t="s">
        <v>350</v>
      </c>
      <c r="B183" t="s">
        <v>357</v>
      </c>
      <c r="C183" t="s">
        <v>356</v>
      </c>
      <c r="D183" t="s">
        <v>16</v>
      </c>
      <c r="G183" s="1" t="s">
        <v>17</v>
      </c>
      <c r="I183" s="1">
        <v>45940</v>
      </c>
      <c r="J183" t="s">
        <v>1045</v>
      </c>
      <c r="K183" t="s">
        <v>1046</v>
      </c>
    </row>
    <row r="184" spans="1:11" ht="14.65" hidden="1">
      <c r="A184" t="s">
        <v>350</v>
      </c>
      <c r="B184" t="s">
        <v>359</v>
      </c>
      <c r="C184" t="s">
        <v>358</v>
      </c>
      <c r="D184" t="s">
        <v>16</v>
      </c>
      <c r="G184" s="1">
        <v>45810.375</v>
      </c>
      <c r="H184" s="2">
        <v>45814.708333333336</v>
      </c>
      <c r="I184" s="1">
        <v>45826</v>
      </c>
      <c r="J184" t="s">
        <v>1045</v>
      </c>
      <c r="K184" t="s">
        <v>1046</v>
      </c>
    </row>
    <row r="185" spans="1:11" ht="14.65" hidden="1">
      <c r="A185" t="s">
        <v>350</v>
      </c>
      <c r="B185" t="s">
        <v>361</v>
      </c>
      <c r="C185" t="s">
        <v>360</v>
      </c>
      <c r="D185" t="s">
        <v>21</v>
      </c>
      <c r="E185" t="s">
        <v>22</v>
      </c>
      <c r="F185">
        <v>48</v>
      </c>
      <c r="G185" s="1">
        <v>45831.375</v>
      </c>
      <c r="H185" s="2">
        <v>45835.708333333336</v>
      </c>
      <c r="I185" s="1">
        <v>45943</v>
      </c>
      <c r="J185" t="s">
        <v>1045</v>
      </c>
      <c r="K185" t="s">
        <v>1046</v>
      </c>
    </row>
    <row r="186" spans="1:11" ht="14.65" hidden="1">
      <c r="A186" t="s">
        <v>350</v>
      </c>
      <c r="B186" t="s">
        <v>361</v>
      </c>
      <c r="C186" t="s">
        <v>362</v>
      </c>
      <c r="D186" t="s">
        <v>16</v>
      </c>
      <c r="G186" s="1">
        <v>45831.375</v>
      </c>
      <c r="H186" s="2">
        <v>45835.708333333336</v>
      </c>
      <c r="I186" s="1">
        <v>45838</v>
      </c>
      <c r="J186" t="s">
        <v>1045</v>
      </c>
      <c r="K186" t="s">
        <v>1046</v>
      </c>
    </row>
    <row r="187" spans="1:11" ht="14.65" hidden="1">
      <c r="A187" t="s">
        <v>350</v>
      </c>
      <c r="B187" t="s">
        <v>364</v>
      </c>
      <c r="C187" t="s">
        <v>363</v>
      </c>
      <c r="D187" t="s">
        <v>21</v>
      </c>
      <c r="E187" t="s">
        <v>22</v>
      </c>
      <c r="F187">
        <v>113</v>
      </c>
      <c r="G187" s="1">
        <v>46111.375</v>
      </c>
      <c r="H187" s="2">
        <v>46112.708333333336</v>
      </c>
      <c r="I187" s="1">
        <v>45945</v>
      </c>
      <c r="J187" t="s">
        <v>1045</v>
      </c>
      <c r="K187" t="s">
        <v>1046</v>
      </c>
    </row>
    <row r="188" spans="1:11" ht="14.65" hidden="1">
      <c r="A188" t="s">
        <v>350</v>
      </c>
      <c r="B188" t="s">
        <v>370</v>
      </c>
      <c r="C188" t="s">
        <v>369</v>
      </c>
      <c r="D188" t="s">
        <v>21</v>
      </c>
      <c r="E188" t="s">
        <v>22</v>
      </c>
      <c r="F188">
        <v>59</v>
      </c>
      <c r="G188" s="1">
        <v>45937.375</v>
      </c>
      <c r="H188" s="2">
        <v>45939.708333333336</v>
      </c>
      <c r="I188" s="1">
        <v>45940</v>
      </c>
      <c r="J188" t="s">
        <v>1045</v>
      </c>
      <c r="K188" t="s">
        <v>1046</v>
      </c>
    </row>
    <row r="189" spans="1:11" ht="14.65" hidden="1">
      <c r="A189" t="s">
        <v>350</v>
      </c>
      <c r="B189" t="s">
        <v>366</v>
      </c>
      <c r="C189" t="s">
        <v>365</v>
      </c>
      <c r="D189" t="s">
        <v>21</v>
      </c>
      <c r="E189" t="s">
        <v>22</v>
      </c>
      <c r="F189">
        <v>56</v>
      </c>
      <c r="G189" s="1">
        <v>45810.375</v>
      </c>
      <c r="H189" s="2">
        <v>45812.708333333336</v>
      </c>
      <c r="I189" s="1">
        <v>45938</v>
      </c>
      <c r="J189" t="s">
        <v>1045</v>
      </c>
      <c r="K189" t="s">
        <v>1046</v>
      </c>
    </row>
    <row r="190" spans="1:11" ht="14.65" hidden="1">
      <c r="A190" t="s">
        <v>350</v>
      </c>
      <c r="B190" t="s">
        <v>368</v>
      </c>
      <c r="C190" t="s">
        <v>367</v>
      </c>
      <c r="D190" t="s">
        <v>21</v>
      </c>
      <c r="E190" t="s">
        <v>22</v>
      </c>
      <c r="F190">
        <v>48</v>
      </c>
      <c r="G190" s="1">
        <v>45749.375</v>
      </c>
      <c r="H190" s="2">
        <v>45751.708333333336</v>
      </c>
      <c r="I190" s="1">
        <v>45938</v>
      </c>
      <c r="J190" t="s">
        <v>1045</v>
      </c>
      <c r="K190" t="s">
        <v>1046</v>
      </c>
    </row>
    <row r="191" spans="1:11" ht="14.65" hidden="1">
      <c r="A191" t="s">
        <v>350</v>
      </c>
      <c r="B191" t="s">
        <v>372</v>
      </c>
      <c r="C191" t="s">
        <v>371</v>
      </c>
      <c r="D191" t="s">
        <v>21</v>
      </c>
      <c r="E191" t="s">
        <v>22</v>
      </c>
      <c r="F191">
        <v>64</v>
      </c>
      <c r="G191" s="1">
        <v>45901.375</v>
      </c>
      <c r="H191" s="2">
        <v>45903.708333333336</v>
      </c>
      <c r="I191" s="1">
        <v>45943</v>
      </c>
      <c r="J191" t="s">
        <v>1045</v>
      </c>
      <c r="K191" t="s">
        <v>1046</v>
      </c>
    </row>
    <row r="192" spans="1:11" ht="14.65">
      <c r="A192" t="s">
        <v>350</v>
      </c>
      <c r="G192" s="1"/>
      <c r="H192" s="2"/>
      <c r="I192" s="1"/>
      <c r="J192" t="s">
        <v>22</v>
      </c>
      <c r="K192" s="16" t="s">
        <v>1099</v>
      </c>
    </row>
    <row r="193" spans="1:11" ht="14.65" hidden="1">
      <c r="A193" t="s">
        <v>350</v>
      </c>
      <c r="B193" t="s">
        <v>374</v>
      </c>
      <c r="C193" t="s">
        <v>373</v>
      </c>
      <c r="D193" t="s">
        <v>21</v>
      </c>
      <c r="E193" t="s">
        <v>22</v>
      </c>
      <c r="F193">
        <v>42</v>
      </c>
      <c r="G193" s="1">
        <v>45946.708333333336</v>
      </c>
      <c r="H193" s="2">
        <v>45946.739583333336</v>
      </c>
      <c r="I193" s="1">
        <v>45945</v>
      </c>
      <c r="J193" t="s">
        <v>1045</v>
      </c>
      <c r="K193" t="s">
        <v>1047</v>
      </c>
    </row>
    <row r="194" spans="1:11" ht="14.65" hidden="1">
      <c r="A194" t="s">
        <v>350</v>
      </c>
      <c r="B194" t="s">
        <v>376</v>
      </c>
      <c r="C194" t="s">
        <v>375</v>
      </c>
      <c r="D194" t="s">
        <v>21</v>
      </c>
      <c r="E194" t="s">
        <v>22</v>
      </c>
      <c r="F194">
        <v>48</v>
      </c>
      <c r="G194" s="1">
        <v>45993.416666666664</v>
      </c>
      <c r="H194" s="2">
        <v>45832.458333333336</v>
      </c>
      <c r="I194" s="1">
        <v>45933</v>
      </c>
      <c r="J194" t="s">
        <v>1045</v>
      </c>
      <c r="K194" t="s">
        <v>1047</v>
      </c>
    </row>
    <row r="195" spans="1:11" ht="14.65" hidden="1">
      <c r="A195" t="s">
        <v>350</v>
      </c>
      <c r="B195" t="s">
        <v>378</v>
      </c>
      <c r="C195" t="s">
        <v>377</v>
      </c>
      <c r="D195" t="s">
        <v>21</v>
      </c>
      <c r="E195" t="s">
        <v>22</v>
      </c>
      <c r="F195">
        <v>17</v>
      </c>
      <c r="G195" s="1">
        <v>46065.520833333336</v>
      </c>
      <c r="H195" s="2">
        <v>45855.583333333336</v>
      </c>
      <c r="I195" s="1">
        <v>45944</v>
      </c>
      <c r="J195" t="s">
        <v>1045</v>
      </c>
      <c r="K195" t="s">
        <v>1046</v>
      </c>
    </row>
    <row r="196" spans="1:11" ht="14.65" hidden="1">
      <c r="A196" t="s">
        <v>350</v>
      </c>
      <c r="B196" t="s">
        <v>380</v>
      </c>
      <c r="C196" t="s">
        <v>379</v>
      </c>
      <c r="D196" t="s">
        <v>21</v>
      </c>
      <c r="E196" t="s">
        <v>22</v>
      </c>
      <c r="F196">
        <v>20</v>
      </c>
      <c r="G196" s="1">
        <v>46106.5625</v>
      </c>
      <c r="H196" s="2">
        <v>46008.520833333336</v>
      </c>
      <c r="I196" s="1">
        <v>45945</v>
      </c>
      <c r="J196" t="s">
        <v>1045</v>
      </c>
      <c r="K196" t="s">
        <v>1047</v>
      </c>
    </row>
    <row r="197" spans="1:11" ht="14.65" hidden="1">
      <c r="A197" t="s">
        <v>350</v>
      </c>
      <c r="B197" t="s">
        <v>382</v>
      </c>
      <c r="C197" t="s">
        <v>381</v>
      </c>
      <c r="D197" t="s">
        <v>21</v>
      </c>
      <c r="E197" t="s">
        <v>22</v>
      </c>
      <c r="F197">
        <v>30</v>
      </c>
      <c r="G197" s="1">
        <v>45952.624305555553</v>
      </c>
      <c r="H197" s="2">
        <v>45952.6875</v>
      </c>
      <c r="I197" s="1">
        <v>45945</v>
      </c>
      <c r="J197" t="s">
        <v>1045</v>
      </c>
      <c r="K197" t="s">
        <v>1047</v>
      </c>
    </row>
    <row r="198" spans="1:11" ht="14.65" hidden="1">
      <c r="A198" t="s">
        <v>350</v>
      </c>
      <c r="B198" t="s">
        <v>384</v>
      </c>
      <c r="C198" t="s">
        <v>383</v>
      </c>
      <c r="D198" t="s">
        <v>16</v>
      </c>
      <c r="G198" s="1" t="s">
        <v>17</v>
      </c>
      <c r="I198" s="1">
        <v>45909</v>
      </c>
      <c r="J198" t="s">
        <v>1045</v>
      </c>
      <c r="K198" t="s">
        <v>1047</v>
      </c>
    </row>
    <row r="199" spans="1:11" ht="14.65" hidden="1">
      <c r="A199" t="s">
        <v>350</v>
      </c>
      <c r="B199" t="s">
        <v>386</v>
      </c>
      <c r="C199" t="s">
        <v>385</v>
      </c>
      <c r="D199" t="s">
        <v>38</v>
      </c>
      <c r="G199" s="1"/>
      <c r="I199" s="1">
        <v>45933</v>
      </c>
      <c r="J199" t="s">
        <v>1045</v>
      </c>
      <c r="K199" t="s">
        <v>1047</v>
      </c>
    </row>
    <row r="200" spans="1:11" ht="14.65" hidden="1">
      <c r="A200" t="s">
        <v>388</v>
      </c>
      <c r="B200" t="s">
        <v>1100</v>
      </c>
      <c r="C200" t="s">
        <v>1101</v>
      </c>
      <c r="D200" t="s">
        <v>16</v>
      </c>
      <c r="G200" s="1" t="s">
        <v>17</v>
      </c>
      <c r="H200" s="2"/>
      <c r="I200" s="1">
        <v>46079</v>
      </c>
      <c r="J200" t="s">
        <v>1045</v>
      </c>
    </row>
    <row r="201" spans="1:11" ht="14.65" hidden="1">
      <c r="A201" s="3" t="s">
        <v>388</v>
      </c>
      <c r="B201" s="3" t="s">
        <v>389</v>
      </c>
      <c r="C201" s="3" t="s">
        <v>387</v>
      </c>
      <c r="D201" s="3" t="s">
        <v>21</v>
      </c>
      <c r="E201" s="3" t="s">
        <v>22</v>
      </c>
      <c r="F201" s="3">
        <v>49</v>
      </c>
      <c r="G201" s="4"/>
      <c r="H201" s="3"/>
      <c r="I201" s="4">
        <v>45943</v>
      </c>
      <c r="J201" t="s">
        <v>1045</v>
      </c>
      <c r="K201" t="s">
        <v>1048</v>
      </c>
    </row>
    <row r="202" spans="1:11" ht="14.65" hidden="1">
      <c r="A202" t="s">
        <v>388</v>
      </c>
      <c r="B202" t="s">
        <v>1102</v>
      </c>
      <c r="C202" t="s">
        <v>1103</v>
      </c>
      <c r="D202" t="s">
        <v>21</v>
      </c>
      <c r="E202" t="s">
        <v>22</v>
      </c>
      <c r="F202">
        <v>88</v>
      </c>
      <c r="G202" s="1">
        <v>46098.583333333336</v>
      </c>
      <c r="H202" s="2">
        <v>46098.6875</v>
      </c>
      <c r="I202" s="1">
        <v>46087</v>
      </c>
      <c r="J202" t="s">
        <v>1045</v>
      </c>
      <c r="K202" t="s">
        <v>1046</v>
      </c>
    </row>
    <row r="203" spans="1:11" ht="14.65" hidden="1">
      <c r="A203" t="s">
        <v>388</v>
      </c>
      <c r="B203" t="s">
        <v>1104</v>
      </c>
      <c r="D203" t="s">
        <v>76</v>
      </c>
      <c r="G203" s="1"/>
      <c r="J203" t="s">
        <v>1045</v>
      </c>
      <c r="K203" t="s">
        <v>1047</v>
      </c>
    </row>
    <row r="204" spans="1:11" ht="14.65" hidden="1">
      <c r="A204" t="s">
        <v>388</v>
      </c>
      <c r="B204" t="s">
        <v>392</v>
      </c>
      <c r="C204" t="s">
        <v>391</v>
      </c>
      <c r="D204" t="s">
        <v>16</v>
      </c>
      <c r="G204" s="1">
        <v>45771.375</v>
      </c>
      <c r="H204" s="2">
        <v>45772.708333333336</v>
      </c>
      <c r="I204" s="1">
        <v>45848</v>
      </c>
      <c r="J204" t="s">
        <v>1045</v>
      </c>
      <c r="K204" t="s">
        <v>1046</v>
      </c>
    </row>
    <row r="205" spans="1:11" ht="14.65" hidden="1">
      <c r="A205" t="s">
        <v>388</v>
      </c>
      <c r="B205" t="s">
        <v>394</v>
      </c>
      <c r="C205" t="s">
        <v>393</v>
      </c>
      <c r="D205" t="s">
        <v>21</v>
      </c>
      <c r="G205" s="1">
        <v>46092.375</v>
      </c>
      <c r="H205" s="2"/>
      <c r="I205" s="1"/>
      <c r="J205" t="s">
        <v>1045</v>
      </c>
      <c r="K205" t="s">
        <v>1047</v>
      </c>
    </row>
    <row r="206" spans="1:11" ht="14.65" hidden="1">
      <c r="A206" s="3" t="s">
        <v>388</v>
      </c>
      <c r="B206" s="3" t="s">
        <v>396</v>
      </c>
      <c r="C206" s="3" t="s">
        <v>395</v>
      </c>
      <c r="D206" s="3" t="s">
        <v>21</v>
      </c>
      <c r="E206" s="3" t="s">
        <v>22</v>
      </c>
      <c r="F206" s="3">
        <v>29</v>
      </c>
      <c r="G206" s="4">
        <v>45560.4375</v>
      </c>
      <c r="H206" s="6">
        <v>45565.625</v>
      </c>
      <c r="I206" s="4">
        <v>45938</v>
      </c>
      <c r="J206" s="3" t="s">
        <v>1045</v>
      </c>
      <c r="K206" t="s">
        <v>1048</v>
      </c>
    </row>
    <row r="207" spans="1:11" ht="14.65" hidden="1">
      <c r="A207" t="s">
        <v>388</v>
      </c>
      <c r="B207" t="s">
        <v>398</v>
      </c>
      <c r="C207" t="s">
        <v>397</v>
      </c>
      <c r="D207" t="s">
        <v>21</v>
      </c>
      <c r="E207" t="s">
        <v>22</v>
      </c>
      <c r="F207">
        <v>256</v>
      </c>
      <c r="G207" s="1">
        <v>46104.375</v>
      </c>
      <c r="H207" s="2">
        <v>45706.708333333336</v>
      </c>
      <c r="I207" s="1">
        <v>45944</v>
      </c>
      <c r="J207" t="s">
        <v>1045</v>
      </c>
      <c r="K207" t="s">
        <v>1046</v>
      </c>
    </row>
    <row r="208" spans="1:11" ht="14.65" hidden="1">
      <c r="A208" s="3" t="s">
        <v>388</v>
      </c>
      <c r="B208" s="3" t="s">
        <v>400</v>
      </c>
      <c r="C208" s="3" t="s">
        <v>399</v>
      </c>
      <c r="D208" s="3" t="s">
        <v>16</v>
      </c>
      <c r="E208" s="3"/>
      <c r="F208" s="3"/>
      <c r="G208" s="4">
        <v>46057.4375</v>
      </c>
      <c r="H208" s="6">
        <v>46057.479166666664</v>
      </c>
      <c r="I208" s="4">
        <v>46056</v>
      </c>
      <c r="J208" t="s">
        <v>1045</v>
      </c>
      <c r="K208" t="s">
        <v>1048</v>
      </c>
    </row>
    <row r="209" spans="1:11" ht="14.65" hidden="1">
      <c r="A209" t="s">
        <v>388</v>
      </c>
      <c r="B209" t="s">
        <v>402</v>
      </c>
      <c r="C209" t="s">
        <v>401</v>
      </c>
      <c r="D209" t="s">
        <v>16</v>
      </c>
      <c r="G209" s="1" t="s">
        <v>17</v>
      </c>
      <c r="H209" s="2"/>
      <c r="I209" s="1">
        <v>46056</v>
      </c>
      <c r="J209" t="s">
        <v>1045</v>
      </c>
      <c r="K209" t="s">
        <v>1046</v>
      </c>
    </row>
    <row r="210" spans="1:11" ht="14.65">
      <c r="A210" s="16" t="s">
        <v>388</v>
      </c>
      <c r="G210" s="1"/>
      <c r="H210" s="2"/>
      <c r="I210" s="1"/>
      <c r="J210" t="s">
        <v>22</v>
      </c>
      <c r="K210" s="16" t="s">
        <v>1105</v>
      </c>
    </row>
    <row r="211" spans="1:11" ht="14.65" hidden="1">
      <c r="A211" t="s">
        <v>388</v>
      </c>
      <c r="B211" t="s">
        <v>404</v>
      </c>
      <c r="C211" t="s">
        <v>403</v>
      </c>
      <c r="D211" t="s">
        <v>21</v>
      </c>
      <c r="E211" t="s">
        <v>22</v>
      </c>
      <c r="F211">
        <v>19</v>
      </c>
      <c r="G211" s="1">
        <v>46104.375</v>
      </c>
      <c r="H211" s="2">
        <v>45911.729166666664</v>
      </c>
      <c r="I211" s="1">
        <v>45943</v>
      </c>
      <c r="J211" t="s">
        <v>1045</v>
      </c>
      <c r="K211" t="s">
        <v>1047</v>
      </c>
    </row>
    <row r="212" spans="1:11" ht="14.65" hidden="1">
      <c r="A212" t="s">
        <v>388</v>
      </c>
      <c r="B212" t="s">
        <v>406</v>
      </c>
      <c r="C212" t="s">
        <v>405</v>
      </c>
      <c r="D212" t="s">
        <v>21</v>
      </c>
      <c r="E212" t="s">
        <v>22</v>
      </c>
      <c r="F212">
        <v>46</v>
      </c>
      <c r="G212" s="1">
        <v>46083.375</v>
      </c>
      <c r="H212" s="2">
        <v>45903.729166666664</v>
      </c>
      <c r="I212" s="1">
        <v>45944</v>
      </c>
      <c r="J212" t="s">
        <v>1045</v>
      </c>
      <c r="K212" t="s">
        <v>1047</v>
      </c>
    </row>
    <row r="213" spans="1:11" ht="14.65" hidden="1">
      <c r="A213" s="3" t="s">
        <v>388</v>
      </c>
      <c r="B213" s="3" t="s">
        <v>408</v>
      </c>
      <c r="C213" s="3" t="s">
        <v>407</v>
      </c>
      <c r="D213" s="3" t="s">
        <v>16</v>
      </c>
      <c r="E213" s="3"/>
      <c r="F213" s="3"/>
      <c r="G213" s="4">
        <v>46056.520833333336</v>
      </c>
      <c r="H213" s="6">
        <v>46056.583333333336</v>
      </c>
      <c r="I213" s="4">
        <v>46056</v>
      </c>
      <c r="J213" t="s">
        <v>1045</v>
      </c>
      <c r="K213" t="s">
        <v>1048</v>
      </c>
    </row>
    <row r="214" spans="1:11" ht="14.65">
      <c r="A214" s="16" t="s">
        <v>388</v>
      </c>
      <c r="B214" s="3"/>
      <c r="C214" s="3"/>
      <c r="D214" s="3"/>
      <c r="E214" s="3"/>
      <c r="F214" s="3"/>
      <c r="G214" s="4"/>
      <c r="H214" s="6"/>
      <c r="I214" s="4"/>
      <c r="J214" t="s">
        <v>22</v>
      </c>
      <c r="K214" s="16" t="s">
        <v>1106</v>
      </c>
    </row>
    <row r="215" spans="1:11" ht="14.65" hidden="1">
      <c r="A215" t="s">
        <v>388</v>
      </c>
      <c r="B215" t="s">
        <v>410</v>
      </c>
      <c r="C215" t="s">
        <v>409</v>
      </c>
      <c r="D215" t="s">
        <v>21</v>
      </c>
      <c r="E215" t="s">
        <v>22</v>
      </c>
      <c r="F215">
        <v>23</v>
      </c>
      <c r="G215" s="1">
        <v>46097.375</v>
      </c>
      <c r="H215" s="2">
        <v>46000.520833333336</v>
      </c>
      <c r="I215" s="1">
        <v>45939</v>
      </c>
      <c r="J215" t="s">
        <v>1045</v>
      </c>
      <c r="K215" t="s">
        <v>1047</v>
      </c>
    </row>
    <row r="216" spans="1:11" ht="14.65" hidden="1">
      <c r="A216" t="s">
        <v>388</v>
      </c>
      <c r="B216" t="s">
        <v>412</v>
      </c>
      <c r="C216" t="s">
        <v>411</v>
      </c>
      <c r="D216" t="s">
        <v>21</v>
      </c>
      <c r="E216" t="s">
        <v>22</v>
      </c>
      <c r="F216">
        <v>9</v>
      </c>
      <c r="G216" s="1">
        <v>46097.5625</v>
      </c>
      <c r="H216" s="2">
        <v>46000.708333333336</v>
      </c>
      <c r="I216" s="1">
        <v>45944</v>
      </c>
      <c r="J216" t="s">
        <v>1045</v>
      </c>
      <c r="K216" t="s">
        <v>1047</v>
      </c>
    </row>
    <row r="217" spans="1:11" ht="14.65" hidden="1">
      <c r="A217" t="s">
        <v>388</v>
      </c>
      <c r="B217" t="s">
        <v>414</v>
      </c>
      <c r="C217" t="s">
        <v>413</v>
      </c>
      <c r="D217" t="s">
        <v>16</v>
      </c>
      <c r="G217" s="1" t="s">
        <v>17</v>
      </c>
      <c r="I217" s="1">
        <v>45943</v>
      </c>
      <c r="J217" t="s">
        <v>1045</v>
      </c>
      <c r="K217" t="s">
        <v>1046</v>
      </c>
    </row>
    <row r="218" spans="1:11" ht="14.65" hidden="1">
      <c r="A218" t="s">
        <v>388</v>
      </c>
      <c r="B218" t="s">
        <v>416</v>
      </c>
      <c r="C218" t="s">
        <v>415</v>
      </c>
      <c r="D218" t="s">
        <v>21</v>
      </c>
      <c r="E218" t="s">
        <v>22</v>
      </c>
      <c r="F218">
        <v>5</v>
      </c>
      <c r="G218" s="1">
        <v>46079.458333333336</v>
      </c>
      <c r="H218" s="2">
        <v>46079.520833333336</v>
      </c>
      <c r="I218" s="1">
        <v>46055</v>
      </c>
      <c r="J218" t="s">
        <v>1045</v>
      </c>
      <c r="K218" t="s">
        <v>1047</v>
      </c>
    </row>
    <row r="219" spans="1:11" ht="14.65" hidden="1">
      <c r="A219" t="s">
        <v>418</v>
      </c>
      <c r="B219" t="s">
        <v>419</v>
      </c>
      <c r="C219" t="s">
        <v>417</v>
      </c>
      <c r="D219" t="s">
        <v>21</v>
      </c>
      <c r="E219" t="s">
        <v>22</v>
      </c>
      <c r="F219">
        <v>38</v>
      </c>
      <c r="G219" s="1">
        <v>46056.375</v>
      </c>
      <c r="H219" s="2">
        <v>45992.520833333336</v>
      </c>
      <c r="I219" s="1">
        <v>45939</v>
      </c>
      <c r="J219" t="s">
        <v>1045</v>
      </c>
      <c r="K219" t="s">
        <v>1047</v>
      </c>
    </row>
    <row r="220" spans="1:11" ht="14.65" hidden="1">
      <c r="A220" t="s">
        <v>418</v>
      </c>
      <c r="B220" t="s">
        <v>421</v>
      </c>
      <c r="C220" t="s">
        <v>420</v>
      </c>
      <c r="D220" t="s">
        <v>21</v>
      </c>
      <c r="E220" t="s">
        <v>22</v>
      </c>
      <c r="F220">
        <v>38</v>
      </c>
      <c r="G220" s="1">
        <v>46056.5625</v>
      </c>
      <c r="H220" s="2">
        <v>45992.708333333336</v>
      </c>
      <c r="I220" s="1">
        <v>45944</v>
      </c>
      <c r="J220" t="s">
        <v>1045</v>
      </c>
      <c r="K220" t="s">
        <v>1047</v>
      </c>
    </row>
    <row r="221" spans="1:11" ht="14.65" hidden="1">
      <c r="A221" s="3" t="s">
        <v>423</v>
      </c>
      <c r="B221" s="3" t="s">
        <v>424</v>
      </c>
      <c r="C221" s="3" t="s">
        <v>422</v>
      </c>
      <c r="D221" s="3" t="s">
        <v>21</v>
      </c>
      <c r="E221" s="3" t="s">
        <v>22</v>
      </c>
      <c r="F221" s="3">
        <v>24</v>
      </c>
      <c r="G221" s="4">
        <v>45393.375</v>
      </c>
      <c r="H221" s="6">
        <v>45393.708333333336</v>
      </c>
      <c r="I221" s="4">
        <v>45923</v>
      </c>
      <c r="J221" s="3" t="s">
        <v>1045</v>
      </c>
      <c r="K221" t="s">
        <v>1048</v>
      </c>
    </row>
    <row r="222" spans="1:11" ht="14.65">
      <c r="A222" t="s">
        <v>426</v>
      </c>
      <c r="B222" s="3"/>
      <c r="C222" s="3"/>
      <c r="D222" s="3"/>
      <c r="E222" s="3"/>
      <c r="F222" s="3"/>
      <c r="G222" s="4"/>
      <c r="H222" s="6"/>
      <c r="I222" s="4"/>
      <c r="J222" t="s">
        <v>22</v>
      </c>
      <c r="K222" t="s">
        <v>1107</v>
      </c>
    </row>
    <row r="223" spans="1:11" ht="14.65" hidden="1">
      <c r="A223" t="s">
        <v>426</v>
      </c>
      <c r="B223" t="s">
        <v>427</v>
      </c>
      <c r="C223" t="s">
        <v>425</v>
      </c>
      <c r="D223" t="s">
        <v>21</v>
      </c>
      <c r="E223" t="s">
        <v>22</v>
      </c>
      <c r="F223">
        <v>40</v>
      </c>
      <c r="G223" s="1">
        <v>46079.645833333336</v>
      </c>
      <c r="H223" s="2">
        <v>45979.708333333336</v>
      </c>
      <c r="I223" s="1">
        <v>45945</v>
      </c>
      <c r="J223" t="s">
        <v>1045</v>
      </c>
      <c r="K223" t="s">
        <v>1047</v>
      </c>
    </row>
    <row r="224" spans="1:11" ht="14.65" hidden="1">
      <c r="A224" t="s">
        <v>426</v>
      </c>
      <c r="B224" t="s">
        <v>429</v>
      </c>
      <c r="C224" t="s">
        <v>428</v>
      </c>
      <c r="D224" t="s">
        <v>21</v>
      </c>
      <c r="E224" t="s">
        <v>22</v>
      </c>
      <c r="F224">
        <v>151</v>
      </c>
      <c r="G224" s="1">
        <v>46100.375</v>
      </c>
      <c r="H224" s="2">
        <v>45979.4375</v>
      </c>
      <c r="I224" s="1">
        <v>45943</v>
      </c>
      <c r="J224" t="s">
        <v>1045</v>
      </c>
      <c r="K224" t="s">
        <v>1047</v>
      </c>
    </row>
    <row r="225" spans="1:11" ht="14.65" hidden="1">
      <c r="A225" t="s">
        <v>426</v>
      </c>
      <c r="B225" t="s">
        <v>431</v>
      </c>
      <c r="C225" t="s">
        <v>430</v>
      </c>
      <c r="D225" t="s">
        <v>21</v>
      </c>
      <c r="E225" t="s">
        <v>22</v>
      </c>
      <c r="F225">
        <v>90</v>
      </c>
      <c r="G225" s="1">
        <v>46100.458333333336</v>
      </c>
      <c r="H225" s="2">
        <v>45979.520833333336</v>
      </c>
      <c r="I225" s="1">
        <v>45943</v>
      </c>
      <c r="J225" t="s">
        <v>1045</v>
      </c>
      <c r="K225" t="s">
        <v>1047</v>
      </c>
    </row>
    <row r="226" spans="1:11" ht="14.65" hidden="1">
      <c r="A226" t="s">
        <v>426</v>
      </c>
      <c r="B226" t="s">
        <v>433</v>
      </c>
      <c r="C226" t="s">
        <v>432</v>
      </c>
      <c r="D226" t="s">
        <v>21</v>
      </c>
      <c r="E226" t="s">
        <v>22</v>
      </c>
      <c r="F226">
        <v>43</v>
      </c>
      <c r="G226" s="1">
        <v>46100.645833333336</v>
      </c>
      <c r="H226" s="2">
        <v>45951.708333333336</v>
      </c>
      <c r="I226" s="1">
        <v>45944</v>
      </c>
      <c r="J226" t="s">
        <v>1045</v>
      </c>
      <c r="K226" t="s">
        <v>1047</v>
      </c>
    </row>
    <row r="227" spans="1:11" ht="14.65" hidden="1">
      <c r="A227" t="s">
        <v>426</v>
      </c>
      <c r="B227" t="s">
        <v>435</v>
      </c>
      <c r="C227" t="s">
        <v>434</v>
      </c>
      <c r="D227" t="s">
        <v>21</v>
      </c>
      <c r="E227" t="s">
        <v>22</v>
      </c>
      <c r="F227">
        <v>40</v>
      </c>
      <c r="G227" s="1">
        <v>46079.5625</v>
      </c>
      <c r="H227" s="2">
        <v>45979.625</v>
      </c>
      <c r="I227" s="1">
        <v>45943</v>
      </c>
      <c r="J227" t="s">
        <v>1045</v>
      </c>
      <c r="K227" t="s">
        <v>1047</v>
      </c>
    </row>
    <row r="228" spans="1:11" ht="14.65" hidden="1">
      <c r="A228" t="s">
        <v>426</v>
      </c>
      <c r="B228" t="s">
        <v>437</v>
      </c>
      <c r="C228" t="s">
        <v>436</v>
      </c>
      <c r="D228" t="s">
        <v>21</v>
      </c>
      <c r="E228" t="s">
        <v>22</v>
      </c>
      <c r="F228">
        <v>63</v>
      </c>
      <c r="G228" s="1">
        <v>46100.5625</v>
      </c>
      <c r="H228" s="2">
        <v>45951.625</v>
      </c>
      <c r="I228" s="1">
        <v>45943</v>
      </c>
      <c r="J228" t="s">
        <v>1045</v>
      </c>
      <c r="K228" t="s">
        <v>1047</v>
      </c>
    </row>
    <row r="229" spans="1:11" ht="14.65" hidden="1">
      <c r="A229" t="s">
        <v>439</v>
      </c>
      <c r="B229" t="s">
        <v>440</v>
      </c>
      <c r="C229" t="s">
        <v>438</v>
      </c>
      <c r="D229" t="s">
        <v>21</v>
      </c>
      <c r="E229" t="s">
        <v>22</v>
      </c>
      <c r="F229">
        <v>166</v>
      </c>
      <c r="G229" s="1">
        <v>46094.375</v>
      </c>
      <c r="H229" s="2">
        <v>45947.708333333336</v>
      </c>
      <c r="I229" s="1">
        <v>45944</v>
      </c>
      <c r="J229" t="s">
        <v>1045</v>
      </c>
      <c r="K229" t="s">
        <v>1046</v>
      </c>
    </row>
    <row r="230" spans="1:11" ht="14.65" hidden="1">
      <c r="A230" t="s">
        <v>439</v>
      </c>
      <c r="B230" t="s">
        <v>442</v>
      </c>
      <c r="C230" t="s">
        <v>441</v>
      </c>
      <c r="D230" t="s">
        <v>21</v>
      </c>
      <c r="E230" t="s">
        <v>22</v>
      </c>
      <c r="F230">
        <v>23</v>
      </c>
      <c r="G230" s="1">
        <v>46091.5625</v>
      </c>
      <c r="H230" s="2">
        <v>46000.708333333336</v>
      </c>
      <c r="I230" s="1">
        <v>45945</v>
      </c>
      <c r="J230" t="s">
        <v>1045</v>
      </c>
      <c r="K230" t="s">
        <v>1047</v>
      </c>
    </row>
    <row r="231" spans="1:11" ht="14.65" hidden="1">
      <c r="A231" t="s">
        <v>439</v>
      </c>
      <c r="B231" t="s">
        <v>444</v>
      </c>
      <c r="C231" t="s">
        <v>443</v>
      </c>
      <c r="D231" t="s">
        <v>21</v>
      </c>
      <c r="E231" t="s">
        <v>22</v>
      </c>
      <c r="F231">
        <v>10</v>
      </c>
      <c r="G231" s="1">
        <v>46106.375</v>
      </c>
      <c r="H231" s="2">
        <v>45987.520833333336</v>
      </c>
      <c r="I231" s="1">
        <v>45944</v>
      </c>
      <c r="J231" t="s">
        <v>1045</v>
      </c>
      <c r="K231" t="s">
        <v>1047</v>
      </c>
    </row>
    <row r="232" spans="1:11" ht="14.65" hidden="1">
      <c r="A232" t="s">
        <v>439</v>
      </c>
      <c r="B232" t="s">
        <v>446</v>
      </c>
      <c r="C232" t="s">
        <v>445</v>
      </c>
      <c r="D232" t="s">
        <v>21</v>
      </c>
      <c r="E232" t="s">
        <v>22</v>
      </c>
      <c r="F232">
        <v>14</v>
      </c>
      <c r="G232" s="1">
        <v>46041.5625</v>
      </c>
      <c r="H232" s="2">
        <v>46041.708333333336</v>
      </c>
      <c r="I232" s="1">
        <v>45944</v>
      </c>
      <c r="J232" t="s">
        <v>1045</v>
      </c>
      <c r="K232" t="s">
        <v>1047</v>
      </c>
    </row>
    <row r="233" spans="1:11" ht="14.65" hidden="1">
      <c r="A233" t="s">
        <v>1108</v>
      </c>
      <c r="G233" s="1"/>
      <c r="H233" s="2"/>
      <c r="I233" s="1"/>
      <c r="J233" t="s">
        <v>1045</v>
      </c>
      <c r="K233" t="s">
        <v>1109</v>
      </c>
    </row>
    <row r="234" spans="1:11" ht="14.65" hidden="1">
      <c r="A234" t="s">
        <v>447</v>
      </c>
      <c r="B234" t="s">
        <v>450</v>
      </c>
      <c r="D234" t="s">
        <v>76</v>
      </c>
      <c r="G234" s="1"/>
      <c r="J234" t="s">
        <v>1045</v>
      </c>
      <c r="K234" t="s">
        <v>1047</v>
      </c>
    </row>
    <row r="235" spans="1:11" ht="14.65" hidden="1">
      <c r="A235" t="s">
        <v>447</v>
      </c>
      <c r="B235" t="s">
        <v>449</v>
      </c>
      <c r="D235" t="s">
        <v>76</v>
      </c>
      <c r="G235" s="1"/>
      <c r="J235" t="s">
        <v>1045</v>
      </c>
      <c r="K235" t="s">
        <v>1047</v>
      </c>
    </row>
    <row r="236" spans="1:11" ht="14.65" hidden="1">
      <c r="A236" t="s">
        <v>447</v>
      </c>
      <c r="B236" t="s">
        <v>451</v>
      </c>
      <c r="D236" t="s">
        <v>76</v>
      </c>
      <c r="G236" s="1"/>
      <c r="J236" t="s">
        <v>1045</v>
      </c>
      <c r="K236" t="s">
        <v>1047</v>
      </c>
    </row>
    <row r="237" spans="1:11" ht="14.65" hidden="1">
      <c r="A237" t="s">
        <v>447</v>
      </c>
      <c r="B237" t="s">
        <v>452</v>
      </c>
      <c r="D237" t="s">
        <v>76</v>
      </c>
      <c r="G237" s="1"/>
      <c r="J237" t="s">
        <v>1045</v>
      </c>
      <c r="K237" t="s">
        <v>1047</v>
      </c>
    </row>
    <row r="238" spans="1:11" ht="14.65" hidden="1">
      <c r="A238" t="s">
        <v>447</v>
      </c>
      <c r="B238" t="s">
        <v>453</v>
      </c>
      <c r="D238" t="s">
        <v>76</v>
      </c>
      <c r="G238" s="1"/>
      <c r="J238" t="s">
        <v>1045</v>
      </c>
      <c r="K238" t="s">
        <v>1047</v>
      </c>
    </row>
    <row r="239" spans="1:11" ht="14.65" hidden="1">
      <c r="A239" t="s">
        <v>447</v>
      </c>
      <c r="B239" t="s">
        <v>455</v>
      </c>
      <c r="D239" t="s">
        <v>76</v>
      </c>
      <c r="G239" s="1"/>
      <c r="J239" t="s">
        <v>1045</v>
      </c>
      <c r="K239" t="s">
        <v>1047</v>
      </c>
    </row>
    <row r="240" spans="1:11" ht="14.65" hidden="1">
      <c r="A240" t="s">
        <v>447</v>
      </c>
      <c r="B240" t="s">
        <v>456</v>
      </c>
      <c r="D240" t="s">
        <v>76</v>
      </c>
      <c r="G240" s="1"/>
      <c r="J240" t="s">
        <v>1045</v>
      </c>
      <c r="K240" t="s">
        <v>1047</v>
      </c>
    </row>
    <row r="241" spans="1:11" ht="14.65" hidden="1">
      <c r="A241" t="s">
        <v>447</v>
      </c>
      <c r="B241" t="s">
        <v>457</v>
      </c>
      <c r="D241" t="s">
        <v>76</v>
      </c>
      <c r="G241" s="1"/>
      <c r="J241" t="s">
        <v>1045</v>
      </c>
      <c r="K241" t="s">
        <v>1047</v>
      </c>
    </row>
    <row r="242" spans="1:11" ht="14.65" hidden="1">
      <c r="A242" t="s">
        <v>447</v>
      </c>
      <c r="B242" t="s">
        <v>458</v>
      </c>
      <c r="D242" t="s">
        <v>76</v>
      </c>
      <c r="G242" s="1"/>
      <c r="J242" t="s">
        <v>1045</v>
      </c>
      <c r="K242" t="s">
        <v>1047</v>
      </c>
    </row>
    <row r="243" spans="1:11" ht="14.65" hidden="1">
      <c r="A243" t="s">
        <v>447</v>
      </c>
      <c r="B243" t="s">
        <v>459</v>
      </c>
      <c r="D243" t="s">
        <v>76</v>
      </c>
      <c r="G243" s="1"/>
      <c r="J243" t="s">
        <v>1045</v>
      </c>
      <c r="K243" t="s">
        <v>1047</v>
      </c>
    </row>
    <row r="244" spans="1:11" ht="14.65" hidden="1">
      <c r="A244" t="s">
        <v>447</v>
      </c>
      <c r="B244" t="s">
        <v>460</v>
      </c>
      <c r="D244" t="s">
        <v>76</v>
      </c>
      <c r="G244" s="1"/>
      <c r="J244" t="s">
        <v>1045</v>
      </c>
      <c r="K244" t="s">
        <v>1047</v>
      </c>
    </row>
    <row r="245" spans="1:11" ht="14.65" hidden="1">
      <c r="A245" t="s">
        <v>447</v>
      </c>
      <c r="B245" t="s">
        <v>461</v>
      </c>
      <c r="D245" t="s">
        <v>76</v>
      </c>
      <c r="G245" s="1"/>
      <c r="J245" t="s">
        <v>1045</v>
      </c>
      <c r="K245" t="s">
        <v>1047</v>
      </c>
    </row>
    <row r="246" spans="1:11" ht="14.65" hidden="1">
      <c r="A246" t="s">
        <v>447</v>
      </c>
      <c r="B246" t="s">
        <v>462</v>
      </c>
      <c r="D246" t="s">
        <v>76</v>
      </c>
      <c r="G246" s="1"/>
      <c r="J246" t="s">
        <v>1045</v>
      </c>
      <c r="K246" t="s">
        <v>1047</v>
      </c>
    </row>
    <row r="247" spans="1:11" ht="14.65" hidden="1">
      <c r="A247" t="s">
        <v>447</v>
      </c>
      <c r="B247" t="s">
        <v>463</v>
      </c>
      <c r="D247" t="s">
        <v>76</v>
      </c>
      <c r="G247" s="1"/>
      <c r="J247" t="s">
        <v>1045</v>
      </c>
      <c r="K247" t="s">
        <v>1047</v>
      </c>
    </row>
    <row r="248" spans="1:11" ht="14.65">
      <c r="A248" t="s">
        <v>447</v>
      </c>
      <c r="G248" s="1"/>
      <c r="H248" s="2"/>
      <c r="I248" s="1"/>
      <c r="J248" t="s">
        <v>22</v>
      </c>
      <c r="K248" t="s">
        <v>1110</v>
      </c>
    </row>
    <row r="249" spans="1:11" ht="14.65" hidden="1">
      <c r="A249" t="s">
        <v>465</v>
      </c>
      <c r="B249" t="s">
        <v>466</v>
      </c>
      <c r="C249" t="s">
        <v>464</v>
      </c>
      <c r="D249" t="s">
        <v>21</v>
      </c>
      <c r="E249" t="s">
        <v>22</v>
      </c>
      <c r="F249">
        <v>0</v>
      </c>
      <c r="G249" s="1">
        <v>46107.416666666664</v>
      </c>
      <c r="H249" s="2">
        <v>46107.5</v>
      </c>
      <c r="I249" s="1">
        <v>46050</v>
      </c>
      <c r="J249" t="s">
        <v>1045</v>
      </c>
      <c r="K249" t="s">
        <v>1047</v>
      </c>
    </row>
    <row r="250" spans="1:11" ht="14.65" hidden="1">
      <c r="A250" t="s">
        <v>465</v>
      </c>
      <c r="B250" t="s">
        <v>1111</v>
      </c>
      <c r="C250" t="s">
        <v>473</v>
      </c>
      <c r="D250" t="s">
        <v>21</v>
      </c>
      <c r="E250" t="s">
        <v>22</v>
      </c>
      <c r="F250">
        <v>0</v>
      </c>
      <c r="G250" s="1">
        <v>46093.375</v>
      </c>
      <c r="H250" s="2">
        <v>46093.541666666664</v>
      </c>
      <c r="I250" s="1">
        <v>46056</v>
      </c>
      <c r="J250" t="s">
        <v>1045</v>
      </c>
      <c r="K250" t="s">
        <v>1047</v>
      </c>
    </row>
    <row r="251" spans="1:11" ht="14.65" hidden="1">
      <c r="A251" t="s">
        <v>465</v>
      </c>
      <c r="B251" t="s">
        <v>468</v>
      </c>
      <c r="C251" t="s">
        <v>467</v>
      </c>
      <c r="D251" t="s">
        <v>38</v>
      </c>
      <c r="G251" s="1"/>
      <c r="I251" s="1">
        <v>45938</v>
      </c>
      <c r="J251" t="s">
        <v>1045</v>
      </c>
      <c r="K251" t="s">
        <v>1047</v>
      </c>
    </row>
    <row r="252" spans="1:11" ht="14.65">
      <c r="A252" t="s">
        <v>476</v>
      </c>
      <c r="B252" t="s">
        <v>1112</v>
      </c>
      <c r="C252" t="s">
        <v>1113</v>
      </c>
      <c r="G252" s="1"/>
      <c r="H252" s="2"/>
      <c r="I252" s="1"/>
      <c r="J252" t="s">
        <v>22</v>
      </c>
    </row>
    <row r="253" spans="1:11" ht="14.65" hidden="1">
      <c r="A253" s="3" t="s">
        <v>465</v>
      </c>
      <c r="B253" s="3" t="s">
        <v>470</v>
      </c>
      <c r="C253" s="3" t="s">
        <v>469</v>
      </c>
      <c r="D253" s="3" t="s">
        <v>16</v>
      </c>
      <c r="E253" s="3"/>
      <c r="F253" s="3"/>
      <c r="G253" s="4" t="s">
        <v>17</v>
      </c>
      <c r="I253" s="1">
        <v>45945</v>
      </c>
      <c r="J253" t="s">
        <v>1045</v>
      </c>
      <c r="K253" t="s">
        <v>1114</v>
      </c>
    </row>
    <row r="254" spans="1:11" ht="14.65" hidden="1">
      <c r="A254" s="3" t="s">
        <v>465</v>
      </c>
      <c r="B254" s="3" t="s">
        <v>472</v>
      </c>
      <c r="C254" s="3" t="s">
        <v>471</v>
      </c>
      <c r="D254" t="s">
        <v>16</v>
      </c>
      <c r="F254" s="3"/>
      <c r="G254" s="4">
        <v>45950.375</v>
      </c>
      <c r="H254" s="2">
        <v>45999.4375</v>
      </c>
      <c r="I254" s="1">
        <v>45933</v>
      </c>
      <c r="J254" t="s">
        <v>1045</v>
      </c>
      <c r="K254" t="s">
        <v>1115</v>
      </c>
    </row>
    <row r="255" spans="1:11" ht="14.65">
      <c r="A255" t="s">
        <v>476</v>
      </c>
      <c r="B255" s="3"/>
      <c r="C255" s="3"/>
      <c r="F255" s="3"/>
      <c r="G255" s="4"/>
      <c r="H255" s="2"/>
      <c r="I255" s="1"/>
      <c r="J255" t="s">
        <v>22</v>
      </c>
      <c r="K255" t="s">
        <v>1116</v>
      </c>
    </row>
    <row r="256" spans="1:11" ht="14.65" hidden="1">
      <c r="A256" t="s">
        <v>476</v>
      </c>
      <c r="B256" t="s">
        <v>477</v>
      </c>
      <c r="C256" t="s">
        <v>475</v>
      </c>
      <c r="D256" t="s">
        <v>21</v>
      </c>
      <c r="E256" t="s">
        <v>25</v>
      </c>
      <c r="G256" s="1">
        <v>46058.583333333336</v>
      </c>
      <c r="H256" s="2">
        <v>46058.666666666664</v>
      </c>
      <c r="I256" s="1">
        <v>46055</v>
      </c>
      <c r="J256" t="s">
        <v>1045</v>
      </c>
      <c r="K256" t="s">
        <v>1047</v>
      </c>
    </row>
    <row r="257" spans="1:11" ht="14.65" hidden="1">
      <c r="A257" t="s">
        <v>476</v>
      </c>
      <c r="B257" t="s">
        <v>479</v>
      </c>
      <c r="C257" t="s">
        <v>478</v>
      </c>
      <c r="D257" t="s">
        <v>16</v>
      </c>
      <c r="G257" s="1" t="s">
        <v>17</v>
      </c>
      <c r="I257" s="1">
        <v>45943</v>
      </c>
      <c r="J257" t="s">
        <v>1045</v>
      </c>
      <c r="K257" t="s">
        <v>1047</v>
      </c>
    </row>
    <row r="258" spans="1:11" ht="14.65">
      <c r="A258" s="16" t="s">
        <v>476</v>
      </c>
      <c r="B258" t="s">
        <v>1117</v>
      </c>
      <c r="G258" s="1"/>
      <c r="H258" s="2"/>
      <c r="I258" s="1"/>
      <c r="J258" t="s">
        <v>22</v>
      </c>
      <c r="K258" t="s">
        <v>1118</v>
      </c>
    </row>
    <row r="259" spans="1:11" ht="14.65" hidden="1">
      <c r="A259" t="s">
        <v>476</v>
      </c>
      <c r="B259" t="s">
        <v>481</v>
      </c>
      <c r="C259" t="s">
        <v>1119</v>
      </c>
      <c r="D259" t="s">
        <v>21</v>
      </c>
      <c r="E259" t="s">
        <v>25</v>
      </c>
      <c r="G259" s="1"/>
      <c r="I259" s="1">
        <v>45933</v>
      </c>
      <c r="J259" t="s">
        <v>1045</v>
      </c>
      <c r="K259" t="s">
        <v>1047</v>
      </c>
    </row>
    <row r="260" spans="1:11" ht="14.65" hidden="1">
      <c r="A260" s="3" t="s">
        <v>476</v>
      </c>
      <c r="B260" s="3" t="s">
        <v>485</v>
      </c>
      <c r="C260" s="3" t="s">
        <v>484</v>
      </c>
      <c r="D260" t="s">
        <v>21</v>
      </c>
      <c r="E260" t="s">
        <v>22</v>
      </c>
      <c r="F260">
        <v>80</v>
      </c>
      <c r="G260" s="4">
        <v>45448.395833333336</v>
      </c>
      <c r="H260" s="6">
        <v>45448.53125</v>
      </c>
      <c r="I260" s="1">
        <v>45934</v>
      </c>
      <c r="J260" t="s">
        <v>1045</v>
      </c>
      <c r="K260" t="s">
        <v>1048</v>
      </c>
    </row>
    <row r="261" spans="1:11" ht="14.65" hidden="1">
      <c r="A261" t="s">
        <v>476</v>
      </c>
      <c r="B261" t="s">
        <v>483</v>
      </c>
      <c r="C261" t="s">
        <v>482</v>
      </c>
      <c r="D261" t="s">
        <v>21</v>
      </c>
      <c r="E261" t="s">
        <v>25</v>
      </c>
      <c r="G261" s="1">
        <v>45719.333333333336</v>
      </c>
      <c r="H261" s="2">
        <v>49419.333333333336</v>
      </c>
      <c r="I261" t="s">
        <v>198</v>
      </c>
      <c r="J261" t="s">
        <v>1045</v>
      </c>
      <c r="K261" t="s">
        <v>1047</v>
      </c>
    </row>
    <row r="262" spans="1:11" ht="14.65" hidden="1">
      <c r="A262" t="s">
        <v>476</v>
      </c>
      <c r="B262" t="s">
        <v>487</v>
      </c>
      <c r="C262" t="s">
        <v>486</v>
      </c>
      <c r="D262" t="s">
        <v>21</v>
      </c>
      <c r="E262" t="s">
        <v>22</v>
      </c>
      <c r="F262">
        <v>54</v>
      </c>
      <c r="G262" s="1">
        <v>46170.375</v>
      </c>
      <c r="H262" s="2">
        <v>45995.5</v>
      </c>
      <c r="I262" s="1">
        <v>45945</v>
      </c>
      <c r="J262" t="s">
        <v>1045</v>
      </c>
      <c r="K262" t="s">
        <v>1047</v>
      </c>
    </row>
    <row r="263" spans="1:11" ht="14.65" hidden="1">
      <c r="A263" s="3" t="s">
        <v>476</v>
      </c>
      <c r="B263" s="3" t="s">
        <v>489</v>
      </c>
      <c r="C263" s="3" t="s">
        <v>488</v>
      </c>
      <c r="D263" s="3" t="s">
        <v>21</v>
      </c>
      <c r="E263" s="3" t="s">
        <v>22</v>
      </c>
      <c r="F263" s="3">
        <v>2</v>
      </c>
      <c r="G263" s="4"/>
      <c r="H263" s="3"/>
      <c r="I263" s="4">
        <v>45939</v>
      </c>
      <c r="J263" t="s">
        <v>1045</v>
      </c>
      <c r="K263" t="s">
        <v>1048</v>
      </c>
    </row>
    <row r="264" spans="1:11" ht="14.65" hidden="1">
      <c r="A264" t="s">
        <v>476</v>
      </c>
      <c r="B264" t="s">
        <v>1120</v>
      </c>
      <c r="C264" t="s">
        <v>1121</v>
      </c>
      <c r="D264" t="s">
        <v>16</v>
      </c>
      <c r="G264" s="1" t="s">
        <v>17</v>
      </c>
      <c r="H264" s="2"/>
      <c r="I264" s="1">
        <v>45963</v>
      </c>
      <c r="J264" t="s">
        <v>1045</v>
      </c>
    </row>
    <row r="265" spans="1:11" ht="14.65" hidden="1">
      <c r="A265" t="s">
        <v>476</v>
      </c>
      <c r="B265" t="s">
        <v>491</v>
      </c>
      <c r="C265" t="s">
        <v>490</v>
      </c>
      <c r="D265" t="s">
        <v>16</v>
      </c>
      <c r="G265" s="1" t="s">
        <v>17</v>
      </c>
      <c r="I265" s="1">
        <v>45936</v>
      </c>
      <c r="J265" t="s">
        <v>1045</v>
      </c>
      <c r="K265" t="s">
        <v>1047</v>
      </c>
    </row>
    <row r="266" spans="1:11" ht="14.65" hidden="1">
      <c r="A266" t="s">
        <v>476</v>
      </c>
      <c r="B266" t="s">
        <v>493</v>
      </c>
      <c r="C266" t="s">
        <v>492</v>
      </c>
      <c r="D266" t="s">
        <v>21</v>
      </c>
      <c r="E266" t="s">
        <v>22</v>
      </c>
      <c r="F266">
        <v>148</v>
      </c>
      <c r="G266" s="1">
        <v>46091.375</v>
      </c>
      <c r="H266" s="2">
        <v>45985.708333333336</v>
      </c>
      <c r="I266" s="1">
        <v>45944</v>
      </c>
      <c r="J266" t="s">
        <v>1045</v>
      </c>
      <c r="K266" t="s">
        <v>1046</v>
      </c>
    </row>
    <row r="267" spans="1:11" ht="14.65" hidden="1">
      <c r="A267" t="s">
        <v>476</v>
      </c>
      <c r="B267" t="s">
        <v>495</v>
      </c>
      <c r="C267" t="s">
        <v>494</v>
      </c>
      <c r="D267" t="s">
        <v>21</v>
      </c>
      <c r="E267" t="s">
        <v>22</v>
      </c>
      <c r="F267">
        <v>14</v>
      </c>
      <c r="G267" s="1">
        <v>45968.395833333336</v>
      </c>
      <c r="H267" s="2">
        <v>45968.520833333336</v>
      </c>
      <c r="I267" s="1">
        <v>45933</v>
      </c>
      <c r="J267" t="s">
        <v>1045</v>
      </c>
      <c r="K267" t="s">
        <v>1047</v>
      </c>
    </row>
    <row r="268" spans="1:11" ht="14.65">
      <c r="A268" s="16" t="s">
        <v>476</v>
      </c>
      <c r="B268" t="s">
        <v>497</v>
      </c>
      <c r="C268" t="s">
        <v>496</v>
      </c>
      <c r="D268" t="s">
        <v>38</v>
      </c>
      <c r="G268" s="1"/>
      <c r="H268" s="2"/>
      <c r="I268" s="1">
        <v>46056</v>
      </c>
      <c r="J268" t="s">
        <v>22</v>
      </c>
      <c r="K268" t="s">
        <v>1122</v>
      </c>
    </row>
    <row r="269" spans="1:11" ht="14.65" hidden="1">
      <c r="A269" t="s">
        <v>476</v>
      </c>
      <c r="B269" t="s">
        <v>499</v>
      </c>
      <c r="C269" t="s">
        <v>498</v>
      </c>
      <c r="D269" t="s">
        <v>21</v>
      </c>
      <c r="E269" t="s">
        <v>22</v>
      </c>
      <c r="F269">
        <v>25</v>
      </c>
      <c r="G269" s="1">
        <v>46037.395833333336</v>
      </c>
      <c r="H269" s="2">
        <v>45972.708333333336</v>
      </c>
      <c r="I269" s="1">
        <v>45944</v>
      </c>
      <c r="J269" t="s">
        <v>1045</v>
      </c>
      <c r="K269" t="s">
        <v>1047</v>
      </c>
    </row>
    <row r="270" spans="1:11" ht="14.65" hidden="1">
      <c r="A270" t="s">
        <v>476</v>
      </c>
      <c r="B270" t="s">
        <v>1123</v>
      </c>
      <c r="C270" t="s">
        <v>1124</v>
      </c>
      <c r="D270" t="s">
        <v>21</v>
      </c>
      <c r="E270" t="s">
        <v>22</v>
      </c>
      <c r="F270">
        <v>70</v>
      </c>
      <c r="G270" s="1">
        <v>46099.645833333336</v>
      </c>
      <c r="H270" s="2">
        <v>46099.708333333336</v>
      </c>
      <c r="I270" s="1">
        <v>46087</v>
      </c>
      <c r="J270" t="s">
        <v>1045</v>
      </c>
    </row>
    <row r="271" spans="1:11" ht="14.65">
      <c r="A271" t="s">
        <v>501</v>
      </c>
      <c r="G271" s="1"/>
      <c r="H271" s="2"/>
      <c r="I271" s="1"/>
      <c r="J271" t="s">
        <v>1125</v>
      </c>
      <c r="K271" s="16" t="s">
        <v>1126</v>
      </c>
    </row>
    <row r="272" spans="1:11" ht="14.65" hidden="1">
      <c r="A272" t="s">
        <v>501</v>
      </c>
      <c r="B272" t="s">
        <v>502</v>
      </c>
      <c r="C272" t="s">
        <v>500</v>
      </c>
      <c r="D272" t="s">
        <v>16</v>
      </c>
      <c r="G272" s="1" t="s">
        <v>17</v>
      </c>
      <c r="I272" s="1">
        <v>45945</v>
      </c>
      <c r="J272" t="s">
        <v>1045</v>
      </c>
      <c r="K272" t="s">
        <v>1047</v>
      </c>
    </row>
    <row r="273" spans="1:11" ht="14.65" hidden="1">
      <c r="A273" t="s">
        <v>501</v>
      </c>
      <c r="B273" t="s">
        <v>504</v>
      </c>
      <c r="C273" t="s">
        <v>503</v>
      </c>
      <c r="D273" t="s">
        <v>16</v>
      </c>
      <c r="G273" s="1" t="s">
        <v>17</v>
      </c>
      <c r="I273" s="1">
        <v>45944</v>
      </c>
      <c r="J273" t="s">
        <v>1045</v>
      </c>
      <c r="K273" t="s">
        <v>1047</v>
      </c>
    </row>
    <row r="274" spans="1:11" ht="14.65">
      <c r="G274" s="1"/>
      <c r="H274" s="2"/>
      <c r="I274" s="1"/>
      <c r="J274" t="s">
        <v>22</v>
      </c>
      <c r="K274" s="20" t="s">
        <v>1127</v>
      </c>
    </row>
    <row r="275" spans="1:11" ht="14.65" hidden="1">
      <c r="A275" t="s">
        <v>501</v>
      </c>
      <c r="B275" t="s">
        <v>506</v>
      </c>
      <c r="C275" t="s">
        <v>505</v>
      </c>
      <c r="D275" t="s">
        <v>21</v>
      </c>
      <c r="E275" t="s">
        <v>22</v>
      </c>
      <c r="F275">
        <v>22</v>
      </c>
      <c r="G275" s="1">
        <v>45819.375</v>
      </c>
      <c r="H275" s="2">
        <v>45819.541666666664</v>
      </c>
      <c r="I275" s="1">
        <v>45944</v>
      </c>
      <c r="J275" t="s">
        <v>1045</v>
      </c>
      <c r="K275" t="s">
        <v>1047</v>
      </c>
    </row>
    <row r="276" spans="1:11" ht="14.65">
      <c r="G276" s="1"/>
      <c r="H276" s="2"/>
      <c r="I276" s="1"/>
      <c r="J276" t="s">
        <v>22</v>
      </c>
      <c r="K276" s="16" t="s">
        <v>1128</v>
      </c>
    </row>
    <row r="277" spans="1:11" ht="14.65" hidden="1">
      <c r="A277" t="s">
        <v>501</v>
      </c>
      <c r="B277" t="s">
        <v>1129</v>
      </c>
      <c r="C277" t="s">
        <v>1130</v>
      </c>
      <c r="D277" t="s">
        <v>21</v>
      </c>
      <c r="E277" t="s">
        <v>22</v>
      </c>
      <c r="F277">
        <v>0</v>
      </c>
      <c r="G277" s="1">
        <v>46104.583333333336</v>
      </c>
      <c r="H277" s="2">
        <v>46104.729166666664</v>
      </c>
      <c r="I277" s="1">
        <v>46086</v>
      </c>
      <c r="J277" t="s">
        <v>1045</v>
      </c>
    </row>
    <row r="278" spans="1:11" ht="14.65" hidden="1">
      <c r="A278" t="s">
        <v>501</v>
      </c>
      <c r="B278" t="s">
        <v>508</v>
      </c>
      <c r="C278" t="s">
        <v>507</v>
      </c>
      <c r="D278" t="s">
        <v>21</v>
      </c>
      <c r="E278" t="s">
        <v>22</v>
      </c>
      <c r="F278">
        <v>1</v>
      </c>
      <c r="G278" s="1">
        <v>46304.375</v>
      </c>
      <c r="H278" s="2">
        <v>45925.4375</v>
      </c>
      <c r="I278" s="1">
        <v>45944</v>
      </c>
      <c r="J278" t="s">
        <v>1045</v>
      </c>
      <c r="K278" t="s">
        <v>1047</v>
      </c>
    </row>
    <row r="279" spans="1:11" ht="14.65" hidden="1">
      <c r="A279" t="s">
        <v>501</v>
      </c>
      <c r="B279" t="s">
        <v>510</v>
      </c>
      <c r="C279" t="s">
        <v>509</v>
      </c>
      <c r="D279" t="s">
        <v>16</v>
      </c>
      <c r="G279" s="1" t="s">
        <v>17</v>
      </c>
      <c r="I279" s="1">
        <v>45939</v>
      </c>
      <c r="J279" t="s">
        <v>1045</v>
      </c>
      <c r="K279" t="s">
        <v>1047</v>
      </c>
    </row>
    <row r="280" spans="1:11" ht="14.65" hidden="1">
      <c r="A280" t="s">
        <v>501</v>
      </c>
      <c r="B280" t="s">
        <v>512</v>
      </c>
      <c r="C280" t="s">
        <v>511</v>
      </c>
      <c r="D280" t="s">
        <v>16</v>
      </c>
      <c r="G280" s="1" t="s">
        <v>17</v>
      </c>
      <c r="I280" s="1">
        <v>45938</v>
      </c>
      <c r="J280" t="s">
        <v>1045</v>
      </c>
      <c r="K280" t="s">
        <v>1047</v>
      </c>
    </row>
    <row r="281" spans="1:11" ht="14.65" hidden="1">
      <c r="A281" t="s">
        <v>501</v>
      </c>
      <c r="B281" t="s">
        <v>513</v>
      </c>
      <c r="D281" t="s">
        <v>76</v>
      </c>
      <c r="G281" s="1"/>
      <c r="J281" t="s">
        <v>1045</v>
      </c>
      <c r="K281" t="s">
        <v>1047</v>
      </c>
    </row>
    <row r="282" spans="1:11" ht="14.65" hidden="1">
      <c r="A282" t="s">
        <v>501</v>
      </c>
      <c r="B282" t="s">
        <v>515</v>
      </c>
      <c r="C282" t="s">
        <v>514</v>
      </c>
      <c r="D282" t="s">
        <v>16</v>
      </c>
      <c r="G282" s="1">
        <v>45828.458333333336</v>
      </c>
      <c r="H282" s="2">
        <v>45828.541666666664</v>
      </c>
      <c r="I282" s="1">
        <v>45846</v>
      </c>
      <c r="J282" t="s">
        <v>1045</v>
      </c>
      <c r="K282" t="s">
        <v>1046</v>
      </c>
    </row>
    <row r="283" spans="1:11" ht="14.65" hidden="1">
      <c r="A283" s="3" t="s">
        <v>501</v>
      </c>
      <c r="B283" s="3" t="s">
        <v>519</v>
      </c>
      <c r="C283" s="3" t="s">
        <v>518</v>
      </c>
      <c r="D283" s="3" t="s">
        <v>21</v>
      </c>
      <c r="E283" s="3" t="s">
        <v>25</v>
      </c>
      <c r="F283" s="3"/>
      <c r="G283" s="4">
        <v>46094.416666666664</v>
      </c>
      <c r="H283" s="6">
        <v>45975.479166666664</v>
      </c>
      <c r="I283" s="4">
        <v>45945</v>
      </c>
      <c r="J283" t="s">
        <v>1045</v>
      </c>
      <c r="K283" t="s">
        <v>1048</v>
      </c>
    </row>
    <row r="284" spans="1:11" ht="14.65" hidden="1">
      <c r="A284" t="s">
        <v>501</v>
      </c>
      <c r="B284" t="s">
        <v>521</v>
      </c>
      <c r="C284" t="s">
        <v>520</v>
      </c>
      <c r="D284" t="s">
        <v>21</v>
      </c>
      <c r="E284" t="s">
        <v>22</v>
      </c>
      <c r="F284">
        <v>0</v>
      </c>
      <c r="G284" s="1">
        <v>46286.583333333336</v>
      </c>
      <c r="H284" s="2">
        <v>46286.645833333336</v>
      </c>
      <c r="I284" s="1" t="s">
        <v>198</v>
      </c>
      <c r="J284" t="s">
        <v>1045</v>
      </c>
      <c r="K284" t="s">
        <v>1047</v>
      </c>
    </row>
    <row r="285" spans="1:11" ht="14.65" hidden="1">
      <c r="A285" t="s">
        <v>501</v>
      </c>
      <c r="B285" t="s">
        <v>517</v>
      </c>
      <c r="C285" t="s">
        <v>516</v>
      </c>
      <c r="D285" t="s">
        <v>21</v>
      </c>
      <c r="E285" t="s">
        <v>25</v>
      </c>
      <c r="G285" s="1">
        <v>45790.333333333336</v>
      </c>
      <c r="H285" s="2">
        <v>47325.333333333336</v>
      </c>
      <c r="I285" t="s">
        <v>198</v>
      </c>
      <c r="J285" t="s">
        <v>1045</v>
      </c>
      <c r="K285" t="s">
        <v>1047</v>
      </c>
    </row>
    <row r="286" spans="1:11" ht="14.65">
      <c r="A286" t="s">
        <v>501</v>
      </c>
      <c r="B286" t="s">
        <v>523</v>
      </c>
      <c r="C286" t="s">
        <v>522</v>
      </c>
      <c r="D286" t="s">
        <v>21</v>
      </c>
      <c r="E286" t="s">
        <v>22</v>
      </c>
      <c r="F286">
        <v>3</v>
      </c>
      <c r="G286" s="1">
        <v>46135.375</v>
      </c>
      <c r="H286" s="2">
        <v>45986.520833333336</v>
      </c>
      <c r="I286" s="1">
        <v>45944</v>
      </c>
      <c r="J286" t="s">
        <v>22</v>
      </c>
      <c r="K286" t="s">
        <v>1047</v>
      </c>
    </row>
    <row r="287" spans="1:11" ht="14.65" hidden="1">
      <c r="A287" s="3" t="s">
        <v>501</v>
      </c>
      <c r="B287" s="3" t="s">
        <v>525</v>
      </c>
      <c r="C287" s="3" t="s">
        <v>524</v>
      </c>
      <c r="D287" s="3" t="s">
        <v>21</v>
      </c>
      <c r="E287" s="3" t="s">
        <v>25</v>
      </c>
      <c r="F287" s="3"/>
      <c r="G287" s="4">
        <v>46336.375</v>
      </c>
      <c r="H287" s="6">
        <v>45971.520833333336</v>
      </c>
      <c r="I287" s="4">
        <v>45936</v>
      </c>
      <c r="J287" t="s">
        <v>1045</v>
      </c>
      <c r="K287" s="7" t="s">
        <v>1048</v>
      </c>
    </row>
    <row r="288" spans="1:11" ht="14.65" hidden="1">
      <c r="A288" t="s">
        <v>501</v>
      </c>
      <c r="B288" t="s">
        <v>1131</v>
      </c>
      <c r="C288" t="s">
        <v>1132</v>
      </c>
      <c r="D288" t="s">
        <v>21</v>
      </c>
      <c r="E288" t="s">
        <v>22</v>
      </c>
      <c r="F288">
        <v>1</v>
      </c>
      <c r="G288" s="1">
        <v>46126.375</v>
      </c>
      <c r="H288" s="2">
        <v>46126.520833333336</v>
      </c>
      <c r="I288" s="1">
        <v>46086</v>
      </c>
      <c r="J288" t="s">
        <v>1045</v>
      </c>
      <c r="K288" t="s">
        <v>1133</v>
      </c>
    </row>
    <row r="289" spans="1:11" ht="14.65">
      <c r="A289" t="s">
        <v>501</v>
      </c>
      <c r="B289" t="s">
        <v>527</v>
      </c>
      <c r="C289" t="s">
        <v>526</v>
      </c>
      <c r="D289" t="s">
        <v>21</v>
      </c>
      <c r="E289" t="s">
        <v>25</v>
      </c>
      <c r="G289" s="1">
        <v>46170.375</v>
      </c>
      <c r="H289" s="2">
        <v>47330.333333333336</v>
      </c>
      <c r="I289" t="s">
        <v>198</v>
      </c>
      <c r="J289" t="s">
        <v>22</v>
      </c>
      <c r="K289" t="s">
        <v>1134</v>
      </c>
    </row>
    <row r="290" spans="1:11" ht="14.65" hidden="1">
      <c r="A290" s="3" t="s">
        <v>501</v>
      </c>
      <c r="B290" s="3" t="s">
        <v>529</v>
      </c>
      <c r="C290" s="3" t="s">
        <v>528</v>
      </c>
      <c r="D290" s="3" t="s">
        <v>21</v>
      </c>
      <c r="E290" s="3" t="s">
        <v>22</v>
      </c>
      <c r="F290" s="3">
        <v>0</v>
      </c>
      <c r="G290" s="4">
        <v>46336.583333333336</v>
      </c>
      <c r="H290" s="6">
        <v>46336.729166666664</v>
      </c>
      <c r="I290" s="4" t="s">
        <v>198</v>
      </c>
      <c r="J290" t="s">
        <v>1045</v>
      </c>
      <c r="K290" t="s">
        <v>1048</v>
      </c>
    </row>
    <row r="291" spans="1:11" ht="14.65" hidden="1">
      <c r="A291" t="s">
        <v>501</v>
      </c>
      <c r="B291" t="s">
        <v>529</v>
      </c>
      <c r="C291" t="s">
        <v>1135</v>
      </c>
      <c r="D291" t="s">
        <v>21</v>
      </c>
      <c r="E291" t="s">
        <v>22</v>
      </c>
      <c r="F291">
        <v>0</v>
      </c>
      <c r="G291" s="1">
        <v>46126.583333333336</v>
      </c>
      <c r="H291" s="2">
        <v>46126.729166666664</v>
      </c>
      <c r="I291" s="1">
        <v>46086</v>
      </c>
      <c r="J291" t="s">
        <v>1045</v>
      </c>
      <c r="K291" t="s">
        <v>1133</v>
      </c>
    </row>
    <row r="292" spans="1:11" ht="14.65" hidden="1">
      <c r="A292" t="s">
        <v>501</v>
      </c>
      <c r="B292" t="s">
        <v>531</v>
      </c>
      <c r="C292" t="s">
        <v>530</v>
      </c>
      <c r="D292" t="s">
        <v>21</v>
      </c>
      <c r="E292" t="s">
        <v>22</v>
      </c>
      <c r="F292">
        <v>3</v>
      </c>
      <c r="G292" s="1">
        <v>46293.395833333336</v>
      </c>
      <c r="H292" s="2">
        <v>45915.479166666664</v>
      </c>
      <c r="I292" s="1">
        <v>45944</v>
      </c>
      <c r="J292" t="s">
        <v>1045</v>
      </c>
      <c r="K292" t="s">
        <v>1133</v>
      </c>
    </row>
    <row r="293" spans="1:11" ht="14.65" hidden="1">
      <c r="A293" t="s">
        <v>533</v>
      </c>
      <c r="B293" t="s">
        <v>534</v>
      </c>
      <c r="C293" t="s">
        <v>532</v>
      </c>
      <c r="D293" t="s">
        <v>21</v>
      </c>
      <c r="E293" t="s">
        <v>22</v>
      </c>
      <c r="F293">
        <v>85</v>
      </c>
      <c r="G293" s="1">
        <v>46133.583333333336</v>
      </c>
      <c r="H293" s="2">
        <v>46006.625</v>
      </c>
      <c r="I293" s="1">
        <v>45943</v>
      </c>
      <c r="J293" t="s">
        <v>1045</v>
      </c>
      <c r="K293" t="s">
        <v>1047</v>
      </c>
    </row>
    <row r="294" spans="1:11" ht="14.65" hidden="1">
      <c r="A294" t="s">
        <v>533</v>
      </c>
      <c r="B294" t="s">
        <v>536</v>
      </c>
      <c r="C294" t="s">
        <v>535</v>
      </c>
      <c r="D294" t="s">
        <v>21</v>
      </c>
      <c r="E294" t="s">
        <v>22</v>
      </c>
      <c r="F294">
        <v>67</v>
      </c>
      <c r="G294" s="1">
        <v>46142.583333333336</v>
      </c>
      <c r="H294" s="2">
        <v>46009.645833333336</v>
      </c>
      <c r="I294" s="1">
        <v>45944</v>
      </c>
      <c r="J294" t="s">
        <v>1045</v>
      </c>
      <c r="K294" t="s">
        <v>1047</v>
      </c>
    </row>
    <row r="295" spans="1:11" ht="14.65" hidden="1">
      <c r="A295" t="s">
        <v>533</v>
      </c>
      <c r="B295" t="s">
        <v>538</v>
      </c>
      <c r="C295" t="s">
        <v>537</v>
      </c>
      <c r="D295" t="s">
        <v>21</v>
      </c>
      <c r="E295" t="s">
        <v>22</v>
      </c>
      <c r="F295">
        <v>267</v>
      </c>
      <c r="G295" s="1">
        <v>46133.583333333336</v>
      </c>
      <c r="H295" s="2">
        <v>46000.479166666664</v>
      </c>
      <c r="I295" s="1">
        <v>45945</v>
      </c>
      <c r="J295" t="s">
        <v>1045</v>
      </c>
      <c r="K295" t="s">
        <v>1047</v>
      </c>
    </row>
    <row r="296" spans="1:11" ht="14.65" hidden="1">
      <c r="A296" t="s">
        <v>533</v>
      </c>
      <c r="B296" t="s">
        <v>540</v>
      </c>
      <c r="C296" t="s">
        <v>539</v>
      </c>
      <c r="D296" t="s">
        <v>21</v>
      </c>
      <c r="E296" t="s">
        <v>22</v>
      </c>
      <c r="F296">
        <v>51</v>
      </c>
      <c r="G296" s="1">
        <v>46141.583333333336</v>
      </c>
      <c r="H296" s="2">
        <v>46002.5</v>
      </c>
      <c r="I296" s="1">
        <v>45944</v>
      </c>
      <c r="J296" t="s">
        <v>1045</v>
      </c>
      <c r="K296" t="s">
        <v>1047</v>
      </c>
    </row>
    <row r="297" spans="1:11" ht="14.65">
      <c r="A297" t="s">
        <v>1136</v>
      </c>
      <c r="G297" s="1"/>
      <c r="H297" s="2"/>
      <c r="I297" s="1"/>
      <c r="J297" t="s">
        <v>22</v>
      </c>
      <c r="K297" t="s">
        <v>1137</v>
      </c>
    </row>
    <row r="298" spans="1:11" ht="14.65" hidden="1">
      <c r="A298" t="s">
        <v>595</v>
      </c>
      <c r="B298" t="s">
        <v>596</v>
      </c>
      <c r="C298" t="s">
        <v>594</v>
      </c>
      <c r="D298" t="s">
        <v>21</v>
      </c>
      <c r="E298" t="s">
        <v>22</v>
      </c>
      <c r="F298">
        <v>0</v>
      </c>
      <c r="G298" s="1">
        <v>45980.395833333336</v>
      </c>
      <c r="H298" s="2">
        <v>45980.520833333336</v>
      </c>
      <c r="I298" s="1">
        <v>45937</v>
      </c>
      <c r="J298" t="s">
        <v>1045</v>
      </c>
      <c r="K298" t="s">
        <v>1047</v>
      </c>
    </row>
    <row r="299" spans="1:11" ht="14.65" hidden="1">
      <c r="A299" t="s">
        <v>595</v>
      </c>
      <c r="B299" t="s">
        <v>598</v>
      </c>
      <c r="C299" t="s">
        <v>597</v>
      </c>
      <c r="D299" t="s">
        <v>21</v>
      </c>
      <c r="E299" t="s">
        <v>22</v>
      </c>
      <c r="F299">
        <v>10</v>
      </c>
      <c r="G299" s="1">
        <v>46001.4375</v>
      </c>
      <c r="H299" s="2">
        <v>46001.520833333336</v>
      </c>
      <c r="I299" s="1">
        <v>45944</v>
      </c>
      <c r="J299" t="s">
        <v>1045</v>
      </c>
      <c r="K299" t="s">
        <v>1047</v>
      </c>
    </row>
    <row r="300" spans="1:11" ht="14.65" hidden="1">
      <c r="A300" t="s">
        <v>595</v>
      </c>
      <c r="B300" t="s">
        <v>600</v>
      </c>
      <c r="C300" t="s">
        <v>599</v>
      </c>
      <c r="D300" t="s">
        <v>21</v>
      </c>
      <c r="E300" t="s">
        <v>22</v>
      </c>
      <c r="F300">
        <v>17</v>
      </c>
      <c r="G300" s="1">
        <v>46037.4375</v>
      </c>
      <c r="H300" s="2">
        <v>46037.520833333336</v>
      </c>
      <c r="I300" s="1">
        <v>45943</v>
      </c>
      <c r="J300" t="s">
        <v>1045</v>
      </c>
      <c r="K300" t="s">
        <v>1047</v>
      </c>
    </row>
    <row r="301" spans="1:11" ht="14.65" hidden="1">
      <c r="A301" t="s">
        <v>595</v>
      </c>
      <c r="B301" t="s">
        <v>602</v>
      </c>
      <c r="C301" t="s">
        <v>601</v>
      </c>
      <c r="D301" t="s">
        <v>21</v>
      </c>
      <c r="E301" t="s">
        <v>25</v>
      </c>
      <c r="G301" s="1">
        <v>46135.604166666664</v>
      </c>
      <c r="H301" s="2">
        <v>45980.479166666664</v>
      </c>
      <c r="I301" s="1">
        <v>45842</v>
      </c>
      <c r="J301" t="s">
        <v>1045</v>
      </c>
      <c r="K301" t="s">
        <v>1047</v>
      </c>
    </row>
    <row r="302" spans="1:11" ht="14.65" hidden="1">
      <c r="A302" t="s">
        <v>595</v>
      </c>
      <c r="B302" t="s">
        <v>604</v>
      </c>
      <c r="C302" t="s">
        <v>603</v>
      </c>
      <c r="D302" t="s">
        <v>21</v>
      </c>
      <c r="E302" t="s">
        <v>22</v>
      </c>
      <c r="F302">
        <v>26</v>
      </c>
      <c r="G302" s="1">
        <v>46001.395833333336</v>
      </c>
      <c r="H302" s="2">
        <v>46001.729166666664</v>
      </c>
      <c r="I302" s="1">
        <v>45937</v>
      </c>
      <c r="J302" t="s">
        <v>1045</v>
      </c>
      <c r="K302" t="s">
        <v>1047</v>
      </c>
    </row>
    <row r="303" spans="1:11" ht="14.65" hidden="1">
      <c r="A303" s="3" t="s">
        <v>595</v>
      </c>
      <c r="B303" s="3" t="s">
        <v>606</v>
      </c>
      <c r="C303" s="3" t="s">
        <v>605</v>
      </c>
      <c r="D303" t="s">
        <v>21</v>
      </c>
      <c r="E303" t="s">
        <v>22</v>
      </c>
      <c r="F303" s="3">
        <v>139</v>
      </c>
      <c r="G303" s="4">
        <v>46358.375</v>
      </c>
      <c r="H303" s="2">
        <v>46359.520833333336</v>
      </c>
      <c r="I303" s="1">
        <v>46054</v>
      </c>
      <c r="J303" t="s">
        <v>1045</v>
      </c>
      <c r="K303" t="s">
        <v>1138</v>
      </c>
    </row>
    <row r="304" spans="1:11" s="3" customFormat="1" ht="14.65" hidden="1">
      <c r="A304" s="3" t="s">
        <v>595</v>
      </c>
      <c r="B304" s="3" t="s">
        <v>606</v>
      </c>
      <c r="C304" s="3" t="s">
        <v>607</v>
      </c>
      <c r="D304" t="s">
        <v>21</v>
      </c>
      <c r="E304" t="s">
        <v>22</v>
      </c>
      <c r="F304" s="3">
        <v>28</v>
      </c>
      <c r="G304" s="4">
        <v>46345.395833333336</v>
      </c>
      <c r="H304" s="6">
        <v>45995.708333333336</v>
      </c>
      <c r="I304" s="1">
        <v>45945</v>
      </c>
      <c r="J304" t="s">
        <v>1045</v>
      </c>
      <c r="K304" t="s">
        <v>1138</v>
      </c>
    </row>
    <row r="305" spans="1:11" ht="14.65" hidden="1">
      <c r="A305" t="s">
        <v>595</v>
      </c>
      <c r="B305" t="s">
        <v>606</v>
      </c>
      <c r="C305" t="s">
        <v>1139</v>
      </c>
      <c r="G305" s="1"/>
      <c r="H305" s="2"/>
      <c r="I305" s="1"/>
      <c r="J305" t="s">
        <v>1045</v>
      </c>
      <c r="K305" t="s">
        <v>1140</v>
      </c>
    </row>
    <row r="306" spans="1:11" ht="14.65">
      <c r="A306" t="s">
        <v>1141</v>
      </c>
      <c r="G306" s="1"/>
      <c r="H306" s="2"/>
      <c r="I306" s="1"/>
      <c r="J306" t="s">
        <v>22</v>
      </c>
      <c r="K306" t="s">
        <v>1142</v>
      </c>
    </row>
    <row r="307" spans="1:11" ht="14.65" hidden="1">
      <c r="A307" t="s">
        <v>595</v>
      </c>
      <c r="B307" t="s">
        <v>609</v>
      </c>
      <c r="C307" t="s">
        <v>608</v>
      </c>
      <c r="D307" t="s">
        <v>21</v>
      </c>
      <c r="E307" t="s">
        <v>25</v>
      </c>
      <c r="G307" s="1">
        <v>45708.333333333336</v>
      </c>
      <c r="H307" s="2">
        <v>47330.333333333336</v>
      </c>
      <c r="I307" t="s">
        <v>198</v>
      </c>
      <c r="J307" t="s">
        <v>1045</v>
      </c>
      <c r="K307" t="s">
        <v>1047</v>
      </c>
    </row>
    <row r="308" spans="1:11" ht="14.65" hidden="1">
      <c r="A308" t="s">
        <v>595</v>
      </c>
      <c r="B308" t="s">
        <v>611</v>
      </c>
      <c r="C308" t="s">
        <v>612</v>
      </c>
      <c r="D308" t="s">
        <v>21</v>
      </c>
      <c r="E308" t="s">
        <v>22</v>
      </c>
      <c r="F308">
        <v>16</v>
      </c>
      <c r="G308" s="1">
        <v>45957.395833333336</v>
      </c>
      <c r="H308" s="2">
        <v>45957.520833333336</v>
      </c>
      <c r="I308" s="1">
        <v>45943</v>
      </c>
      <c r="J308" t="s">
        <v>1045</v>
      </c>
      <c r="K308" t="s">
        <v>1143</v>
      </c>
    </row>
    <row r="309" spans="1:11" ht="14.65" hidden="1">
      <c r="A309" t="s">
        <v>595</v>
      </c>
      <c r="B309" t="s">
        <v>611</v>
      </c>
      <c r="C309" t="s">
        <v>610</v>
      </c>
      <c r="D309" t="s">
        <v>21</v>
      </c>
      <c r="E309" t="s">
        <v>22</v>
      </c>
      <c r="F309">
        <v>22</v>
      </c>
      <c r="G309" s="1">
        <v>45776.604166666664</v>
      </c>
      <c r="H309" s="2">
        <v>45776.6875</v>
      </c>
      <c r="I309" s="1">
        <v>45936</v>
      </c>
      <c r="J309" t="s">
        <v>1045</v>
      </c>
      <c r="K309" t="s">
        <v>1143</v>
      </c>
    </row>
    <row r="310" spans="1:11" ht="14.65" hidden="1">
      <c r="A310" t="s">
        <v>595</v>
      </c>
      <c r="B310" t="s">
        <v>614</v>
      </c>
      <c r="C310" t="s">
        <v>615</v>
      </c>
      <c r="D310" t="s">
        <v>21</v>
      </c>
      <c r="E310" t="s">
        <v>22</v>
      </c>
      <c r="F310">
        <v>8</v>
      </c>
      <c r="G310" s="1">
        <v>45959.604166666664</v>
      </c>
      <c r="H310" s="2">
        <v>45959.708333333336</v>
      </c>
      <c r="I310" s="1">
        <v>45944</v>
      </c>
      <c r="J310" t="s">
        <v>1045</v>
      </c>
      <c r="K310" t="s">
        <v>1144</v>
      </c>
    </row>
    <row r="311" spans="1:11" ht="14.65" hidden="1">
      <c r="A311" s="3" t="s">
        <v>595</v>
      </c>
      <c r="B311" s="3" t="s">
        <v>614</v>
      </c>
      <c r="C311" s="3" t="s">
        <v>613</v>
      </c>
      <c r="D311" s="3" t="s">
        <v>21</v>
      </c>
      <c r="E311" s="3" t="s">
        <v>22</v>
      </c>
      <c r="F311" s="3">
        <v>13</v>
      </c>
      <c r="G311" s="4">
        <v>45456.416666666664</v>
      </c>
      <c r="H311" s="6">
        <v>45456.5</v>
      </c>
      <c r="I311" s="1">
        <v>45757</v>
      </c>
      <c r="J311" t="s">
        <v>1045</v>
      </c>
      <c r="K311" t="s">
        <v>1048</v>
      </c>
    </row>
    <row r="312" spans="1:11" ht="14.65" hidden="1">
      <c r="A312" t="s">
        <v>595</v>
      </c>
      <c r="B312" t="s">
        <v>617</v>
      </c>
      <c r="C312" t="s">
        <v>616</v>
      </c>
      <c r="D312" t="s">
        <v>21</v>
      </c>
      <c r="E312" t="s">
        <v>22</v>
      </c>
      <c r="F312">
        <v>4</v>
      </c>
      <c r="G312" s="1">
        <v>46001.395833333336</v>
      </c>
      <c r="H312" s="2">
        <v>46001.5</v>
      </c>
      <c r="I312" s="1">
        <v>45932</v>
      </c>
      <c r="J312" t="s">
        <v>1045</v>
      </c>
      <c r="K312" t="s">
        <v>1047</v>
      </c>
    </row>
    <row r="313" spans="1:11" ht="14.65" hidden="1">
      <c r="A313" t="s">
        <v>595</v>
      </c>
      <c r="B313" t="s">
        <v>619</v>
      </c>
      <c r="C313" t="s">
        <v>618</v>
      </c>
      <c r="D313" t="s">
        <v>21</v>
      </c>
      <c r="E313" t="s">
        <v>22</v>
      </c>
      <c r="F313">
        <v>2</v>
      </c>
      <c r="G313" s="1">
        <v>46001.604166666664</v>
      </c>
      <c r="H313" s="2">
        <v>46001.708333333336</v>
      </c>
      <c r="I313" s="1">
        <v>45932</v>
      </c>
      <c r="J313" t="s">
        <v>1045</v>
      </c>
      <c r="K313" t="s">
        <v>1047</v>
      </c>
    </row>
    <row r="314" spans="1:11" ht="14.65" hidden="1">
      <c r="A314" t="s">
        <v>595</v>
      </c>
      <c r="B314" t="s">
        <v>621</v>
      </c>
      <c r="C314" t="s">
        <v>620</v>
      </c>
      <c r="D314" t="s">
        <v>21</v>
      </c>
      <c r="E314" t="s">
        <v>22</v>
      </c>
      <c r="F314">
        <v>0</v>
      </c>
      <c r="G314" s="1">
        <v>45973.416666666664</v>
      </c>
      <c r="H314" s="2">
        <v>45973.520833333336</v>
      </c>
      <c r="I314" s="1">
        <v>45945</v>
      </c>
      <c r="J314" t="s">
        <v>1045</v>
      </c>
      <c r="K314" t="s">
        <v>1047</v>
      </c>
    </row>
    <row r="315" spans="1:11" ht="14.65">
      <c r="A315" t="s">
        <v>542</v>
      </c>
      <c r="B315" t="s">
        <v>543</v>
      </c>
      <c r="C315" t="s">
        <v>541</v>
      </c>
      <c r="D315" t="s">
        <v>21</v>
      </c>
      <c r="E315" t="s">
        <v>22</v>
      </c>
      <c r="F315">
        <v>8</v>
      </c>
      <c r="G315" s="1">
        <v>46084.375</v>
      </c>
      <c r="H315" s="2">
        <v>45930.541666666664</v>
      </c>
      <c r="I315" s="1">
        <v>45944</v>
      </c>
      <c r="J315" t="s">
        <v>22</v>
      </c>
      <c r="K315" t="s">
        <v>1047</v>
      </c>
    </row>
    <row r="316" spans="1:11" ht="14.65">
      <c r="A316" t="s">
        <v>545</v>
      </c>
      <c r="B316" t="s">
        <v>546</v>
      </c>
      <c r="C316" t="s">
        <v>544</v>
      </c>
      <c r="D316" t="s">
        <v>21</v>
      </c>
      <c r="E316" t="s">
        <v>25</v>
      </c>
      <c r="G316" s="1">
        <v>45699.333333333336</v>
      </c>
      <c r="H316" s="2">
        <v>47326.333333333336</v>
      </c>
      <c r="I316" t="s">
        <v>198</v>
      </c>
      <c r="J316" t="s">
        <v>22</v>
      </c>
      <c r="K316" t="s">
        <v>1047</v>
      </c>
    </row>
    <row r="317" spans="1:11" ht="14.65" hidden="1">
      <c r="A317" s="3" t="s">
        <v>545</v>
      </c>
      <c r="B317" s="3" t="s">
        <v>550</v>
      </c>
      <c r="C317" s="3" t="s">
        <v>549</v>
      </c>
      <c r="D317" s="3" t="s">
        <v>21</v>
      </c>
      <c r="E317" s="3" t="s">
        <v>25</v>
      </c>
      <c r="F317" s="3"/>
      <c r="G317" s="4">
        <v>45924.375</v>
      </c>
      <c r="H317" s="6">
        <v>47326.333333333336</v>
      </c>
      <c r="I317" s="3" t="s">
        <v>198</v>
      </c>
      <c r="J317" t="s">
        <v>1045</v>
      </c>
      <c r="K317" t="s">
        <v>1048</v>
      </c>
    </row>
    <row r="318" spans="1:11" ht="14.65">
      <c r="A318" t="s">
        <v>545</v>
      </c>
      <c r="B318" t="s">
        <v>1145</v>
      </c>
      <c r="C318" t="s">
        <v>1146</v>
      </c>
      <c r="D318" t="s">
        <v>21</v>
      </c>
      <c r="E318" t="s">
        <v>22</v>
      </c>
      <c r="F318">
        <v>19</v>
      </c>
      <c r="G318" s="1">
        <v>46288.375</v>
      </c>
      <c r="H318" s="2">
        <v>46288.708333333336</v>
      </c>
      <c r="I318" s="1">
        <v>46089</v>
      </c>
      <c r="J318" t="s">
        <v>22</v>
      </c>
    </row>
    <row r="319" spans="1:11" ht="14.65">
      <c r="A319" t="s">
        <v>545</v>
      </c>
      <c r="B319" t="s">
        <v>548</v>
      </c>
      <c r="C319" t="s">
        <v>547</v>
      </c>
      <c r="D319" t="s">
        <v>21</v>
      </c>
      <c r="E319" t="s">
        <v>22</v>
      </c>
      <c r="F319">
        <v>23</v>
      </c>
      <c r="G319" s="1">
        <v>46084.375</v>
      </c>
      <c r="H319" s="2">
        <v>45922.708333333336</v>
      </c>
      <c r="I319" s="1">
        <v>45922</v>
      </c>
      <c r="J319" t="s">
        <v>22</v>
      </c>
      <c r="K319" t="s">
        <v>1047</v>
      </c>
    </row>
    <row r="320" spans="1:11" ht="14.65">
      <c r="A320" t="s">
        <v>545</v>
      </c>
      <c r="B320" t="s">
        <v>1147</v>
      </c>
      <c r="C320" t="s">
        <v>1148</v>
      </c>
      <c r="D320" t="s">
        <v>21</v>
      </c>
      <c r="E320" t="s">
        <v>22</v>
      </c>
      <c r="F320">
        <v>29</v>
      </c>
      <c r="G320" s="1">
        <v>46321.375</v>
      </c>
      <c r="H320" s="2">
        <v>46322.6875</v>
      </c>
      <c r="I320" s="1">
        <v>46089</v>
      </c>
      <c r="J320" t="s">
        <v>22</v>
      </c>
      <c r="K320" t="s">
        <v>1047</v>
      </c>
    </row>
    <row r="321" spans="1:11" s="3" customFormat="1" ht="14.65" hidden="1">
      <c r="A321" s="3" t="s">
        <v>545</v>
      </c>
      <c r="B321" s="3" t="s">
        <v>552</v>
      </c>
      <c r="C321" s="3" t="s">
        <v>551</v>
      </c>
      <c r="D321" s="3" t="s">
        <v>21</v>
      </c>
      <c r="E321" s="3" t="s">
        <v>25</v>
      </c>
      <c r="G321" s="4">
        <v>46055.333333333336</v>
      </c>
      <c r="H321" s="6">
        <v>47327.333333333336</v>
      </c>
      <c r="I321" t="s">
        <v>198</v>
      </c>
      <c r="J321" t="s">
        <v>1045</v>
      </c>
      <c r="K321" t="s">
        <v>1048</v>
      </c>
    </row>
    <row r="322" spans="1:11" ht="14.65">
      <c r="A322" t="s">
        <v>545</v>
      </c>
      <c r="B322" t="s">
        <v>554</v>
      </c>
      <c r="C322" t="s">
        <v>553</v>
      </c>
      <c r="D322" t="s">
        <v>21</v>
      </c>
      <c r="E322" t="s">
        <v>22</v>
      </c>
      <c r="F322">
        <v>2</v>
      </c>
      <c r="G322" s="1">
        <v>46154.375</v>
      </c>
      <c r="H322" s="2">
        <v>46154.729166666664</v>
      </c>
      <c r="I322" s="1">
        <v>46056</v>
      </c>
      <c r="J322" t="s">
        <v>22</v>
      </c>
      <c r="K322" t="s">
        <v>1047</v>
      </c>
    </row>
    <row r="323" spans="1:11" ht="14.65" hidden="1">
      <c r="A323" t="s">
        <v>545</v>
      </c>
      <c r="B323" t="s">
        <v>556</v>
      </c>
      <c r="C323" t="s">
        <v>555</v>
      </c>
      <c r="D323" t="s">
        <v>21</v>
      </c>
      <c r="E323" t="s">
        <v>25</v>
      </c>
      <c r="G323" s="1"/>
      <c r="H323" s="2"/>
      <c r="I323" s="1">
        <v>46051</v>
      </c>
      <c r="J323" t="s">
        <v>1045</v>
      </c>
      <c r="K323" t="s">
        <v>1047</v>
      </c>
    </row>
    <row r="324" spans="1:11" ht="14.65">
      <c r="A324" t="s">
        <v>545</v>
      </c>
      <c r="B324" t="s">
        <v>558</v>
      </c>
      <c r="C324" t="s">
        <v>557</v>
      </c>
      <c r="D324" t="s">
        <v>21</v>
      </c>
      <c r="E324" t="s">
        <v>22</v>
      </c>
      <c r="F324">
        <v>55</v>
      </c>
      <c r="G324" s="1">
        <v>46126.5625</v>
      </c>
      <c r="H324" s="2">
        <v>46126.708333333336</v>
      </c>
      <c r="I324" s="1">
        <v>46056</v>
      </c>
      <c r="J324" t="s">
        <v>22</v>
      </c>
      <c r="K324" t="s">
        <v>1047</v>
      </c>
    </row>
    <row r="325" spans="1:11" ht="14.65" hidden="1">
      <c r="A325" t="s">
        <v>560</v>
      </c>
      <c r="B325" t="s">
        <v>1149</v>
      </c>
      <c r="C325" t="s">
        <v>1150</v>
      </c>
      <c r="D325" t="s">
        <v>21</v>
      </c>
      <c r="E325" t="s">
        <v>22</v>
      </c>
      <c r="F325">
        <v>0</v>
      </c>
      <c r="G325" s="1">
        <v>46100.416666666664</v>
      </c>
      <c r="H325" s="2">
        <v>46100.5</v>
      </c>
      <c r="I325" s="1">
        <v>46080</v>
      </c>
      <c r="J325" t="s">
        <v>1045</v>
      </c>
      <c r="K325" t="s">
        <v>1151</v>
      </c>
    </row>
    <row r="326" spans="1:11" ht="14.65">
      <c r="A326" t="s">
        <v>560</v>
      </c>
      <c r="B326" t="s">
        <v>561</v>
      </c>
      <c r="C326" t="s">
        <v>559</v>
      </c>
      <c r="D326" t="s">
        <v>21</v>
      </c>
      <c r="E326" t="s">
        <v>25</v>
      </c>
      <c r="G326" s="1">
        <v>45918.375</v>
      </c>
      <c r="H326" s="2">
        <v>45918.708333333336</v>
      </c>
      <c r="I326" s="1">
        <v>45922</v>
      </c>
      <c r="J326" t="s">
        <v>22</v>
      </c>
      <c r="K326" t="s">
        <v>1047</v>
      </c>
    </row>
    <row r="327" spans="1:11" ht="14.65">
      <c r="A327" t="s">
        <v>560</v>
      </c>
      <c r="B327" t="s">
        <v>563</v>
      </c>
      <c r="C327" t="s">
        <v>562</v>
      </c>
      <c r="D327" t="s">
        <v>21</v>
      </c>
      <c r="E327" t="s">
        <v>22</v>
      </c>
      <c r="F327">
        <v>0</v>
      </c>
      <c r="G327" s="1">
        <v>46286.375</v>
      </c>
      <c r="H327" s="2">
        <v>46286.708333333336</v>
      </c>
      <c r="I327" s="1">
        <v>46055</v>
      </c>
      <c r="J327" t="s">
        <v>22</v>
      </c>
      <c r="K327" t="s">
        <v>1047</v>
      </c>
    </row>
    <row r="328" spans="1:11" ht="14.65" hidden="1">
      <c r="A328" s="3" t="s">
        <v>560</v>
      </c>
      <c r="B328" s="3" t="s">
        <v>571</v>
      </c>
      <c r="C328" s="3" t="s">
        <v>570</v>
      </c>
      <c r="D328" s="3" t="s">
        <v>21</v>
      </c>
      <c r="E328" s="3" t="s">
        <v>25</v>
      </c>
      <c r="F328" s="3"/>
      <c r="G328" s="4">
        <v>45700.333333333336</v>
      </c>
      <c r="H328" s="6">
        <v>47690.333333333336</v>
      </c>
      <c r="I328" t="s">
        <v>198</v>
      </c>
      <c r="J328" t="s">
        <v>1045</v>
      </c>
      <c r="K328" t="s">
        <v>1048</v>
      </c>
    </row>
    <row r="329" spans="1:11" ht="14.65">
      <c r="A329" t="s">
        <v>560</v>
      </c>
      <c r="B329" t="s">
        <v>571</v>
      </c>
      <c r="C329" t="s">
        <v>1152</v>
      </c>
      <c r="D329" t="s">
        <v>21</v>
      </c>
      <c r="E329" t="s">
        <v>22</v>
      </c>
      <c r="F329">
        <v>19</v>
      </c>
      <c r="G329" s="1">
        <v>46267.375</v>
      </c>
      <c r="H329" s="2">
        <v>46267.708333333336</v>
      </c>
      <c r="I329" s="1">
        <v>46086</v>
      </c>
      <c r="J329" t="s">
        <v>22</v>
      </c>
      <c r="K329" t="s">
        <v>1047</v>
      </c>
    </row>
    <row r="330" spans="1:11" ht="14.65" hidden="1">
      <c r="A330" s="3" t="s">
        <v>560</v>
      </c>
      <c r="B330" s="3" t="s">
        <v>565</v>
      </c>
      <c r="C330" s="3" t="s">
        <v>564</v>
      </c>
      <c r="D330" s="3" t="s">
        <v>21</v>
      </c>
      <c r="E330" s="3" t="s">
        <v>22</v>
      </c>
      <c r="F330" s="3">
        <v>4</v>
      </c>
      <c r="G330" s="4">
        <v>46051.375</v>
      </c>
      <c r="H330" s="6">
        <v>46000.708333333336</v>
      </c>
      <c r="I330" s="4">
        <v>45945</v>
      </c>
      <c r="J330" t="s">
        <v>1045</v>
      </c>
      <c r="K330" t="s">
        <v>1048</v>
      </c>
    </row>
    <row r="331" spans="1:11" ht="14.65">
      <c r="A331" t="s">
        <v>560</v>
      </c>
      <c r="B331" t="s">
        <v>565</v>
      </c>
      <c r="C331" t="s">
        <v>1153</v>
      </c>
      <c r="D331" t="s">
        <v>21</v>
      </c>
      <c r="E331" t="s">
        <v>22</v>
      </c>
      <c r="F331">
        <v>2</v>
      </c>
      <c r="G331" s="1">
        <v>46268.375</v>
      </c>
      <c r="H331" s="2">
        <v>46269.520833333336</v>
      </c>
      <c r="I331" s="1">
        <v>46090</v>
      </c>
      <c r="J331" t="s">
        <v>22</v>
      </c>
      <c r="K331" t="s">
        <v>1047</v>
      </c>
    </row>
    <row r="332" spans="1:11" ht="14.65" hidden="1">
      <c r="A332" s="3" t="s">
        <v>560</v>
      </c>
      <c r="B332" s="3" t="s">
        <v>567</v>
      </c>
      <c r="C332" s="3" t="s">
        <v>566</v>
      </c>
      <c r="D332" s="3" t="s">
        <v>21</v>
      </c>
      <c r="E332" s="3" t="s">
        <v>22</v>
      </c>
      <c r="F332" s="3">
        <v>21</v>
      </c>
      <c r="G332" s="4">
        <v>46037.375</v>
      </c>
      <c r="H332" s="6">
        <v>45978.708333333336</v>
      </c>
      <c r="I332" s="4">
        <v>45944</v>
      </c>
      <c r="J332" t="s">
        <v>1045</v>
      </c>
      <c r="K332" t="s">
        <v>1048</v>
      </c>
    </row>
    <row r="333" spans="1:11" ht="14.65">
      <c r="A333" t="s">
        <v>560</v>
      </c>
      <c r="B333" t="s">
        <v>567</v>
      </c>
      <c r="C333" t="s">
        <v>1154</v>
      </c>
      <c r="D333" t="s">
        <v>21</v>
      </c>
      <c r="E333" t="s">
        <v>22</v>
      </c>
      <c r="F333">
        <v>4</v>
      </c>
      <c r="G333" s="1">
        <v>46169.375</v>
      </c>
      <c r="H333" s="2">
        <v>46170.708333333336</v>
      </c>
      <c r="I333" s="1">
        <v>46072</v>
      </c>
      <c r="J333" t="s">
        <v>22</v>
      </c>
      <c r="K333" t="s">
        <v>1047</v>
      </c>
    </row>
    <row r="334" spans="1:11" ht="14.65">
      <c r="A334" t="s">
        <v>560</v>
      </c>
      <c r="B334" t="s">
        <v>569</v>
      </c>
      <c r="C334" t="s">
        <v>568</v>
      </c>
      <c r="D334" t="s">
        <v>21</v>
      </c>
      <c r="E334" t="s">
        <v>22</v>
      </c>
      <c r="F334">
        <v>8</v>
      </c>
      <c r="G334" s="1">
        <v>45960.375</v>
      </c>
      <c r="H334" s="2">
        <v>45960.708333333336</v>
      </c>
      <c r="I334" s="1">
        <v>45945</v>
      </c>
      <c r="J334" t="s">
        <v>22</v>
      </c>
      <c r="K334" t="s">
        <v>1047</v>
      </c>
    </row>
    <row r="335" spans="1:11" ht="14.65" hidden="1">
      <c r="A335" t="s">
        <v>560</v>
      </c>
      <c r="B335" t="s">
        <v>573</v>
      </c>
      <c r="C335" t="s">
        <v>572</v>
      </c>
      <c r="D335" t="s">
        <v>21</v>
      </c>
      <c r="E335" t="s">
        <v>22</v>
      </c>
      <c r="F335">
        <v>16</v>
      </c>
      <c r="G335" s="1">
        <v>45916.385416666664</v>
      </c>
      <c r="H335" s="2">
        <v>45916.5</v>
      </c>
      <c r="I335" s="1">
        <v>45943</v>
      </c>
      <c r="J335" t="s">
        <v>1045</v>
      </c>
      <c r="K335" t="s">
        <v>1155</v>
      </c>
    </row>
    <row r="336" spans="1:11" ht="14.65" hidden="1">
      <c r="A336" t="s">
        <v>560</v>
      </c>
      <c r="B336" t="s">
        <v>575</v>
      </c>
      <c r="C336" t="s">
        <v>574</v>
      </c>
      <c r="D336" t="s">
        <v>21</v>
      </c>
      <c r="E336" t="s">
        <v>25</v>
      </c>
      <c r="G336" s="1">
        <v>46079.604166666664</v>
      </c>
      <c r="H336" s="2">
        <v>46079.645833333336</v>
      </c>
      <c r="I336" s="1">
        <v>45917</v>
      </c>
      <c r="J336" t="s">
        <v>1045</v>
      </c>
      <c r="K336" t="s">
        <v>1155</v>
      </c>
    </row>
    <row r="337" spans="1:11" ht="14.65">
      <c r="A337" t="s">
        <v>560</v>
      </c>
      <c r="B337" t="s">
        <v>577</v>
      </c>
      <c r="C337" t="s">
        <v>576</v>
      </c>
      <c r="D337" t="s">
        <v>21</v>
      </c>
      <c r="E337" t="s">
        <v>22</v>
      </c>
      <c r="F337">
        <v>145</v>
      </c>
      <c r="G337" s="1">
        <v>46122.375</v>
      </c>
      <c r="H337" s="2">
        <v>45953.520833333336</v>
      </c>
      <c r="I337" s="1">
        <v>45943</v>
      </c>
      <c r="J337" t="s">
        <v>22</v>
      </c>
      <c r="K337" t="s">
        <v>1047</v>
      </c>
    </row>
    <row r="338" spans="1:11" ht="14.65" hidden="1">
      <c r="A338" s="3" t="s">
        <v>560</v>
      </c>
      <c r="B338" s="3" t="s">
        <v>579</v>
      </c>
      <c r="C338" s="3" t="s">
        <v>578</v>
      </c>
      <c r="D338" s="3" t="s">
        <v>16</v>
      </c>
      <c r="E338" s="3"/>
      <c r="F338" s="3"/>
      <c r="G338" s="4">
        <v>46059.375</v>
      </c>
      <c r="H338" s="6">
        <v>46059.708333333336</v>
      </c>
      <c r="I338" s="4">
        <v>46056</v>
      </c>
      <c r="J338" s="3" t="s">
        <v>1045</v>
      </c>
      <c r="K338" t="s">
        <v>1048</v>
      </c>
    </row>
    <row r="339" spans="1:11" ht="14.65">
      <c r="A339" t="s">
        <v>560</v>
      </c>
      <c r="B339" t="s">
        <v>579</v>
      </c>
      <c r="C339" t="s">
        <v>580</v>
      </c>
      <c r="D339" t="s">
        <v>21</v>
      </c>
      <c r="E339" t="s">
        <v>25</v>
      </c>
      <c r="G339" s="1">
        <v>46175.375</v>
      </c>
      <c r="H339" s="2">
        <v>45848.709027777775</v>
      </c>
      <c r="I339" s="1">
        <v>45852</v>
      </c>
      <c r="J339" t="s">
        <v>22</v>
      </c>
      <c r="K339" t="s">
        <v>1047</v>
      </c>
    </row>
    <row r="340" spans="1:11" ht="14.65">
      <c r="A340" t="s">
        <v>560</v>
      </c>
      <c r="B340" t="s">
        <v>582</v>
      </c>
      <c r="C340" t="s">
        <v>581</v>
      </c>
      <c r="D340" t="s">
        <v>21</v>
      </c>
      <c r="E340" t="s">
        <v>25</v>
      </c>
      <c r="G340" s="1">
        <v>45696.333333333336</v>
      </c>
      <c r="H340" s="2">
        <v>47330.333333333336</v>
      </c>
      <c r="I340" t="s">
        <v>198</v>
      </c>
      <c r="J340" t="s">
        <v>22</v>
      </c>
      <c r="K340" t="s">
        <v>1047</v>
      </c>
    </row>
    <row r="341" spans="1:11" ht="14.65" hidden="1">
      <c r="A341" s="3" t="s">
        <v>584</v>
      </c>
      <c r="B341" s="3" t="s">
        <v>585</v>
      </c>
      <c r="C341" s="3" t="s">
        <v>583</v>
      </c>
      <c r="D341" s="3" t="s">
        <v>21</v>
      </c>
      <c r="E341" s="3" t="s">
        <v>25</v>
      </c>
      <c r="F341" s="3"/>
      <c r="G341" s="4">
        <v>45689.333333333336</v>
      </c>
      <c r="H341" s="6">
        <v>47325.333333333336</v>
      </c>
      <c r="I341" s="3" t="s">
        <v>198</v>
      </c>
      <c r="J341" t="s">
        <v>1045</v>
      </c>
      <c r="K341" t="s">
        <v>1048</v>
      </c>
    </row>
    <row r="342" spans="1:11" ht="14.65">
      <c r="A342" t="s">
        <v>584</v>
      </c>
      <c r="B342" t="s">
        <v>585</v>
      </c>
      <c r="C342" t="s">
        <v>1156</v>
      </c>
      <c r="D342" t="s">
        <v>21</v>
      </c>
      <c r="E342" t="s">
        <v>22</v>
      </c>
      <c r="F342">
        <v>31</v>
      </c>
      <c r="G342" s="1">
        <v>46342.375</v>
      </c>
      <c r="H342" s="2">
        <v>46342.708333333336</v>
      </c>
      <c r="I342" s="1">
        <v>46087</v>
      </c>
      <c r="J342" t="s">
        <v>22</v>
      </c>
      <c r="K342" t="s">
        <v>1047</v>
      </c>
    </row>
    <row r="343" spans="1:11" ht="14.65">
      <c r="A343" t="s">
        <v>584</v>
      </c>
      <c r="B343" t="s">
        <v>587</v>
      </c>
      <c r="C343" t="s">
        <v>586</v>
      </c>
      <c r="D343" t="s">
        <v>21</v>
      </c>
      <c r="E343" t="s">
        <v>22</v>
      </c>
      <c r="F343">
        <v>6</v>
      </c>
      <c r="G343" s="1">
        <v>46055.375</v>
      </c>
      <c r="H343" s="2">
        <v>46000.708333333336</v>
      </c>
      <c r="I343" s="1">
        <v>45943</v>
      </c>
      <c r="J343" t="s">
        <v>22</v>
      </c>
      <c r="K343" t="s">
        <v>1047</v>
      </c>
    </row>
    <row r="344" spans="1:11" ht="14.65">
      <c r="A344" t="s">
        <v>584</v>
      </c>
      <c r="B344" t="s">
        <v>589</v>
      </c>
      <c r="C344" t="s">
        <v>588</v>
      </c>
      <c r="D344" t="s">
        <v>21</v>
      </c>
      <c r="E344" t="s">
        <v>25</v>
      </c>
      <c r="G344" s="1">
        <v>46155.375</v>
      </c>
      <c r="H344" s="2">
        <v>46155.708333333336</v>
      </c>
      <c r="I344" s="1">
        <v>45539</v>
      </c>
      <c r="J344" t="s">
        <v>22</v>
      </c>
      <c r="K344" t="s">
        <v>1047</v>
      </c>
    </row>
    <row r="345" spans="1:11" ht="14.65" hidden="1">
      <c r="A345" s="3" t="s">
        <v>584</v>
      </c>
      <c r="B345" s="3" t="s">
        <v>591</v>
      </c>
      <c r="C345" s="3" t="s">
        <v>590</v>
      </c>
      <c r="D345" s="3" t="s">
        <v>21</v>
      </c>
      <c r="E345" s="3" t="s">
        <v>25</v>
      </c>
      <c r="F345" s="3"/>
      <c r="G345" s="4">
        <v>45536.333333333336</v>
      </c>
      <c r="H345" s="6">
        <v>47362.333333333336</v>
      </c>
      <c r="I345" s="3" t="s">
        <v>198</v>
      </c>
      <c r="J345" t="s">
        <v>1045</v>
      </c>
      <c r="K345" t="s">
        <v>1048</v>
      </c>
    </row>
    <row r="346" spans="1:11" ht="14.65">
      <c r="A346" t="s">
        <v>584</v>
      </c>
      <c r="B346" t="s">
        <v>591</v>
      </c>
      <c r="C346" t="s">
        <v>1157</v>
      </c>
      <c r="D346" t="s">
        <v>21</v>
      </c>
      <c r="E346" t="s">
        <v>22</v>
      </c>
      <c r="F346">
        <v>78</v>
      </c>
      <c r="G346" s="1">
        <v>46343.375</v>
      </c>
      <c r="H346" s="2">
        <v>46343.708333333336</v>
      </c>
      <c r="I346" s="1">
        <v>46087</v>
      </c>
      <c r="J346" t="s">
        <v>22</v>
      </c>
      <c r="K346" t="s">
        <v>1047</v>
      </c>
    </row>
    <row r="347" spans="1:11" ht="14.65" hidden="1">
      <c r="A347" t="s">
        <v>584</v>
      </c>
      <c r="B347" t="s">
        <v>593</v>
      </c>
      <c r="C347" t="s">
        <v>592</v>
      </c>
      <c r="D347" t="s">
        <v>21</v>
      </c>
      <c r="E347" t="s">
        <v>25</v>
      </c>
      <c r="G347" s="1">
        <v>45666.708333333336</v>
      </c>
      <c r="H347" s="2">
        <v>47325.333333333336</v>
      </c>
      <c r="I347" t="s">
        <v>198</v>
      </c>
      <c r="J347" t="s">
        <v>1045</v>
      </c>
      <c r="K347" t="s">
        <v>1048</v>
      </c>
    </row>
    <row r="348" spans="1:11" ht="14.65">
      <c r="A348" t="s">
        <v>584</v>
      </c>
      <c r="B348" t="s">
        <v>593</v>
      </c>
      <c r="C348" t="s">
        <v>1158</v>
      </c>
      <c r="D348" t="s">
        <v>21</v>
      </c>
      <c r="E348" t="s">
        <v>22</v>
      </c>
      <c r="F348">
        <v>93</v>
      </c>
      <c r="G348" s="1">
        <v>46321.375</v>
      </c>
      <c r="H348" s="2">
        <v>46321.708333333336</v>
      </c>
      <c r="I348" s="1">
        <v>46086</v>
      </c>
      <c r="J348" t="s">
        <v>22</v>
      </c>
      <c r="K348" t="s">
        <v>1047</v>
      </c>
    </row>
    <row r="349" spans="1:11" ht="14.65" hidden="1">
      <c r="A349" t="s">
        <v>623</v>
      </c>
      <c r="B349" t="s">
        <v>624</v>
      </c>
      <c r="C349" t="s">
        <v>622</v>
      </c>
      <c r="D349" t="s">
        <v>21</v>
      </c>
      <c r="E349" t="s">
        <v>22</v>
      </c>
      <c r="F349">
        <v>39</v>
      </c>
      <c r="G349" s="1">
        <v>45992.392361111109</v>
      </c>
      <c r="I349" s="1">
        <v>45944</v>
      </c>
      <c r="J349" t="s">
        <v>1045</v>
      </c>
      <c r="K349" t="s">
        <v>1047</v>
      </c>
    </row>
    <row r="350" spans="1:11" ht="14.65" hidden="1">
      <c r="A350" s="3" t="s">
        <v>623</v>
      </c>
      <c r="B350" s="3" t="s">
        <v>626</v>
      </c>
      <c r="C350" s="3" t="s">
        <v>625</v>
      </c>
      <c r="D350" t="s">
        <v>21</v>
      </c>
      <c r="E350" t="s">
        <v>25</v>
      </c>
      <c r="G350" s="4">
        <v>45891.393055555556</v>
      </c>
      <c r="H350" s="2">
        <v>47312.393055555556</v>
      </c>
      <c r="I350" t="s">
        <v>198</v>
      </c>
      <c r="J350" t="s">
        <v>1045</v>
      </c>
      <c r="K350" t="s">
        <v>1048</v>
      </c>
    </row>
    <row r="351" spans="1:11" ht="14.65">
      <c r="A351" t="s">
        <v>623</v>
      </c>
      <c r="B351" t="s">
        <v>630</v>
      </c>
      <c r="C351" t="s">
        <v>629</v>
      </c>
      <c r="D351" t="s">
        <v>21</v>
      </c>
      <c r="E351" t="s">
        <v>25</v>
      </c>
      <c r="G351" s="1">
        <v>45628.333333333336</v>
      </c>
      <c r="H351" s="2">
        <v>47301.333333333336</v>
      </c>
      <c r="I351" t="s">
        <v>198</v>
      </c>
      <c r="J351" t="s">
        <v>22</v>
      </c>
      <c r="K351" t="s">
        <v>1047</v>
      </c>
    </row>
    <row r="352" spans="1:11" ht="14.65">
      <c r="A352" t="s">
        <v>623</v>
      </c>
      <c r="B352" t="s">
        <v>628</v>
      </c>
      <c r="C352" t="s">
        <v>627</v>
      </c>
      <c r="D352" t="s">
        <v>16</v>
      </c>
      <c r="G352" s="1" t="s">
        <v>17</v>
      </c>
      <c r="J352" t="s">
        <v>22</v>
      </c>
      <c r="K352" t="s">
        <v>1047</v>
      </c>
    </row>
    <row r="353" spans="1:11" ht="14.65" hidden="1">
      <c r="A353" s="3" t="s">
        <v>623</v>
      </c>
      <c r="B353" s="3" t="s">
        <v>632</v>
      </c>
      <c r="C353" s="3" t="s">
        <v>631</v>
      </c>
      <c r="D353" s="3" t="s">
        <v>21</v>
      </c>
      <c r="E353" s="3" t="s">
        <v>22</v>
      </c>
      <c r="F353" s="3">
        <v>21</v>
      </c>
      <c r="G353" s="4">
        <v>45559.604166666664</v>
      </c>
      <c r="H353" s="2">
        <v>45559.645833333336</v>
      </c>
      <c r="I353" s="1">
        <v>45869</v>
      </c>
      <c r="J353" t="s">
        <v>1045</v>
      </c>
      <c r="K353" t="s">
        <v>1048</v>
      </c>
    </row>
    <row r="354" spans="1:11" ht="14.65">
      <c r="A354" t="s">
        <v>623</v>
      </c>
      <c r="B354" t="s">
        <v>1159</v>
      </c>
      <c r="C354" s="3"/>
      <c r="D354" s="3"/>
      <c r="E354" s="3"/>
      <c r="F354" s="3"/>
      <c r="G354" s="4"/>
      <c r="H354" s="2"/>
      <c r="I354" s="1"/>
      <c r="J354" t="s">
        <v>22</v>
      </c>
      <c r="K354" t="s">
        <v>1160</v>
      </c>
    </row>
    <row r="355" spans="1:11" ht="14.65" hidden="1">
      <c r="A355" t="s">
        <v>623</v>
      </c>
      <c r="B355" t="s">
        <v>634</v>
      </c>
      <c r="C355" t="s">
        <v>633</v>
      </c>
      <c r="D355" t="s">
        <v>38</v>
      </c>
      <c r="G355" s="1"/>
      <c r="I355" s="1">
        <v>45931</v>
      </c>
      <c r="J355" t="s">
        <v>1045</v>
      </c>
      <c r="K355" t="s">
        <v>1047</v>
      </c>
    </row>
    <row r="356" spans="1:11" ht="14.65" hidden="1">
      <c r="A356" t="s">
        <v>623</v>
      </c>
      <c r="B356" t="s">
        <v>636</v>
      </c>
      <c r="C356" t="s">
        <v>635</v>
      </c>
      <c r="D356" t="s">
        <v>38</v>
      </c>
      <c r="G356" s="1"/>
      <c r="I356" s="1">
        <v>45924</v>
      </c>
      <c r="J356" t="s">
        <v>1045</v>
      </c>
      <c r="K356" t="s">
        <v>1047</v>
      </c>
    </row>
    <row r="357" spans="1:11" ht="14.65" hidden="1">
      <c r="A357" t="s">
        <v>623</v>
      </c>
      <c r="B357" t="s">
        <v>638</v>
      </c>
      <c r="C357" t="s">
        <v>637</v>
      </c>
      <c r="D357" t="s">
        <v>38</v>
      </c>
      <c r="G357" s="1"/>
      <c r="I357" s="1">
        <v>45875</v>
      </c>
      <c r="J357" t="s">
        <v>1045</v>
      </c>
      <c r="K357" t="s">
        <v>1047</v>
      </c>
    </row>
    <row r="358" spans="1:11" ht="14.65" hidden="1">
      <c r="A358" t="s">
        <v>623</v>
      </c>
      <c r="B358" t="s">
        <v>1161</v>
      </c>
      <c r="C358" t="s">
        <v>1162</v>
      </c>
      <c r="D358" t="s">
        <v>16</v>
      </c>
      <c r="G358" s="1">
        <v>46065.625</v>
      </c>
      <c r="H358" s="2">
        <v>46065.666666666664</v>
      </c>
      <c r="I358" s="1">
        <v>46066</v>
      </c>
      <c r="J358" t="s">
        <v>1045</v>
      </c>
      <c r="K358" t="s">
        <v>1046</v>
      </c>
    </row>
    <row r="359" spans="1:11" ht="14.65" hidden="1">
      <c r="A359" s="3" t="s">
        <v>623</v>
      </c>
      <c r="B359" s="3" t="s">
        <v>640</v>
      </c>
      <c r="C359" s="3" t="s">
        <v>639</v>
      </c>
      <c r="D359" s="3" t="s">
        <v>21</v>
      </c>
      <c r="E359" s="3" t="s">
        <v>22</v>
      </c>
      <c r="F359" s="3">
        <v>4</v>
      </c>
      <c r="G359" s="4">
        <v>45993.604861111111</v>
      </c>
      <c r="H359" s="6">
        <v>45993.6875</v>
      </c>
      <c r="I359" s="4">
        <v>45999</v>
      </c>
      <c r="J359" s="3" t="s">
        <v>1045</v>
      </c>
      <c r="K359" t="s">
        <v>1048</v>
      </c>
    </row>
    <row r="360" spans="1:11" ht="14.65" hidden="1">
      <c r="A360" s="3" t="s">
        <v>623</v>
      </c>
      <c r="B360" s="3" t="s">
        <v>642</v>
      </c>
      <c r="C360" s="3" t="s">
        <v>641</v>
      </c>
      <c r="D360" s="3" t="s">
        <v>21</v>
      </c>
      <c r="E360" s="3" t="s">
        <v>25</v>
      </c>
      <c r="F360" s="3"/>
      <c r="G360" s="4">
        <v>45736.416666666664</v>
      </c>
      <c r="H360" s="2">
        <v>45736.520833333336</v>
      </c>
      <c r="I360" s="1">
        <v>45737</v>
      </c>
      <c r="J360" t="s">
        <v>1045</v>
      </c>
      <c r="K360" t="s">
        <v>1048</v>
      </c>
    </row>
    <row r="361" spans="1:11" ht="14.65" hidden="1">
      <c r="A361" s="3" t="s">
        <v>623</v>
      </c>
      <c r="B361" s="3" t="s">
        <v>643</v>
      </c>
      <c r="C361" s="3"/>
      <c r="D361" s="3" t="s">
        <v>76</v>
      </c>
      <c r="E361" s="3"/>
      <c r="F361" s="3"/>
      <c r="G361" s="4"/>
      <c r="J361" t="s">
        <v>1045</v>
      </c>
      <c r="K361" t="s">
        <v>1048</v>
      </c>
    </row>
    <row r="362" spans="1:11" ht="14.65">
      <c r="A362" t="s">
        <v>623</v>
      </c>
      <c r="B362" t="s">
        <v>645</v>
      </c>
      <c r="C362" t="s">
        <v>644</v>
      </c>
      <c r="D362" t="s">
        <v>21</v>
      </c>
      <c r="E362" t="s">
        <v>22</v>
      </c>
      <c r="F362">
        <v>4</v>
      </c>
      <c r="G362" s="1">
        <v>45832.395833333336</v>
      </c>
      <c r="H362" s="2">
        <v>45832.520833333336</v>
      </c>
      <c r="I362" s="1">
        <v>45826</v>
      </c>
      <c r="J362" t="s">
        <v>22</v>
      </c>
      <c r="K362" t="s">
        <v>1047</v>
      </c>
    </row>
    <row r="363" spans="1:11" ht="14.65" hidden="1">
      <c r="A363" t="s">
        <v>623</v>
      </c>
      <c r="B363" t="s">
        <v>647</v>
      </c>
      <c r="C363" t="s">
        <v>646</v>
      </c>
      <c r="D363" t="s">
        <v>21</v>
      </c>
      <c r="E363" t="s">
        <v>22</v>
      </c>
      <c r="F363">
        <v>0</v>
      </c>
      <c r="G363" s="1">
        <v>45968.416666666664</v>
      </c>
      <c r="H363" s="2">
        <v>45968.5</v>
      </c>
      <c r="I363" s="1">
        <v>45943</v>
      </c>
      <c r="J363" t="s">
        <v>1045</v>
      </c>
      <c r="K363" t="s">
        <v>1047</v>
      </c>
    </row>
    <row r="364" spans="1:11" ht="14.65" hidden="1">
      <c r="A364" t="s">
        <v>1163</v>
      </c>
      <c r="B364" t="s">
        <v>294</v>
      </c>
      <c r="C364" t="s">
        <v>292</v>
      </c>
      <c r="D364" t="s">
        <v>21</v>
      </c>
      <c r="E364" t="s">
        <v>25</v>
      </c>
      <c r="G364" s="1">
        <v>46098.458333333336</v>
      </c>
      <c r="H364" s="2">
        <v>46098.5</v>
      </c>
      <c r="I364" s="1">
        <v>46069</v>
      </c>
      <c r="J364" t="s">
        <v>1045</v>
      </c>
      <c r="K364" t="s">
        <v>1155</v>
      </c>
    </row>
    <row r="365" spans="1:11" ht="14.65" hidden="1">
      <c r="A365" t="s">
        <v>1163</v>
      </c>
      <c r="B365" t="s">
        <v>296</v>
      </c>
      <c r="C365" t="s">
        <v>295</v>
      </c>
      <c r="D365" t="s">
        <v>21</v>
      </c>
      <c r="E365" t="s">
        <v>25</v>
      </c>
      <c r="G365" s="1"/>
      <c r="H365" s="2"/>
      <c r="I365" s="1">
        <v>46066</v>
      </c>
      <c r="J365" t="s">
        <v>1045</v>
      </c>
      <c r="K365" t="s">
        <v>1155</v>
      </c>
    </row>
    <row r="366" spans="1:11" ht="14.65" hidden="1">
      <c r="A366" t="s">
        <v>1163</v>
      </c>
      <c r="B366" t="s">
        <v>1164</v>
      </c>
      <c r="C366" t="s">
        <v>1165</v>
      </c>
      <c r="D366" t="s">
        <v>21</v>
      </c>
      <c r="E366" t="s">
        <v>25</v>
      </c>
      <c r="G366" s="1"/>
      <c r="H366" s="2"/>
      <c r="I366" s="1">
        <v>46065</v>
      </c>
      <c r="J366" t="s">
        <v>1045</v>
      </c>
      <c r="K366" t="s">
        <v>1155</v>
      </c>
    </row>
    <row r="367" spans="1:11" ht="14.65" hidden="1">
      <c r="A367" t="s">
        <v>1163</v>
      </c>
      <c r="B367" t="s">
        <v>1166</v>
      </c>
      <c r="C367" t="s">
        <v>1167</v>
      </c>
      <c r="D367" t="s">
        <v>21</v>
      </c>
      <c r="E367" t="s">
        <v>25</v>
      </c>
      <c r="G367" s="1">
        <v>46279.458333333336</v>
      </c>
      <c r="H367" s="2">
        <v>46279.5</v>
      </c>
      <c r="I367" s="1">
        <v>46069</v>
      </c>
      <c r="J367" t="s">
        <v>1045</v>
      </c>
      <c r="K367" t="s">
        <v>1155</v>
      </c>
    </row>
    <row r="368" spans="1:11" ht="14.65" hidden="1">
      <c r="A368" t="s">
        <v>1163</v>
      </c>
      <c r="B368" t="s">
        <v>1168</v>
      </c>
      <c r="C368" t="s">
        <v>1169</v>
      </c>
      <c r="D368" t="s">
        <v>21</v>
      </c>
      <c r="E368" t="s">
        <v>25</v>
      </c>
      <c r="G368" s="1"/>
      <c r="H368" s="2"/>
      <c r="I368" s="1" t="s">
        <v>198</v>
      </c>
      <c r="J368" t="s">
        <v>1045</v>
      </c>
      <c r="K368" t="s">
        <v>1155</v>
      </c>
    </row>
    <row r="369" spans="1:11" ht="14.65" hidden="1">
      <c r="A369" t="s">
        <v>1163</v>
      </c>
      <c r="B369" t="s">
        <v>1170</v>
      </c>
      <c r="C369" t="s">
        <v>1171</v>
      </c>
      <c r="D369" t="s">
        <v>21</v>
      </c>
      <c r="E369" t="s">
        <v>25</v>
      </c>
      <c r="G369" s="1"/>
      <c r="H369" s="2"/>
      <c r="I369" s="1">
        <v>46069</v>
      </c>
      <c r="J369" t="s">
        <v>1045</v>
      </c>
      <c r="K369" t="s">
        <v>1155</v>
      </c>
    </row>
    <row r="370" spans="1:11" ht="14.65" hidden="1">
      <c r="A370" t="s">
        <v>1163</v>
      </c>
      <c r="B370" t="s">
        <v>1172</v>
      </c>
      <c r="C370" t="s">
        <v>1173</v>
      </c>
      <c r="D370" t="s">
        <v>21</v>
      </c>
      <c r="E370" t="s">
        <v>22</v>
      </c>
      <c r="F370">
        <v>36</v>
      </c>
      <c r="G370" s="1">
        <v>45988.479166666664</v>
      </c>
      <c r="H370" s="2">
        <v>45988.520833333336</v>
      </c>
      <c r="I370" s="1">
        <v>46076</v>
      </c>
      <c r="J370" t="s">
        <v>1045</v>
      </c>
      <c r="K370" t="s">
        <v>1155</v>
      </c>
    </row>
    <row r="371" spans="1:11" ht="14.65" hidden="1">
      <c r="A371" t="s">
        <v>1163</v>
      </c>
      <c r="B371" t="s">
        <v>1174</v>
      </c>
      <c r="C371" t="s">
        <v>1175</v>
      </c>
      <c r="D371" t="s">
        <v>21</v>
      </c>
      <c r="E371" t="s">
        <v>22</v>
      </c>
      <c r="F371">
        <v>23</v>
      </c>
      <c r="G371" s="1">
        <v>46148.479166666664</v>
      </c>
      <c r="H371" s="2">
        <v>46148.520833333336</v>
      </c>
      <c r="I371" s="1">
        <v>46079</v>
      </c>
      <c r="J371" t="s">
        <v>1045</v>
      </c>
      <c r="K371" t="s">
        <v>1155</v>
      </c>
    </row>
    <row r="372" spans="1:11" ht="14.65" hidden="1">
      <c r="A372" t="s">
        <v>1163</v>
      </c>
      <c r="B372" t="s">
        <v>1176</v>
      </c>
      <c r="C372" t="s">
        <v>1177</v>
      </c>
      <c r="D372" t="s">
        <v>21</v>
      </c>
      <c r="E372" t="s">
        <v>25</v>
      </c>
      <c r="G372" s="1"/>
      <c r="H372" s="2"/>
      <c r="I372" s="1">
        <v>46065</v>
      </c>
      <c r="J372" t="s">
        <v>1045</v>
      </c>
      <c r="K372" t="s">
        <v>1155</v>
      </c>
    </row>
    <row r="373" spans="1:11" ht="14.65" hidden="1">
      <c r="A373" t="s">
        <v>1163</v>
      </c>
      <c r="B373" t="s">
        <v>1178</v>
      </c>
      <c r="C373" t="s">
        <v>1179</v>
      </c>
      <c r="D373" t="s">
        <v>21</v>
      </c>
      <c r="E373" t="s">
        <v>25</v>
      </c>
      <c r="G373" s="1">
        <v>46056.458333333336</v>
      </c>
      <c r="H373" s="2">
        <v>46056.5</v>
      </c>
      <c r="I373" s="1">
        <v>46056</v>
      </c>
      <c r="J373" t="s">
        <v>1045</v>
      </c>
      <c r="K373" t="s">
        <v>1155</v>
      </c>
    </row>
    <row r="374" spans="1:11" ht="14.65" hidden="1">
      <c r="A374" t="s">
        <v>1163</v>
      </c>
      <c r="B374" t="s">
        <v>575</v>
      </c>
      <c r="C374" t="s">
        <v>574</v>
      </c>
      <c r="D374" t="s">
        <v>21</v>
      </c>
      <c r="E374" t="s">
        <v>25</v>
      </c>
      <c r="G374" s="1">
        <v>46079.604166666664</v>
      </c>
      <c r="H374" s="2">
        <v>46079.645833333336</v>
      </c>
      <c r="I374" s="1">
        <v>46069</v>
      </c>
      <c r="J374" t="s">
        <v>1045</v>
      </c>
      <c r="K374" t="s">
        <v>1155</v>
      </c>
    </row>
    <row r="375" spans="1:11" ht="14.65" hidden="1">
      <c r="A375" t="s">
        <v>1163</v>
      </c>
      <c r="B375" t="s">
        <v>1180</v>
      </c>
      <c r="C375" t="s">
        <v>1181</v>
      </c>
      <c r="D375" t="s">
        <v>21</v>
      </c>
      <c r="E375" t="s">
        <v>25</v>
      </c>
      <c r="G375" s="1"/>
      <c r="H375" s="2"/>
      <c r="I375" s="1">
        <v>46051</v>
      </c>
      <c r="J375" t="s">
        <v>1045</v>
      </c>
      <c r="K375" t="s">
        <v>1155</v>
      </c>
    </row>
    <row r="376" spans="1:11" ht="14.65" hidden="1">
      <c r="A376" t="s">
        <v>1163</v>
      </c>
      <c r="B376" t="s">
        <v>1182</v>
      </c>
      <c r="C376" t="s">
        <v>1183</v>
      </c>
      <c r="D376" t="s">
        <v>21</v>
      </c>
      <c r="E376" t="s">
        <v>25</v>
      </c>
      <c r="G376" s="1"/>
      <c r="H376" s="2"/>
      <c r="I376" s="1">
        <v>46067</v>
      </c>
      <c r="J376" t="s">
        <v>1045</v>
      </c>
      <c r="K376" t="s">
        <v>1155</v>
      </c>
    </row>
    <row r="377" spans="1:11" ht="14.65" hidden="1">
      <c r="A377" t="s">
        <v>1163</v>
      </c>
      <c r="B377" t="s">
        <v>1184</v>
      </c>
      <c r="C377" t="s">
        <v>1185</v>
      </c>
      <c r="D377" t="s">
        <v>21</v>
      </c>
      <c r="E377" t="s">
        <v>25</v>
      </c>
      <c r="G377" s="1">
        <v>46132.458333333336</v>
      </c>
      <c r="H377" s="2">
        <v>46132.5</v>
      </c>
      <c r="I377" s="1">
        <v>46069</v>
      </c>
      <c r="J377" t="s">
        <v>1045</v>
      </c>
      <c r="K377" t="s">
        <v>1155</v>
      </c>
    </row>
    <row r="378" spans="1:11" ht="14.65" hidden="1">
      <c r="A378" t="s">
        <v>1163</v>
      </c>
      <c r="B378" t="s">
        <v>1186</v>
      </c>
      <c r="C378" t="s">
        <v>1187</v>
      </c>
      <c r="D378" t="s">
        <v>21</v>
      </c>
      <c r="E378" t="s">
        <v>25</v>
      </c>
      <c r="G378" s="1"/>
      <c r="H378" s="2"/>
      <c r="I378" s="1">
        <v>46077</v>
      </c>
      <c r="J378" t="s">
        <v>1045</v>
      </c>
      <c r="K378" t="s">
        <v>1155</v>
      </c>
    </row>
    <row r="379" spans="1:11" ht="14.65" hidden="1">
      <c r="A379" t="s">
        <v>1163</v>
      </c>
      <c r="B379" t="s">
        <v>556</v>
      </c>
      <c r="C379" t="s">
        <v>555</v>
      </c>
      <c r="D379" t="s">
        <v>21</v>
      </c>
      <c r="E379" t="s">
        <v>25</v>
      </c>
      <c r="G379" s="1"/>
      <c r="H379" s="2"/>
      <c r="I379" s="1">
        <v>46078</v>
      </c>
      <c r="J379" t="s">
        <v>1045</v>
      </c>
      <c r="K379" t="s">
        <v>1155</v>
      </c>
    </row>
    <row r="380" spans="1:11" ht="14.65" hidden="1">
      <c r="A380" t="s">
        <v>1163</v>
      </c>
      <c r="B380" t="s">
        <v>1188</v>
      </c>
      <c r="C380" t="s">
        <v>1189</v>
      </c>
      <c r="D380" t="s">
        <v>21</v>
      </c>
      <c r="E380" t="s">
        <v>22</v>
      </c>
      <c r="F380">
        <v>1</v>
      </c>
      <c r="G380" s="1">
        <v>46066.479166666664</v>
      </c>
      <c r="H380" s="2">
        <v>46066.520833333336</v>
      </c>
      <c r="I380" s="1">
        <v>46069</v>
      </c>
      <c r="J380" t="s">
        <v>1045</v>
      </c>
      <c r="K380" t="s">
        <v>1155</v>
      </c>
    </row>
    <row r="381" spans="1:11" ht="14.65" hidden="1">
      <c r="A381" t="s">
        <v>649</v>
      </c>
      <c r="B381" t="s">
        <v>650</v>
      </c>
      <c r="C381" t="s">
        <v>648</v>
      </c>
      <c r="D381" t="s">
        <v>16</v>
      </c>
      <c r="G381" s="1" t="s">
        <v>17</v>
      </c>
      <c r="I381" s="1">
        <v>45945</v>
      </c>
      <c r="J381" t="s">
        <v>1045</v>
      </c>
      <c r="K381" t="s">
        <v>1046</v>
      </c>
    </row>
    <row r="382" spans="1:11" ht="14.65" hidden="1">
      <c r="A382" s="3" t="s">
        <v>649</v>
      </c>
      <c r="B382" s="3" t="s">
        <v>652</v>
      </c>
      <c r="C382" s="3" t="s">
        <v>651</v>
      </c>
      <c r="D382" s="3" t="s">
        <v>21</v>
      </c>
      <c r="E382" s="3" t="s">
        <v>22</v>
      </c>
      <c r="F382" s="3">
        <v>12</v>
      </c>
      <c r="G382" s="4"/>
      <c r="I382" s="1">
        <v>45896</v>
      </c>
      <c r="J382" t="s">
        <v>1045</v>
      </c>
      <c r="K382" t="s">
        <v>1048</v>
      </c>
    </row>
    <row r="383" spans="1:11" ht="14.65" hidden="1">
      <c r="A383" s="3" t="s">
        <v>649</v>
      </c>
      <c r="B383" s="3" t="s">
        <v>661</v>
      </c>
      <c r="C383" s="3"/>
      <c r="D383" s="3" t="s">
        <v>76</v>
      </c>
      <c r="E383" s="3"/>
      <c r="F383" s="3"/>
      <c r="G383" s="4"/>
      <c r="J383" t="s">
        <v>1045</v>
      </c>
      <c r="K383" t="s">
        <v>1048</v>
      </c>
    </row>
    <row r="384" spans="1:11" ht="14.65" hidden="1">
      <c r="A384" s="3" t="s">
        <v>649</v>
      </c>
      <c r="B384" s="3" t="s">
        <v>654</v>
      </c>
      <c r="C384" s="3" t="s">
        <v>653</v>
      </c>
      <c r="D384" s="3" t="s">
        <v>21</v>
      </c>
      <c r="E384" s="3" t="s">
        <v>22</v>
      </c>
      <c r="F384" s="3">
        <v>101</v>
      </c>
      <c r="G384" s="4">
        <v>45553.416666666664</v>
      </c>
      <c r="H384" s="2">
        <v>45553.458333333336</v>
      </c>
      <c r="I384" s="1">
        <v>45941</v>
      </c>
      <c r="J384" t="s">
        <v>1045</v>
      </c>
      <c r="K384" t="s">
        <v>1048</v>
      </c>
    </row>
    <row r="385" spans="1:11" ht="14.65" hidden="1">
      <c r="A385" t="s">
        <v>649</v>
      </c>
      <c r="B385" t="s">
        <v>656</v>
      </c>
      <c r="C385" t="s">
        <v>655</v>
      </c>
      <c r="D385" t="s">
        <v>21</v>
      </c>
      <c r="E385" t="s">
        <v>22</v>
      </c>
      <c r="F385">
        <v>39</v>
      </c>
      <c r="G385" s="1">
        <v>46344.458333333336</v>
      </c>
      <c r="H385" s="2">
        <v>45981.5</v>
      </c>
      <c r="I385" s="1">
        <v>45940</v>
      </c>
      <c r="J385" t="s">
        <v>1045</v>
      </c>
      <c r="K385" t="s">
        <v>1155</v>
      </c>
    </row>
    <row r="386" spans="1:11" ht="14.65">
      <c r="A386" t="s">
        <v>649</v>
      </c>
      <c r="G386" s="1"/>
      <c r="H386" s="2"/>
      <c r="I386" s="1"/>
      <c r="J386" t="s">
        <v>22</v>
      </c>
      <c r="K386" s="16" t="s">
        <v>1190</v>
      </c>
    </row>
    <row r="387" spans="1:11" ht="14.65" hidden="1">
      <c r="A387" t="s">
        <v>649</v>
      </c>
      <c r="B387" t="s">
        <v>658</v>
      </c>
      <c r="C387" t="s">
        <v>657</v>
      </c>
      <c r="D387" t="s">
        <v>21</v>
      </c>
      <c r="E387" t="s">
        <v>22</v>
      </c>
      <c r="F387">
        <v>22</v>
      </c>
      <c r="G387" s="1">
        <v>46309.395833333336</v>
      </c>
      <c r="H387" s="2">
        <v>45980.666666666664</v>
      </c>
      <c r="I387" s="1">
        <v>45944</v>
      </c>
      <c r="J387" t="s">
        <v>1045</v>
      </c>
      <c r="K387" t="s">
        <v>1047</v>
      </c>
    </row>
    <row r="388" spans="1:11" ht="14.65" hidden="1">
      <c r="A388" s="3" t="s">
        <v>649</v>
      </c>
      <c r="B388" s="3" t="s">
        <v>660</v>
      </c>
      <c r="C388" s="3" t="s">
        <v>659</v>
      </c>
      <c r="D388" s="3" t="s">
        <v>21</v>
      </c>
      <c r="E388" s="3" t="s">
        <v>22</v>
      </c>
      <c r="F388" s="3">
        <v>52</v>
      </c>
      <c r="G388" s="4">
        <v>45316.375</v>
      </c>
      <c r="H388" s="2">
        <v>45316.708333333336</v>
      </c>
      <c r="I388" s="1">
        <v>45944</v>
      </c>
      <c r="J388" t="s">
        <v>1045</v>
      </c>
      <c r="K388" t="s">
        <v>1048</v>
      </c>
    </row>
    <row r="389" spans="1:11" ht="14.65" hidden="1">
      <c r="A389" t="s">
        <v>663</v>
      </c>
      <c r="B389" t="s">
        <v>670</v>
      </c>
      <c r="C389" t="s">
        <v>669</v>
      </c>
      <c r="D389" t="s">
        <v>21</v>
      </c>
      <c r="E389" t="s">
        <v>25</v>
      </c>
      <c r="G389" s="1">
        <v>45988.395833333336</v>
      </c>
      <c r="H389" s="2">
        <v>45988.4375</v>
      </c>
      <c r="I389" s="1">
        <v>45943</v>
      </c>
      <c r="J389" t="s">
        <v>1045</v>
      </c>
      <c r="K389" s="7" t="s">
        <v>1047</v>
      </c>
    </row>
    <row r="390" spans="1:11" ht="14.65" hidden="1">
      <c r="A390" t="s">
        <v>663</v>
      </c>
      <c r="B390" t="s">
        <v>666</v>
      </c>
      <c r="C390" t="s">
        <v>665</v>
      </c>
      <c r="D390" t="s">
        <v>21</v>
      </c>
      <c r="E390" t="s">
        <v>25</v>
      </c>
      <c r="G390" s="1">
        <v>45974.395833333336</v>
      </c>
      <c r="H390" s="2">
        <v>45974.520833333336</v>
      </c>
      <c r="I390" s="1">
        <v>45945</v>
      </c>
      <c r="J390" t="s">
        <v>1045</v>
      </c>
      <c r="K390" t="s">
        <v>1047</v>
      </c>
    </row>
    <row r="391" spans="1:11" ht="14.65" hidden="1">
      <c r="A391" t="s">
        <v>663</v>
      </c>
      <c r="B391" t="s">
        <v>668</v>
      </c>
      <c r="C391" t="s">
        <v>667</v>
      </c>
      <c r="D391" t="s">
        <v>21</v>
      </c>
      <c r="E391" t="s">
        <v>22</v>
      </c>
      <c r="F391">
        <v>9</v>
      </c>
      <c r="G391" s="1">
        <v>45973.416666666664</v>
      </c>
      <c r="H391" s="2">
        <v>45973.5</v>
      </c>
      <c r="I391" s="1">
        <v>45944</v>
      </c>
      <c r="J391" t="s">
        <v>1045</v>
      </c>
      <c r="K391" t="s">
        <v>1047</v>
      </c>
    </row>
    <row r="392" spans="1:11" ht="14.65" hidden="1">
      <c r="A392" t="s">
        <v>663</v>
      </c>
      <c r="B392" t="s">
        <v>672</v>
      </c>
      <c r="C392" t="s">
        <v>671</v>
      </c>
      <c r="D392" t="s">
        <v>21</v>
      </c>
      <c r="E392" t="s">
        <v>25</v>
      </c>
      <c r="G392" s="1">
        <v>46106.416666666664</v>
      </c>
      <c r="H392" s="2">
        <v>45981.479166666664</v>
      </c>
      <c r="I392" s="1">
        <v>45944</v>
      </c>
      <c r="J392" t="s">
        <v>1045</v>
      </c>
      <c r="K392" t="s">
        <v>1047</v>
      </c>
    </row>
    <row r="393" spans="1:11" ht="14.65" hidden="1">
      <c r="A393" s="3" t="s">
        <v>663</v>
      </c>
      <c r="B393" s="3" t="s">
        <v>664</v>
      </c>
      <c r="C393" s="3" t="s">
        <v>662</v>
      </c>
      <c r="D393" s="3" t="s">
        <v>16</v>
      </c>
      <c r="E393" s="3"/>
      <c r="F393" s="3"/>
      <c r="G393" s="4">
        <v>46042.375</v>
      </c>
      <c r="H393" s="2">
        <v>46042.4375</v>
      </c>
      <c r="I393" s="1">
        <v>46043</v>
      </c>
      <c r="J393" t="s">
        <v>1045</v>
      </c>
      <c r="K393" t="s">
        <v>1048</v>
      </c>
    </row>
    <row r="394" spans="1:11" ht="14.65">
      <c r="A394" t="s">
        <v>674</v>
      </c>
      <c r="B394" s="3"/>
      <c r="C394" s="3"/>
      <c r="D394" s="3"/>
      <c r="E394" s="3"/>
      <c r="F394" s="3"/>
      <c r="G394" s="4"/>
      <c r="H394" s="2"/>
      <c r="I394" s="1"/>
      <c r="J394" t="s">
        <v>22</v>
      </c>
      <c r="K394" s="16" t="s">
        <v>1191</v>
      </c>
    </row>
    <row r="395" spans="1:11" ht="14.65" hidden="1">
      <c r="A395" t="s">
        <v>674</v>
      </c>
      <c r="B395" t="s">
        <v>675</v>
      </c>
      <c r="C395" t="s">
        <v>673</v>
      </c>
      <c r="D395" t="s">
        <v>38</v>
      </c>
      <c r="G395" s="1"/>
      <c r="I395" s="1">
        <v>45940</v>
      </c>
      <c r="J395" t="s">
        <v>1045</v>
      </c>
      <c r="K395" t="s">
        <v>1192</v>
      </c>
    </row>
    <row r="396" spans="1:11" ht="14.65" hidden="1">
      <c r="A396" t="s">
        <v>674</v>
      </c>
      <c r="B396" t="s">
        <v>677</v>
      </c>
      <c r="C396" t="s">
        <v>676</v>
      </c>
      <c r="D396" t="s">
        <v>38</v>
      </c>
      <c r="G396" s="1"/>
      <c r="I396" s="1">
        <v>45942</v>
      </c>
      <c r="J396" t="s">
        <v>1045</v>
      </c>
      <c r="K396" t="s">
        <v>1047</v>
      </c>
    </row>
    <row r="397" spans="1:11" ht="14.65" hidden="1">
      <c r="A397" t="s">
        <v>674</v>
      </c>
      <c r="B397" t="s">
        <v>679</v>
      </c>
      <c r="C397" t="s">
        <v>678</v>
      </c>
      <c r="D397" t="s">
        <v>38</v>
      </c>
      <c r="G397" s="1"/>
      <c r="I397" s="1">
        <v>45944</v>
      </c>
      <c r="J397" t="s">
        <v>1045</v>
      </c>
      <c r="K397" t="s">
        <v>1047</v>
      </c>
    </row>
    <row r="398" spans="1:11" ht="14.65" hidden="1">
      <c r="A398" t="s">
        <v>674</v>
      </c>
      <c r="B398" t="s">
        <v>681</v>
      </c>
      <c r="C398" t="s">
        <v>680</v>
      </c>
      <c r="D398" t="s">
        <v>38</v>
      </c>
      <c r="G398" s="1"/>
      <c r="I398" s="1">
        <v>45945</v>
      </c>
      <c r="J398" t="s">
        <v>1045</v>
      </c>
      <c r="K398" t="s">
        <v>1047</v>
      </c>
    </row>
    <row r="399" spans="1:11" ht="14.65" hidden="1">
      <c r="A399" t="s">
        <v>674</v>
      </c>
      <c r="B399" t="s">
        <v>683</v>
      </c>
      <c r="C399" t="s">
        <v>682</v>
      </c>
      <c r="D399" t="s">
        <v>38</v>
      </c>
      <c r="G399" s="1"/>
      <c r="I399" s="1">
        <v>45940</v>
      </c>
      <c r="J399" t="s">
        <v>1045</v>
      </c>
      <c r="K399" t="s">
        <v>1047</v>
      </c>
    </row>
    <row r="400" spans="1:11" ht="14.65" hidden="1">
      <c r="A400" t="s">
        <v>674</v>
      </c>
      <c r="B400" t="s">
        <v>685</v>
      </c>
      <c r="C400" t="s">
        <v>684</v>
      </c>
      <c r="D400" t="s">
        <v>38</v>
      </c>
      <c r="G400" s="1"/>
      <c r="I400" s="1">
        <v>45944</v>
      </c>
      <c r="J400" t="s">
        <v>1045</v>
      </c>
      <c r="K400" t="s">
        <v>1047</v>
      </c>
    </row>
    <row r="401" spans="1:11" ht="14.65" hidden="1">
      <c r="A401" t="s">
        <v>674</v>
      </c>
      <c r="B401" t="s">
        <v>687</v>
      </c>
      <c r="C401" t="s">
        <v>686</v>
      </c>
      <c r="D401" t="s">
        <v>38</v>
      </c>
      <c r="G401" s="1"/>
      <c r="I401" s="1">
        <v>45944</v>
      </c>
      <c r="J401" t="s">
        <v>1045</v>
      </c>
      <c r="K401" t="s">
        <v>1047</v>
      </c>
    </row>
    <row r="402" spans="1:11" ht="14.65" hidden="1">
      <c r="A402" t="s">
        <v>674</v>
      </c>
      <c r="B402" t="s">
        <v>689</v>
      </c>
      <c r="C402" t="s">
        <v>688</v>
      </c>
      <c r="D402" t="s">
        <v>38</v>
      </c>
      <c r="G402" s="1"/>
      <c r="I402" s="1">
        <v>45944</v>
      </c>
      <c r="J402" t="s">
        <v>1045</v>
      </c>
      <c r="K402" t="s">
        <v>1047</v>
      </c>
    </row>
    <row r="403" spans="1:11" ht="14.65" hidden="1">
      <c r="A403" t="s">
        <v>674</v>
      </c>
      <c r="B403" t="s">
        <v>691</v>
      </c>
      <c r="C403" t="s">
        <v>690</v>
      </c>
      <c r="D403" t="s">
        <v>38</v>
      </c>
      <c r="G403" s="1"/>
      <c r="I403" s="1">
        <v>45944</v>
      </c>
      <c r="J403" t="s">
        <v>1045</v>
      </c>
      <c r="K403" t="s">
        <v>1047</v>
      </c>
    </row>
    <row r="404" spans="1:11" ht="14.65">
      <c r="A404" t="s">
        <v>693</v>
      </c>
      <c r="B404" t="s">
        <v>694</v>
      </c>
      <c r="C404" t="s">
        <v>692</v>
      </c>
      <c r="D404" t="s">
        <v>21</v>
      </c>
      <c r="E404" t="s">
        <v>22</v>
      </c>
      <c r="F404">
        <v>68</v>
      </c>
      <c r="G404" s="1">
        <v>46183.375</v>
      </c>
      <c r="H404" s="2">
        <v>45999.708333333336</v>
      </c>
      <c r="I404" s="1">
        <v>45945</v>
      </c>
      <c r="J404" t="s">
        <v>22</v>
      </c>
      <c r="K404" t="s">
        <v>1047</v>
      </c>
    </row>
    <row r="405" spans="1:11" ht="14.65">
      <c r="A405" t="s">
        <v>693</v>
      </c>
      <c r="B405" t="s">
        <v>696</v>
      </c>
      <c r="C405" t="s">
        <v>695</v>
      </c>
      <c r="D405" t="s">
        <v>21</v>
      </c>
      <c r="E405" t="s">
        <v>22</v>
      </c>
      <c r="F405">
        <v>39</v>
      </c>
      <c r="G405" s="1">
        <v>45932.375</v>
      </c>
      <c r="H405" s="2">
        <v>45932.520833333336</v>
      </c>
      <c r="I405" s="1">
        <v>45943</v>
      </c>
      <c r="J405" t="s">
        <v>22</v>
      </c>
      <c r="K405" t="s">
        <v>1047</v>
      </c>
    </row>
    <row r="406" spans="1:11" ht="14.65" hidden="1">
      <c r="A406" t="s">
        <v>693</v>
      </c>
      <c r="B406" t="s">
        <v>698</v>
      </c>
      <c r="C406" t="s">
        <v>697</v>
      </c>
      <c r="D406" t="s">
        <v>16</v>
      </c>
      <c r="G406" s="1" t="s">
        <v>17</v>
      </c>
      <c r="I406" s="1">
        <v>45944</v>
      </c>
      <c r="J406" t="s">
        <v>1045</v>
      </c>
      <c r="K406" t="s">
        <v>1046</v>
      </c>
    </row>
    <row r="407" spans="1:11" ht="14.65" hidden="1">
      <c r="A407" t="s">
        <v>693</v>
      </c>
      <c r="B407" t="s">
        <v>774</v>
      </c>
      <c r="C407" t="s">
        <v>773</v>
      </c>
      <c r="D407" t="s">
        <v>21</v>
      </c>
      <c r="E407" t="s">
        <v>22</v>
      </c>
      <c r="F407">
        <v>25</v>
      </c>
      <c r="G407" s="1">
        <v>45939.416666666664</v>
      </c>
      <c r="H407" s="2">
        <v>45939.5</v>
      </c>
      <c r="I407" s="1">
        <v>45943</v>
      </c>
      <c r="J407" t="s">
        <v>1045</v>
      </c>
      <c r="K407" t="s">
        <v>1155</v>
      </c>
    </row>
    <row r="408" spans="1:11" ht="14.65" hidden="1">
      <c r="A408" t="s">
        <v>693</v>
      </c>
      <c r="B408" t="s">
        <v>776</v>
      </c>
      <c r="C408" t="s">
        <v>775</v>
      </c>
      <c r="D408" t="s">
        <v>21</v>
      </c>
      <c r="E408" t="s">
        <v>22</v>
      </c>
      <c r="F408">
        <v>53</v>
      </c>
      <c r="G408" s="1">
        <v>45979.395833333336</v>
      </c>
      <c r="H408" s="2">
        <v>45741.541666666664</v>
      </c>
      <c r="I408" s="1">
        <v>45917</v>
      </c>
      <c r="J408" t="s">
        <v>1045</v>
      </c>
      <c r="K408" t="s">
        <v>1155</v>
      </c>
    </row>
    <row r="409" spans="1:11" ht="14.65" hidden="1">
      <c r="A409" t="s">
        <v>693</v>
      </c>
      <c r="B409" t="s">
        <v>778</v>
      </c>
      <c r="C409" t="s">
        <v>777</v>
      </c>
      <c r="D409" t="s">
        <v>21</v>
      </c>
      <c r="E409" t="s">
        <v>22</v>
      </c>
      <c r="F409">
        <v>30</v>
      </c>
      <c r="G409" s="1">
        <v>46094.395833333336</v>
      </c>
      <c r="H409" s="2">
        <v>45994.541666666664</v>
      </c>
      <c r="I409" s="1">
        <v>45945</v>
      </c>
      <c r="J409" t="s">
        <v>1045</v>
      </c>
      <c r="K409" t="s">
        <v>1155</v>
      </c>
    </row>
    <row r="410" spans="1:11" ht="14.65" hidden="1">
      <c r="A410" t="s">
        <v>693</v>
      </c>
      <c r="B410" t="s">
        <v>780</v>
      </c>
      <c r="C410" t="s">
        <v>779</v>
      </c>
      <c r="D410" t="s">
        <v>21</v>
      </c>
      <c r="E410" t="s">
        <v>22</v>
      </c>
      <c r="F410">
        <v>66</v>
      </c>
      <c r="G410" s="1">
        <v>46101.395833333336</v>
      </c>
      <c r="H410" s="2">
        <v>46007.541666666664</v>
      </c>
      <c r="I410" s="1">
        <v>45940</v>
      </c>
      <c r="J410" t="s">
        <v>1045</v>
      </c>
      <c r="K410" t="s">
        <v>1155</v>
      </c>
    </row>
    <row r="411" spans="1:11" ht="14.65" hidden="1">
      <c r="A411" t="s">
        <v>693</v>
      </c>
      <c r="B411" t="s">
        <v>782</v>
      </c>
      <c r="C411" t="s">
        <v>781</v>
      </c>
      <c r="D411" t="s">
        <v>21</v>
      </c>
      <c r="E411" t="s">
        <v>22</v>
      </c>
      <c r="F411">
        <v>76</v>
      </c>
      <c r="G411" s="1">
        <v>46086.395833333336</v>
      </c>
      <c r="H411" s="2">
        <v>45995.520833333336</v>
      </c>
      <c r="I411" s="1">
        <v>45944</v>
      </c>
      <c r="J411" t="s">
        <v>1045</v>
      </c>
      <c r="K411" t="s">
        <v>1155</v>
      </c>
    </row>
    <row r="412" spans="1:11" ht="14.65" hidden="1">
      <c r="A412" t="s">
        <v>693</v>
      </c>
      <c r="B412" t="s">
        <v>784</v>
      </c>
      <c r="C412" t="s">
        <v>783</v>
      </c>
      <c r="D412" t="s">
        <v>21</v>
      </c>
      <c r="E412" t="s">
        <v>22</v>
      </c>
      <c r="F412">
        <v>35</v>
      </c>
      <c r="G412" s="1">
        <v>46066.395833333336</v>
      </c>
      <c r="H412" s="2">
        <v>46003.541666666664</v>
      </c>
      <c r="I412" s="1">
        <v>45943</v>
      </c>
      <c r="J412" t="s">
        <v>1045</v>
      </c>
      <c r="K412" t="s">
        <v>1155</v>
      </c>
    </row>
    <row r="413" spans="1:11" ht="14.65" hidden="1">
      <c r="A413" s="3" t="s">
        <v>693</v>
      </c>
      <c r="B413" s="3" t="s">
        <v>712</v>
      </c>
      <c r="C413" s="3" t="s">
        <v>711</v>
      </c>
      <c r="D413" s="3" t="s">
        <v>16</v>
      </c>
      <c r="E413" s="3"/>
      <c r="F413" s="3"/>
      <c r="G413" s="4">
        <v>45735.4375</v>
      </c>
      <c r="H413" s="2">
        <v>45736.71875</v>
      </c>
      <c r="I413" s="1">
        <v>45737</v>
      </c>
      <c r="J413" t="s">
        <v>1045</v>
      </c>
      <c r="K413" t="s">
        <v>1048</v>
      </c>
    </row>
    <row r="414" spans="1:11" ht="14.65" hidden="1">
      <c r="A414" t="s">
        <v>693</v>
      </c>
      <c r="B414" t="s">
        <v>714</v>
      </c>
      <c r="C414" t="s">
        <v>713</v>
      </c>
      <c r="D414" t="s">
        <v>21</v>
      </c>
      <c r="E414" t="s">
        <v>22</v>
      </c>
      <c r="F414">
        <v>14</v>
      </c>
      <c r="G414" s="1">
        <v>46133.4375</v>
      </c>
      <c r="H414" s="2">
        <v>45925.729166666664</v>
      </c>
      <c r="I414" s="1">
        <v>45940</v>
      </c>
      <c r="J414" t="s">
        <v>1045</v>
      </c>
      <c r="K414" t="s">
        <v>1047</v>
      </c>
    </row>
    <row r="415" spans="1:11" ht="14.65" hidden="1">
      <c r="A415" t="s">
        <v>693</v>
      </c>
      <c r="B415" t="s">
        <v>716</v>
      </c>
      <c r="C415" t="s">
        <v>715</v>
      </c>
      <c r="D415" t="s">
        <v>21</v>
      </c>
      <c r="E415" t="s">
        <v>22</v>
      </c>
      <c r="F415">
        <v>31</v>
      </c>
      <c r="G415" s="1">
        <v>45944.375</v>
      </c>
      <c r="H415" s="2">
        <v>45944.520833333336</v>
      </c>
      <c r="I415" s="1">
        <v>45937</v>
      </c>
      <c r="J415" t="s">
        <v>1045</v>
      </c>
      <c r="K415" t="s">
        <v>1047</v>
      </c>
    </row>
    <row r="416" spans="1:11" ht="14.65" hidden="1">
      <c r="A416" t="s">
        <v>693</v>
      </c>
      <c r="B416" t="s">
        <v>700</v>
      </c>
      <c r="C416" t="s">
        <v>699</v>
      </c>
      <c r="D416" t="s">
        <v>21</v>
      </c>
      <c r="E416" t="s">
        <v>22</v>
      </c>
      <c r="F416">
        <v>6</v>
      </c>
      <c r="G416" s="1">
        <v>45972.583333333336</v>
      </c>
      <c r="H416" s="2">
        <v>45972.729166666664</v>
      </c>
      <c r="I416" s="1">
        <v>45943</v>
      </c>
      <c r="J416" t="s">
        <v>1045</v>
      </c>
      <c r="K416" t="s">
        <v>1047</v>
      </c>
    </row>
    <row r="417" spans="1:11" ht="14.65" hidden="1">
      <c r="A417" t="s">
        <v>693</v>
      </c>
      <c r="B417" t="s">
        <v>702</v>
      </c>
      <c r="C417" t="s">
        <v>701</v>
      </c>
      <c r="D417" t="s">
        <v>21</v>
      </c>
      <c r="E417" t="s">
        <v>22</v>
      </c>
      <c r="F417">
        <v>13</v>
      </c>
      <c r="G417" s="1">
        <v>46356.375</v>
      </c>
      <c r="H417" s="2">
        <v>45988.520833333336</v>
      </c>
      <c r="I417" s="1">
        <v>45939</v>
      </c>
      <c r="J417" t="s">
        <v>1045</v>
      </c>
      <c r="K417" t="s">
        <v>1047</v>
      </c>
    </row>
    <row r="418" spans="1:11" ht="14.65" hidden="1">
      <c r="A418" t="s">
        <v>693</v>
      </c>
      <c r="B418" t="s">
        <v>704</v>
      </c>
      <c r="C418" t="s">
        <v>703</v>
      </c>
      <c r="D418" t="s">
        <v>21</v>
      </c>
      <c r="E418" t="s">
        <v>22</v>
      </c>
      <c r="F418">
        <v>40</v>
      </c>
      <c r="G418" s="1">
        <v>46352.375</v>
      </c>
      <c r="H418" s="2">
        <v>45981.520833333336</v>
      </c>
      <c r="I418" s="1">
        <v>45940</v>
      </c>
      <c r="J418" t="s">
        <v>1045</v>
      </c>
      <c r="K418" t="s">
        <v>1047</v>
      </c>
    </row>
    <row r="419" spans="1:11" ht="14.65" hidden="1">
      <c r="A419" t="s">
        <v>693</v>
      </c>
      <c r="B419" t="s">
        <v>706</v>
      </c>
      <c r="C419" t="s">
        <v>705</v>
      </c>
      <c r="D419" t="s">
        <v>21</v>
      </c>
      <c r="E419" t="s">
        <v>22</v>
      </c>
      <c r="F419">
        <v>15</v>
      </c>
      <c r="G419" s="1">
        <v>46352.583333333336</v>
      </c>
      <c r="H419" s="2">
        <v>45987.520833333336</v>
      </c>
      <c r="I419" s="1">
        <v>45943</v>
      </c>
      <c r="J419" t="s">
        <v>1045</v>
      </c>
      <c r="K419" t="s">
        <v>1047</v>
      </c>
    </row>
    <row r="420" spans="1:11" ht="14.65" hidden="1">
      <c r="A420" t="s">
        <v>693</v>
      </c>
      <c r="B420" t="s">
        <v>708</v>
      </c>
      <c r="C420" t="s">
        <v>707</v>
      </c>
      <c r="D420" t="s">
        <v>21</v>
      </c>
      <c r="E420" t="s">
        <v>22</v>
      </c>
      <c r="F420">
        <v>24</v>
      </c>
      <c r="G420" s="1">
        <v>46133.395833333336</v>
      </c>
      <c r="H420" s="2">
        <v>45931.708333333336</v>
      </c>
      <c r="I420" s="1">
        <v>45945</v>
      </c>
      <c r="J420" t="s">
        <v>1045</v>
      </c>
      <c r="K420" t="s">
        <v>1047</v>
      </c>
    </row>
    <row r="421" spans="1:11" ht="14.65" hidden="1">
      <c r="A421" t="s">
        <v>693</v>
      </c>
      <c r="B421" t="s">
        <v>1193</v>
      </c>
      <c r="C421" t="s">
        <v>1194</v>
      </c>
      <c r="D421" t="s">
        <v>21</v>
      </c>
      <c r="E421" t="s">
        <v>22</v>
      </c>
      <c r="F421">
        <v>2</v>
      </c>
      <c r="G421" s="1">
        <v>46133.395833333336</v>
      </c>
      <c r="H421" s="2">
        <v>46133.645833333336</v>
      </c>
      <c r="I421" s="1">
        <v>46090</v>
      </c>
      <c r="J421" t="s">
        <v>1045</v>
      </c>
      <c r="K421" t="s">
        <v>1047</v>
      </c>
    </row>
    <row r="422" spans="1:11" ht="14.65" hidden="1">
      <c r="A422" t="s">
        <v>693</v>
      </c>
      <c r="B422" t="s">
        <v>710</v>
      </c>
      <c r="C422" t="s">
        <v>709</v>
      </c>
      <c r="D422" t="s">
        <v>21</v>
      </c>
      <c r="E422" t="s">
        <v>22</v>
      </c>
      <c r="F422">
        <v>34</v>
      </c>
      <c r="G422" s="1">
        <v>46128.375</v>
      </c>
      <c r="H422" s="2">
        <v>45986.520833333336</v>
      </c>
      <c r="I422" s="1">
        <v>45943</v>
      </c>
      <c r="J422" t="s">
        <v>1045</v>
      </c>
      <c r="K422" t="s">
        <v>1047</v>
      </c>
    </row>
    <row r="423" spans="1:11" ht="14.65" hidden="1">
      <c r="A423" t="s">
        <v>693</v>
      </c>
      <c r="B423" t="s">
        <v>718</v>
      </c>
      <c r="C423" t="s">
        <v>717</v>
      </c>
      <c r="D423" t="s">
        <v>21</v>
      </c>
      <c r="E423" t="s">
        <v>22</v>
      </c>
      <c r="F423">
        <v>30</v>
      </c>
      <c r="G423" s="1">
        <v>46177.375</v>
      </c>
      <c r="H423" s="2">
        <v>45981.708333333336</v>
      </c>
      <c r="I423" s="1">
        <v>45944</v>
      </c>
      <c r="J423" t="s">
        <v>1045</v>
      </c>
      <c r="K423" t="s">
        <v>1047</v>
      </c>
    </row>
    <row r="424" spans="1:11" ht="14.65" hidden="1">
      <c r="A424" t="s">
        <v>693</v>
      </c>
      <c r="B424" t="s">
        <v>720</v>
      </c>
      <c r="C424" t="s">
        <v>719</v>
      </c>
      <c r="D424" t="s">
        <v>21</v>
      </c>
      <c r="E424" t="s">
        <v>22</v>
      </c>
      <c r="F424">
        <v>27</v>
      </c>
      <c r="G424" s="1">
        <v>46049.375</v>
      </c>
      <c r="H424" s="2">
        <v>45972.729166666664</v>
      </c>
      <c r="I424" s="1">
        <v>45944</v>
      </c>
      <c r="J424" t="s">
        <v>1045</v>
      </c>
      <c r="K424" t="s">
        <v>1047</v>
      </c>
    </row>
    <row r="425" spans="1:11" ht="14.65" hidden="1">
      <c r="A425" t="s">
        <v>693</v>
      </c>
      <c r="B425" t="s">
        <v>722</v>
      </c>
      <c r="C425" t="s">
        <v>721</v>
      </c>
      <c r="D425" t="s">
        <v>21</v>
      </c>
      <c r="E425" t="s">
        <v>22</v>
      </c>
      <c r="F425">
        <v>50</v>
      </c>
      <c r="G425" s="1">
        <v>46190.375</v>
      </c>
      <c r="H425" s="2">
        <v>45973.708333333336</v>
      </c>
      <c r="I425" s="1">
        <v>45944</v>
      </c>
      <c r="J425" t="s">
        <v>1045</v>
      </c>
      <c r="K425" t="s">
        <v>1047</v>
      </c>
    </row>
    <row r="426" spans="1:11" ht="14.65" hidden="1">
      <c r="A426" t="s">
        <v>693</v>
      </c>
      <c r="B426" t="s">
        <v>724</v>
      </c>
      <c r="C426" t="s">
        <v>723</v>
      </c>
      <c r="D426" t="s">
        <v>21</v>
      </c>
      <c r="E426" t="s">
        <v>22</v>
      </c>
      <c r="F426">
        <v>39</v>
      </c>
      <c r="G426" s="1">
        <v>46176.375</v>
      </c>
      <c r="H426" s="2">
        <v>45979.708333333336</v>
      </c>
      <c r="I426" s="1">
        <v>45944</v>
      </c>
      <c r="J426" t="s">
        <v>1045</v>
      </c>
      <c r="K426" t="s">
        <v>1047</v>
      </c>
    </row>
    <row r="427" spans="1:11" ht="14.65" hidden="1">
      <c r="A427" t="s">
        <v>693</v>
      </c>
      <c r="B427" t="s">
        <v>726</v>
      </c>
      <c r="C427" t="s">
        <v>725</v>
      </c>
      <c r="D427" t="s">
        <v>21</v>
      </c>
      <c r="E427" t="s">
        <v>22</v>
      </c>
      <c r="F427">
        <v>113</v>
      </c>
      <c r="G427" s="1">
        <v>46093.416666666664</v>
      </c>
      <c r="H427" s="2">
        <v>46001.666666666664</v>
      </c>
      <c r="I427" s="1">
        <v>45945</v>
      </c>
      <c r="J427" t="s">
        <v>1045</v>
      </c>
      <c r="K427" t="s">
        <v>1155</v>
      </c>
    </row>
    <row r="428" spans="1:11" ht="14.65" hidden="1">
      <c r="A428" t="s">
        <v>693</v>
      </c>
      <c r="B428" t="s">
        <v>728</v>
      </c>
      <c r="C428" t="s">
        <v>727</v>
      </c>
      <c r="D428" t="s">
        <v>21</v>
      </c>
      <c r="E428" t="s">
        <v>22</v>
      </c>
      <c r="F428">
        <v>76</v>
      </c>
      <c r="G428" s="1">
        <v>46181.604166666664</v>
      </c>
      <c r="H428" s="2">
        <v>46000.5</v>
      </c>
      <c r="I428" s="1">
        <v>45940</v>
      </c>
      <c r="J428" t="s">
        <v>1045</v>
      </c>
      <c r="K428" t="s">
        <v>1155</v>
      </c>
    </row>
    <row r="429" spans="1:11" ht="14.65" hidden="1">
      <c r="A429" t="s">
        <v>693</v>
      </c>
      <c r="B429" t="s">
        <v>730</v>
      </c>
      <c r="C429" t="s">
        <v>729</v>
      </c>
      <c r="D429" t="s">
        <v>21</v>
      </c>
      <c r="E429" t="s">
        <v>22</v>
      </c>
      <c r="F429">
        <v>19</v>
      </c>
      <c r="G429" s="1">
        <v>46107.385416666664</v>
      </c>
      <c r="H429" s="2">
        <v>45953.708333333336</v>
      </c>
      <c r="I429" s="1">
        <v>45945</v>
      </c>
      <c r="J429" t="s">
        <v>1045</v>
      </c>
      <c r="K429" t="s">
        <v>1155</v>
      </c>
    </row>
    <row r="430" spans="1:11" ht="14.65" hidden="1">
      <c r="A430" t="s">
        <v>693</v>
      </c>
      <c r="B430" t="s">
        <v>732</v>
      </c>
      <c r="C430" t="s">
        <v>731</v>
      </c>
      <c r="D430" t="s">
        <v>21</v>
      </c>
      <c r="E430" t="s">
        <v>22</v>
      </c>
      <c r="F430">
        <v>90</v>
      </c>
      <c r="G430" s="1">
        <v>46198.385416666664</v>
      </c>
      <c r="H430" s="2">
        <v>45937.708333333336</v>
      </c>
      <c r="I430" s="1">
        <v>45944</v>
      </c>
      <c r="J430" t="s">
        <v>1045</v>
      </c>
      <c r="K430" t="s">
        <v>1155</v>
      </c>
    </row>
    <row r="431" spans="1:11" ht="14.65" hidden="1">
      <c r="A431" t="s">
        <v>693</v>
      </c>
      <c r="B431" t="s">
        <v>734</v>
      </c>
      <c r="C431" t="s">
        <v>733</v>
      </c>
      <c r="D431" t="s">
        <v>21</v>
      </c>
      <c r="E431" t="s">
        <v>22</v>
      </c>
      <c r="F431">
        <v>85</v>
      </c>
      <c r="G431" s="1">
        <v>46163.385416666664</v>
      </c>
      <c r="H431" s="2">
        <v>45986.708333333336</v>
      </c>
      <c r="I431" s="1">
        <v>45944</v>
      </c>
      <c r="J431" t="s">
        <v>1045</v>
      </c>
      <c r="K431" t="s">
        <v>1155</v>
      </c>
    </row>
    <row r="432" spans="1:11" ht="14.65" hidden="1">
      <c r="A432" t="s">
        <v>693</v>
      </c>
      <c r="B432" t="s">
        <v>736</v>
      </c>
      <c r="C432" t="s">
        <v>735</v>
      </c>
      <c r="D432" t="s">
        <v>21</v>
      </c>
      <c r="E432" t="s">
        <v>22</v>
      </c>
      <c r="F432">
        <v>9</v>
      </c>
      <c r="G432" s="1">
        <v>46106.583333333336</v>
      </c>
      <c r="H432" s="2">
        <v>46009.458333333336</v>
      </c>
      <c r="I432" s="1">
        <v>45945</v>
      </c>
      <c r="J432" t="s">
        <v>1045</v>
      </c>
      <c r="K432" t="s">
        <v>1155</v>
      </c>
    </row>
    <row r="433" spans="1:11" ht="14.65" hidden="1">
      <c r="A433" t="s">
        <v>693</v>
      </c>
      <c r="B433" t="s">
        <v>738</v>
      </c>
      <c r="C433" t="s">
        <v>737</v>
      </c>
      <c r="D433" t="s">
        <v>21</v>
      </c>
      <c r="E433" t="s">
        <v>22</v>
      </c>
      <c r="F433">
        <v>35</v>
      </c>
      <c r="G433" s="1">
        <v>46105.416666666664</v>
      </c>
      <c r="H433" s="2">
        <v>46008.5</v>
      </c>
      <c r="I433" s="1">
        <v>45944</v>
      </c>
      <c r="J433" t="s">
        <v>1045</v>
      </c>
      <c r="K433" t="s">
        <v>1155</v>
      </c>
    </row>
    <row r="434" spans="1:11" ht="14.65" hidden="1">
      <c r="A434" t="s">
        <v>693</v>
      </c>
      <c r="B434" t="s">
        <v>740</v>
      </c>
      <c r="C434" t="s">
        <v>739</v>
      </c>
      <c r="D434" t="s">
        <v>21</v>
      </c>
      <c r="E434" t="s">
        <v>22</v>
      </c>
      <c r="F434">
        <v>20</v>
      </c>
      <c r="G434" s="1">
        <v>46098.416666666664</v>
      </c>
      <c r="H434" s="2">
        <v>46009.625</v>
      </c>
      <c r="I434" s="1">
        <v>45943</v>
      </c>
      <c r="J434" t="s">
        <v>1045</v>
      </c>
      <c r="K434" t="s">
        <v>1155</v>
      </c>
    </row>
    <row r="435" spans="1:11" ht="14.65" hidden="1">
      <c r="A435" t="s">
        <v>693</v>
      </c>
      <c r="B435" t="s">
        <v>742</v>
      </c>
      <c r="C435" t="s">
        <v>741</v>
      </c>
      <c r="D435" t="s">
        <v>21</v>
      </c>
      <c r="E435" t="s">
        <v>25</v>
      </c>
      <c r="G435" s="1">
        <v>46364.395833333336</v>
      </c>
      <c r="H435" s="2">
        <v>46364.666666666664</v>
      </c>
      <c r="I435" s="1">
        <v>46055</v>
      </c>
      <c r="J435" t="s">
        <v>1045</v>
      </c>
      <c r="K435" t="s">
        <v>1155</v>
      </c>
    </row>
    <row r="436" spans="1:11" ht="14.65" hidden="1">
      <c r="A436" t="s">
        <v>693</v>
      </c>
      <c r="B436" t="s">
        <v>744</v>
      </c>
      <c r="C436" t="s">
        <v>743</v>
      </c>
      <c r="D436" t="s">
        <v>21</v>
      </c>
      <c r="E436" t="s">
        <v>25</v>
      </c>
      <c r="G436" s="1">
        <v>46357.416666666664</v>
      </c>
      <c r="H436" s="2">
        <v>46357.5</v>
      </c>
      <c r="I436" s="1">
        <v>46055</v>
      </c>
      <c r="J436" t="s">
        <v>1045</v>
      </c>
      <c r="K436" t="s">
        <v>1155</v>
      </c>
    </row>
    <row r="437" spans="1:11" ht="14.65" hidden="1">
      <c r="A437" s="3" t="s">
        <v>693</v>
      </c>
      <c r="B437" s="3" t="s">
        <v>1195</v>
      </c>
      <c r="C437" s="3" t="s">
        <v>745</v>
      </c>
      <c r="D437" s="3" t="s">
        <v>21</v>
      </c>
      <c r="E437" s="3" t="s">
        <v>25</v>
      </c>
      <c r="F437" s="3"/>
      <c r="G437" s="4">
        <v>45826.333333333336</v>
      </c>
      <c r="H437" s="2">
        <v>47298.333333333336</v>
      </c>
      <c r="I437" t="s">
        <v>198</v>
      </c>
      <c r="J437" t="s">
        <v>1045</v>
      </c>
      <c r="K437" t="s">
        <v>1048</v>
      </c>
    </row>
    <row r="438" spans="1:11" ht="14.65" hidden="1">
      <c r="A438" t="s">
        <v>693</v>
      </c>
      <c r="B438" t="s">
        <v>748</v>
      </c>
      <c r="C438" t="s">
        <v>747</v>
      </c>
      <c r="D438" t="s">
        <v>21</v>
      </c>
      <c r="E438" t="s">
        <v>25</v>
      </c>
      <c r="G438" s="1"/>
      <c r="I438" s="1">
        <v>45944</v>
      </c>
      <c r="J438" t="s">
        <v>1045</v>
      </c>
      <c r="K438" t="s">
        <v>1155</v>
      </c>
    </row>
    <row r="439" spans="1:11" ht="14.65" hidden="1">
      <c r="A439" t="s">
        <v>693</v>
      </c>
      <c r="B439" t="s">
        <v>752</v>
      </c>
      <c r="C439" t="s">
        <v>751</v>
      </c>
      <c r="D439" t="s">
        <v>21</v>
      </c>
      <c r="E439" t="s">
        <v>22</v>
      </c>
      <c r="F439">
        <v>18</v>
      </c>
      <c r="G439" s="1">
        <v>46091.583333333336</v>
      </c>
      <c r="H439" s="2">
        <v>45974.666666666664</v>
      </c>
      <c r="I439" s="1">
        <v>45945</v>
      </c>
      <c r="J439" t="s">
        <v>1045</v>
      </c>
      <c r="K439" t="s">
        <v>1155</v>
      </c>
    </row>
    <row r="440" spans="1:11" ht="14.65" hidden="1">
      <c r="A440" t="s">
        <v>693</v>
      </c>
      <c r="B440" t="s">
        <v>750</v>
      </c>
      <c r="C440" t="s">
        <v>749</v>
      </c>
      <c r="D440" t="s">
        <v>21</v>
      </c>
      <c r="E440" t="s">
        <v>22</v>
      </c>
      <c r="F440">
        <v>72</v>
      </c>
      <c r="G440" s="1">
        <v>46108.395833333336</v>
      </c>
      <c r="H440" s="2">
        <v>46008.5</v>
      </c>
      <c r="I440" s="1">
        <v>45945</v>
      </c>
      <c r="J440" t="s">
        <v>1045</v>
      </c>
      <c r="K440" t="s">
        <v>1155</v>
      </c>
    </row>
    <row r="441" spans="1:11" ht="14.65" hidden="1">
      <c r="A441" t="s">
        <v>693</v>
      </c>
      <c r="B441" t="s">
        <v>754</v>
      </c>
      <c r="C441" t="s">
        <v>753</v>
      </c>
      <c r="D441" t="s">
        <v>21</v>
      </c>
      <c r="E441" t="s">
        <v>22</v>
      </c>
      <c r="F441">
        <v>5</v>
      </c>
      <c r="G441" s="1">
        <v>46098.583333333336</v>
      </c>
      <c r="H441" s="2">
        <v>46000.5</v>
      </c>
      <c r="I441" s="1">
        <v>45940</v>
      </c>
      <c r="J441" t="s">
        <v>1045</v>
      </c>
      <c r="K441" t="s">
        <v>1155</v>
      </c>
    </row>
    <row r="442" spans="1:11" ht="14.65" hidden="1">
      <c r="A442" s="3" t="s">
        <v>693</v>
      </c>
      <c r="B442" s="3" t="s">
        <v>756</v>
      </c>
      <c r="C442" s="3" t="s">
        <v>755</v>
      </c>
      <c r="D442" s="3" t="s">
        <v>16</v>
      </c>
      <c r="E442" s="3"/>
      <c r="F442" s="3"/>
      <c r="G442" s="4">
        <v>45930.583333333336</v>
      </c>
      <c r="H442" s="2">
        <v>45930.666666666664</v>
      </c>
      <c r="I442" s="1">
        <v>45943</v>
      </c>
      <c r="J442" t="s">
        <v>1045</v>
      </c>
      <c r="K442" t="s">
        <v>1048</v>
      </c>
    </row>
    <row r="443" spans="1:11" ht="14.65" hidden="1">
      <c r="A443" t="s">
        <v>693</v>
      </c>
      <c r="B443" t="s">
        <v>758</v>
      </c>
      <c r="C443" t="s">
        <v>757</v>
      </c>
      <c r="D443" t="s">
        <v>21</v>
      </c>
      <c r="E443" t="s">
        <v>22</v>
      </c>
      <c r="F443">
        <v>231</v>
      </c>
      <c r="G443" s="1">
        <v>46184.385416666664</v>
      </c>
      <c r="H443" s="2">
        <v>45981.708333333336</v>
      </c>
      <c r="I443" s="1">
        <v>45945</v>
      </c>
      <c r="J443" t="s">
        <v>1045</v>
      </c>
      <c r="K443" t="s">
        <v>1155</v>
      </c>
    </row>
    <row r="444" spans="1:11" ht="14.65" hidden="1">
      <c r="A444" t="s">
        <v>693</v>
      </c>
      <c r="B444" t="s">
        <v>766</v>
      </c>
      <c r="C444" t="s">
        <v>765</v>
      </c>
      <c r="D444" t="s">
        <v>21</v>
      </c>
      <c r="E444" t="s">
        <v>22</v>
      </c>
      <c r="F444">
        <v>44</v>
      </c>
      <c r="G444" s="1">
        <v>46108.395833333336</v>
      </c>
      <c r="H444" s="2">
        <v>46010.5</v>
      </c>
      <c r="I444" s="1">
        <v>45943</v>
      </c>
      <c r="J444" t="s">
        <v>1045</v>
      </c>
      <c r="K444" t="s">
        <v>1155</v>
      </c>
    </row>
    <row r="445" spans="1:11" ht="14.65" hidden="1">
      <c r="A445" t="s">
        <v>693</v>
      </c>
      <c r="B445" t="s">
        <v>762</v>
      </c>
      <c r="C445" t="s">
        <v>761</v>
      </c>
      <c r="D445" t="s">
        <v>21</v>
      </c>
      <c r="E445" t="s">
        <v>22</v>
      </c>
      <c r="F445">
        <v>1</v>
      </c>
      <c r="G445" s="1">
        <v>46107.395833333336</v>
      </c>
      <c r="H445" s="2">
        <v>46009.479166666664</v>
      </c>
      <c r="I445" s="1">
        <v>45944</v>
      </c>
      <c r="J445" t="s">
        <v>1045</v>
      </c>
      <c r="K445" t="s">
        <v>1155</v>
      </c>
    </row>
    <row r="446" spans="1:11" ht="14.65" hidden="1">
      <c r="A446" t="s">
        <v>693</v>
      </c>
      <c r="B446" t="s">
        <v>764</v>
      </c>
      <c r="C446" t="s">
        <v>763</v>
      </c>
      <c r="D446" t="s">
        <v>21</v>
      </c>
      <c r="E446" t="s">
        <v>22</v>
      </c>
      <c r="F446">
        <v>0</v>
      </c>
      <c r="G446" s="1">
        <v>46106.375</v>
      </c>
      <c r="H446" s="2">
        <v>46008.5</v>
      </c>
      <c r="I446" s="1">
        <v>45945</v>
      </c>
      <c r="J446" t="s">
        <v>1045</v>
      </c>
      <c r="K446" t="s">
        <v>1155</v>
      </c>
    </row>
    <row r="447" spans="1:11" ht="14.65" hidden="1">
      <c r="A447" t="s">
        <v>693</v>
      </c>
      <c r="B447" t="s">
        <v>760</v>
      </c>
      <c r="C447" t="s">
        <v>759</v>
      </c>
      <c r="D447" t="s">
        <v>21</v>
      </c>
      <c r="E447" t="s">
        <v>22</v>
      </c>
      <c r="F447">
        <v>27</v>
      </c>
      <c r="G447" s="1">
        <v>45925.375</v>
      </c>
      <c r="H447" s="2">
        <v>45925.53125</v>
      </c>
      <c r="I447" s="1">
        <v>45925</v>
      </c>
      <c r="J447" t="s">
        <v>1045</v>
      </c>
      <c r="K447" t="s">
        <v>1155</v>
      </c>
    </row>
    <row r="448" spans="1:11" ht="14.65" hidden="1">
      <c r="A448" t="s">
        <v>693</v>
      </c>
      <c r="B448" t="s">
        <v>768</v>
      </c>
      <c r="C448" t="s">
        <v>767</v>
      </c>
      <c r="D448" t="s">
        <v>21</v>
      </c>
      <c r="E448" t="s">
        <v>22</v>
      </c>
      <c r="F448">
        <v>90</v>
      </c>
      <c r="G448" s="1">
        <v>46182.583333333336</v>
      </c>
      <c r="H448" s="2">
        <v>46000.6875</v>
      </c>
      <c r="I448" s="1">
        <v>45944</v>
      </c>
      <c r="J448" t="s">
        <v>1045</v>
      </c>
      <c r="K448" t="s">
        <v>1155</v>
      </c>
    </row>
    <row r="449" spans="1:11" ht="14.65" hidden="1">
      <c r="A449" t="s">
        <v>693</v>
      </c>
      <c r="B449" t="s">
        <v>770</v>
      </c>
      <c r="C449" t="s">
        <v>769</v>
      </c>
      <c r="D449" t="s">
        <v>21</v>
      </c>
      <c r="E449" t="s">
        <v>22</v>
      </c>
      <c r="F449">
        <v>18</v>
      </c>
      <c r="G449" s="1">
        <v>45959.375</v>
      </c>
      <c r="H449" s="2">
        <v>45959.5</v>
      </c>
      <c r="I449" s="1">
        <v>45944</v>
      </c>
      <c r="J449" t="s">
        <v>1045</v>
      </c>
      <c r="K449" t="s">
        <v>1047</v>
      </c>
    </row>
    <row r="450" spans="1:11" ht="14.65" hidden="1">
      <c r="A450" t="s">
        <v>693</v>
      </c>
      <c r="B450" t="s">
        <v>772</v>
      </c>
      <c r="C450" t="s">
        <v>771</v>
      </c>
      <c r="D450" t="s">
        <v>21</v>
      </c>
      <c r="E450" t="s">
        <v>22</v>
      </c>
      <c r="F450">
        <v>19</v>
      </c>
      <c r="G450" s="1">
        <v>45986.375</v>
      </c>
      <c r="H450" s="2">
        <v>45986.729166666664</v>
      </c>
      <c r="I450" s="1">
        <v>45943</v>
      </c>
      <c r="J450" t="s">
        <v>1045</v>
      </c>
      <c r="K450" t="s">
        <v>1047</v>
      </c>
    </row>
    <row r="451" spans="1:11" ht="14.65" hidden="1">
      <c r="A451" t="s">
        <v>786</v>
      </c>
      <c r="B451" t="s">
        <v>787</v>
      </c>
      <c r="C451" t="s">
        <v>785</v>
      </c>
      <c r="D451" t="s">
        <v>16</v>
      </c>
      <c r="G451" s="1" t="s">
        <v>17</v>
      </c>
      <c r="I451" s="1">
        <v>45943</v>
      </c>
      <c r="J451" t="s">
        <v>1045</v>
      </c>
      <c r="K451" t="s">
        <v>1047</v>
      </c>
    </row>
    <row r="452" spans="1:11" ht="14.65" hidden="1">
      <c r="A452" t="s">
        <v>786</v>
      </c>
      <c r="B452" t="s">
        <v>791</v>
      </c>
      <c r="C452" t="s">
        <v>790</v>
      </c>
      <c r="D452" t="s">
        <v>16</v>
      </c>
      <c r="G452" s="1" t="s">
        <v>17</v>
      </c>
      <c r="I452" s="1">
        <v>45940</v>
      </c>
      <c r="J452" t="s">
        <v>1045</v>
      </c>
      <c r="K452" t="s">
        <v>1047</v>
      </c>
    </row>
    <row r="453" spans="1:11" ht="14.65" hidden="1">
      <c r="A453" t="s">
        <v>786</v>
      </c>
      <c r="B453" t="s">
        <v>789</v>
      </c>
      <c r="C453" t="s">
        <v>788</v>
      </c>
      <c r="D453" t="s">
        <v>16</v>
      </c>
      <c r="G453" s="1" t="s">
        <v>17</v>
      </c>
      <c r="I453" s="1">
        <v>45944</v>
      </c>
      <c r="J453" t="s">
        <v>1045</v>
      </c>
      <c r="K453" t="s">
        <v>1047</v>
      </c>
    </row>
    <row r="454" spans="1:11" ht="14.65" hidden="1">
      <c r="A454" t="s">
        <v>786</v>
      </c>
      <c r="B454" t="s">
        <v>793</v>
      </c>
      <c r="C454" t="s">
        <v>792</v>
      </c>
      <c r="D454" t="s">
        <v>16</v>
      </c>
      <c r="G454" s="1" t="s">
        <v>17</v>
      </c>
      <c r="I454" s="1">
        <v>45945</v>
      </c>
      <c r="J454" t="s">
        <v>1045</v>
      </c>
      <c r="K454" t="s">
        <v>1047</v>
      </c>
    </row>
    <row r="455" spans="1:11" ht="14.65" hidden="1">
      <c r="A455" t="s">
        <v>786</v>
      </c>
      <c r="B455" t="s">
        <v>795</v>
      </c>
      <c r="C455" t="s">
        <v>794</v>
      </c>
      <c r="D455" t="s">
        <v>16</v>
      </c>
      <c r="G455" s="1" t="s">
        <v>17</v>
      </c>
      <c r="I455" s="1">
        <v>45943</v>
      </c>
      <c r="J455" t="s">
        <v>1045</v>
      </c>
      <c r="K455" t="s">
        <v>1047</v>
      </c>
    </row>
    <row r="456" spans="1:11" ht="14.65" hidden="1">
      <c r="A456" t="s">
        <v>786</v>
      </c>
      <c r="B456" t="s">
        <v>797</v>
      </c>
      <c r="C456" t="s">
        <v>796</v>
      </c>
      <c r="D456" t="s">
        <v>16</v>
      </c>
      <c r="G456" s="1" t="s">
        <v>17</v>
      </c>
      <c r="I456" s="1">
        <v>45944</v>
      </c>
      <c r="J456" t="s">
        <v>1045</v>
      </c>
      <c r="K456" t="s">
        <v>1047</v>
      </c>
    </row>
    <row r="457" spans="1:11" ht="14.65" hidden="1">
      <c r="A457" t="s">
        <v>786</v>
      </c>
      <c r="B457" t="s">
        <v>799</v>
      </c>
      <c r="C457" t="s">
        <v>798</v>
      </c>
      <c r="D457" t="s">
        <v>16</v>
      </c>
      <c r="G457" s="1" t="s">
        <v>17</v>
      </c>
      <c r="I457" s="1">
        <v>45943</v>
      </c>
      <c r="J457" t="s">
        <v>1045</v>
      </c>
      <c r="K457" t="s">
        <v>1047</v>
      </c>
    </row>
    <row r="458" spans="1:11" ht="14.65" hidden="1">
      <c r="A458" t="s">
        <v>786</v>
      </c>
      <c r="B458" t="s">
        <v>801</v>
      </c>
      <c r="C458" t="s">
        <v>800</v>
      </c>
      <c r="D458" t="s">
        <v>16</v>
      </c>
      <c r="G458" s="1" t="s">
        <v>17</v>
      </c>
      <c r="I458" s="1">
        <v>45942</v>
      </c>
      <c r="J458" t="s">
        <v>1045</v>
      </c>
      <c r="K458" t="s">
        <v>1047</v>
      </c>
    </row>
    <row r="459" spans="1:11" ht="14.65" hidden="1">
      <c r="A459" t="s">
        <v>786</v>
      </c>
      <c r="B459" t="s">
        <v>803</v>
      </c>
      <c r="C459" t="s">
        <v>802</v>
      </c>
      <c r="D459" t="s">
        <v>16</v>
      </c>
      <c r="G459" s="1" t="s">
        <v>17</v>
      </c>
      <c r="I459" s="1">
        <v>45944</v>
      </c>
      <c r="J459" t="s">
        <v>1045</v>
      </c>
      <c r="K459" t="s">
        <v>1047</v>
      </c>
    </row>
    <row r="460" spans="1:11" ht="14.65" hidden="1">
      <c r="A460" t="s">
        <v>786</v>
      </c>
      <c r="B460" t="s">
        <v>805</v>
      </c>
      <c r="C460" t="s">
        <v>804</v>
      </c>
      <c r="D460" t="s">
        <v>16</v>
      </c>
      <c r="G460" s="1" t="s">
        <v>17</v>
      </c>
      <c r="I460" s="1">
        <v>45944</v>
      </c>
      <c r="J460" t="s">
        <v>1045</v>
      </c>
      <c r="K460" t="s">
        <v>1047</v>
      </c>
    </row>
    <row r="461" spans="1:11" ht="14.65" hidden="1">
      <c r="A461" t="s">
        <v>786</v>
      </c>
      <c r="B461" t="s">
        <v>807</v>
      </c>
      <c r="C461" t="s">
        <v>806</v>
      </c>
      <c r="D461" t="s">
        <v>16</v>
      </c>
      <c r="G461" s="1" t="s">
        <v>17</v>
      </c>
      <c r="I461" s="1">
        <v>45943</v>
      </c>
      <c r="J461" t="s">
        <v>1045</v>
      </c>
      <c r="K461" t="s">
        <v>1047</v>
      </c>
    </row>
    <row r="462" spans="1:11" ht="14.65">
      <c r="A462" t="s">
        <v>1196</v>
      </c>
      <c r="B462" t="s">
        <v>1197</v>
      </c>
      <c r="G462" s="1"/>
      <c r="H462" s="2"/>
      <c r="I462" s="1"/>
      <c r="J462" t="s">
        <v>22</v>
      </c>
      <c r="K462" s="16" t="s">
        <v>1198</v>
      </c>
    </row>
    <row r="463" spans="1:11" ht="14.65">
      <c r="A463" t="s">
        <v>809</v>
      </c>
      <c r="B463" t="s">
        <v>810</v>
      </c>
      <c r="C463" t="s">
        <v>808</v>
      </c>
      <c r="D463" t="s">
        <v>21</v>
      </c>
      <c r="E463" t="s">
        <v>22</v>
      </c>
      <c r="F463">
        <v>41</v>
      </c>
      <c r="G463" s="1">
        <v>46356.520833333336</v>
      </c>
      <c r="H463" s="2">
        <v>46001.583333333336</v>
      </c>
      <c r="I463" s="1">
        <v>45945</v>
      </c>
      <c r="J463" t="s">
        <v>22</v>
      </c>
      <c r="K463" t="s">
        <v>1047</v>
      </c>
    </row>
    <row r="464" spans="1:11" ht="14.65">
      <c r="A464" t="s">
        <v>809</v>
      </c>
      <c r="B464" t="s">
        <v>812</v>
      </c>
      <c r="C464" t="s">
        <v>811</v>
      </c>
      <c r="D464" t="s">
        <v>21</v>
      </c>
      <c r="E464" t="s">
        <v>22</v>
      </c>
      <c r="F464">
        <v>17</v>
      </c>
      <c r="G464" s="1">
        <v>46363.520833333336</v>
      </c>
      <c r="H464" s="2">
        <v>45945.583333333336</v>
      </c>
      <c r="I464" s="1">
        <v>45933</v>
      </c>
      <c r="J464" t="s">
        <v>22</v>
      </c>
      <c r="K464" t="s">
        <v>1047</v>
      </c>
    </row>
    <row r="465" spans="1:11" ht="14.65">
      <c r="A465" t="s">
        <v>809</v>
      </c>
      <c r="B465" t="s">
        <v>814</v>
      </c>
      <c r="C465" t="s">
        <v>813</v>
      </c>
      <c r="D465" t="s">
        <v>21</v>
      </c>
      <c r="E465" t="s">
        <v>22</v>
      </c>
      <c r="F465">
        <v>9</v>
      </c>
      <c r="G465" s="1">
        <v>46349.520833333336</v>
      </c>
      <c r="H465" s="2">
        <v>45987.583333333336</v>
      </c>
      <c r="I465" s="1">
        <v>45943</v>
      </c>
      <c r="J465" t="s">
        <v>22</v>
      </c>
      <c r="K465" t="s">
        <v>1047</v>
      </c>
    </row>
    <row r="466" spans="1:11" ht="14.65">
      <c r="A466" t="s">
        <v>809</v>
      </c>
      <c r="B466" t="s">
        <v>816</v>
      </c>
      <c r="C466" t="s">
        <v>815</v>
      </c>
      <c r="D466" t="s">
        <v>21</v>
      </c>
      <c r="E466" t="s">
        <v>22</v>
      </c>
      <c r="F466">
        <v>20</v>
      </c>
      <c r="G466" s="1">
        <v>46314.520833333336</v>
      </c>
      <c r="H466" s="2">
        <v>45910.583333333336</v>
      </c>
      <c r="I466" s="1">
        <v>45943</v>
      </c>
      <c r="J466" t="s">
        <v>22</v>
      </c>
      <c r="K466" t="s">
        <v>1047</v>
      </c>
    </row>
    <row r="467" spans="1:11" ht="14.65">
      <c r="A467" t="s">
        <v>809</v>
      </c>
      <c r="B467" t="s">
        <v>818</v>
      </c>
      <c r="C467" t="s">
        <v>817</v>
      </c>
      <c r="D467" t="s">
        <v>21</v>
      </c>
      <c r="E467" t="s">
        <v>22</v>
      </c>
      <c r="F467">
        <v>2</v>
      </c>
      <c r="G467" s="1">
        <v>45670.520833333336</v>
      </c>
      <c r="H467" s="2">
        <v>45672.583333333336</v>
      </c>
      <c r="I467" s="1">
        <v>45799</v>
      </c>
      <c r="J467" t="s">
        <v>22</v>
      </c>
      <c r="K467" t="s">
        <v>1047</v>
      </c>
    </row>
    <row r="468" spans="1:11" ht="14.65">
      <c r="A468" t="s">
        <v>809</v>
      </c>
      <c r="B468" t="s">
        <v>820</v>
      </c>
      <c r="C468" t="s">
        <v>819</v>
      </c>
      <c r="D468" t="s">
        <v>21</v>
      </c>
      <c r="E468" t="s">
        <v>22</v>
      </c>
      <c r="F468">
        <v>6</v>
      </c>
      <c r="G468" s="1">
        <v>46202.520833333336</v>
      </c>
      <c r="H468" s="2">
        <v>45721.583333333336</v>
      </c>
      <c r="I468" s="1">
        <v>45897</v>
      </c>
      <c r="J468" t="s">
        <v>22</v>
      </c>
      <c r="K468" t="s">
        <v>1047</v>
      </c>
    </row>
    <row r="469" spans="1:11" ht="14.65">
      <c r="A469" t="s">
        <v>809</v>
      </c>
      <c r="B469" t="s">
        <v>822</v>
      </c>
      <c r="C469" t="s">
        <v>821</v>
      </c>
      <c r="D469" t="s">
        <v>21</v>
      </c>
      <c r="E469" t="s">
        <v>25</v>
      </c>
      <c r="G469" s="1">
        <v>46300.520833333336</v>
      </c>
      <c r="H469" s="2">
        <v>45973.583333333336</v>
      </c>
      <c r="I469" s="1">
        <v>45944</v>
      </c>
      <c r="J469" t="s">
        <v>22</v>
      </c>
      <c r="K469" t="s">
        <v>1047</v>
      </c>
    </row>
    <row r="470" spans="1:11" ht="14.65">
      <c r="A470" t="s">
        <v>809</v>
      </c>
      <c r="B470" t="s">
        <v>824</v>
      </c>
      <c r="C470" t="s">
        <v>823</v>
      </c>
      <c r="D470" t="s">
        <v>21</v>
      </c>
      <c r="E470" t="s">
        <v>25</v>
      </c>
      <c r="G470" s="1">
        <v>46321.520833333336</v>
      </c>
      <c r="H470" s="2">
        <v>45917.583333333336</v>
      </c>
      <c r="I470" s="1">
        <v>45799</v>
      </c>
      <c r="J470" t="s">
        <v>22</v>
      </c>
      <c r="K470" t="s">
        <v>1047</v>
      </c>
    </row>
    <row r="471" spans="1:11" ht="14.65">
      <c r="A471" t="s">
        <v>809</v>
      </c>
      <c r="B471" t="s">
        <v>826</v>
      </c>
      <c r="C471" t="s">
        <v>825</v>
      </c>
      <c r="D471" t="s">
        <v>21</v>
      </c>
      <c r="E471" t="s">
        <v>22</v>
      </c>
      <c r="F471">
        <v>3</v>
      </c>
      <c r="G471" s="1">
        <v>46218.520833333336</v>
      </c>
      <c r="H471" s="2">
        <v>45805.583333333336</v>
      </c>
      <c r="I471" s="1">
        <v>45944</v>
      </c>
      <c r="J471" t="s">
        <v>22</v>
      </c>
      <c r="K471" t="s">
        <v>1047</v>
      </c>
    </row>
    <row r="472" spans="1:11" ht="14.65">
      <c r="A472" t="s">
        <v>1199</v>
      </c>
      <c r="G472" s="1"/>
      <c r="H472" s="2"/>
      <c r="I472" s="1"/>
      <c r="J472" t="s">
        <v>22</v>
      </c>
      <c r="K472" s="16" t="s">
        <v>1200</v>
      </c>
    </row>
    <row r="473" spans="1:11" ht="14.65" hidden="1">
      <c r="A473" t="s">
        <v>828</v>
      </c>
      <c r="B473" t="s">
        <v>829</v>
      </c>
      <c r="C473" t="s">
        <v>827</v>
      </c>
      <c r="D473" t="s">
        <v>16</v>
      </c>
      <c r="G473" s="1">
        <v>45943.333333333336</v>
      </c>
      <c r="H473" s="2">
        <v>46112.333333333336</v>
      </c>
      <c r="J473" t="s">
        <v>1045</v>
      </c>
      <c r="K473" t="s">
        <v>1046</v>
      </c>
    </row>
    <row r="474" spans="1:11" ht="14.65" hidden="1">
      <c r="A474" t="s">
        <v>828</v>
      </c>
      <c r="B474" t="s">
        <v>831</v>
      </c>
      <c r="C474" t="s">
        <v>830</v>
      </c>
      <c r="D474" t="s">
        <v>16</v>
      </c>
      <c r="G474" s="1">
        <v>45943.333333333336</v>
      </c>
      <c r="H474" s="2">
        <v>46112.999305555553</v>
      </c>
      <c r="J474" t="s">
        <v>1045</v>
      </c>
      <c r="K474" t="s">
        <v>1046</v>
      </c>
    </row>
    <row r="475" spans="1:11" ht="14.65" hidden="1">
      <c r="A475" t="s">
        <v>828</v>
      </c>
      <c r="B475" t="s">
        <v>833</v>
      </c>
      <c r="C475" t="s">
        <v>832</v>
      </c>
      <c r="D475" t="s">
        <v>16</v>
      </c>
      <c r="G475" s="1">
        <v>45943.333333333336</v>
      </c>
      <c r="H475" s="2">
        <v>46112.999305555553</v>
      </c>
      <c r="J475" t="s">
        <v>1045</v>
      </c>
      <c r="K475" t="s">
        <v>1046</v>
      </c>
    </row>
    <row r="476" spans="1:11" ht="14.65" hidden="1">
      <c r="A476" t="s">
        <v>828</v>
      </c>
      <c r="B476" t="s">
        <v>835</v>
      </c>
      <c r="C476" t="s">
        <v>834</v>
      </c>
      <c r="D476" t="s">
        <v>16</v>
      </c>
      <c r="G476" s="1">
        <v>45943.333333333336</v>
      </c>
      <c r="H476" s="2">
        <v>46112.999305555553</v>
      </c>
      <c r="J476" t="s">
        <v>1045</v>
      </c>
      <c r="K476" t="s">
        <v>1046</v>
      </c>
    </row>
    <row r="477" spans="1:11" ht="14.65" hidden="1">
      <c r="A477" t="s">
        <v>828</v>
      </c>
      <c r="B477" t="s">
        <v>837</v>
      </c>
      <c r="C477" t="s">
        <v>836</v>
      </c>
      <c r="D477" t="s">
        <v>16</v>
      </c>
      <c r="G477" s="1">
        <v>45943.333333333336</v>
      </c>
      <c r="H477" s="2">
        <v>46112.999305555553</v>
      </c>
      <c r="I477" s="1">
        <v>45944</v>
      </c>
      <c r="J477" t="s">
        <v>1045</v>
      </c>
      <c r="K477" t="s">
        <v>1046</v>
      </c>
    </row>
    <row r="478" spans="1:11" ht="14.65" hidden="1">
      <c r="A478" t="s">
        <v>828</v>
      </c>
      <c r="B478" t="s">
        <v>839</v>
      </c>
      <c r="C478" t="s">
        <v>838</v>
      </c>
      <c r="D478" t="s">
        <v>16</v>
      </c>
      <c r="G478" s="1">
        <v>45943.333333333336</v>
      </c>
      <c r="H478" s="2">
        <v>46112.999305555553</v>
      </c>
      <c r="I478" s="1">
        <v>45944</v>
      </c>
      <c r="J478" t="s">
        <v>1045</v>
      </c>
      <c r="K478" t="s">
        <v>1046</v>
      </c>
    </row>
    <row r="479" spans="1:11" ht="14.65" hidden="1">
      <c r="A479" t="s">
        <v>828</v>
      </c>
      <c r="B479" t="s">
        <v>841</v>
      </c>
      <c r="C479" t="s">
        <v>840</v>
      </c>
      <c r="D479" t="s">
        <v>16</v>
      </c>
      <c r="G479" s="1">
        <v>45943.333333333336</v>
      </c>
      <c r="H479" s="2">
        <v>46112.999305555553</v>
      </c>
      <c r="I479" s="1">
        <v>45945</v>
      </c>
      <c r="J479" t="s">
        <v>1045</v>
      </c>
      <c r="K479" t="s">
        <v>1046</v>
      </c>
    </row>
    <row r="480" spans="1:11" ht="14.65" hidden="1">
      <c r="A480" t="s">
        <v>828</v>
      </c>
      <c r="B480" t="s">
        <v>843</v>
      </c>
      <c r="C480" t="s">
        <v>842</v>
      </c>
      <c r="D480" t="s">
        <v>16</v>
      </c>
      <c r="G480" s="1">
        <v>45943.333333333336</v>
      </c>
      <c r="H480" s="2">
        <v>46387.999305555553</v>
      </c>
      <c r="I480" s="1">
        <v>46056</v>
      </c>
      <c r="J480" t="s">
        <v>1045</v>
      </c>
      <c r="K480" t="s">
        <v>1046</v>
      </c>
    </row>
    <row r="481" spans="1:11" ht="14.65" hidden="1">
      <c r="A481" t="s">
        <v>828</v>
      </c>
      <c r="B481" t="s">
        <v>845</v>
      </c>
      <c r="C481" t="s">
        <v>844</v>
      </c>
      <c r="D481" t="s">
        <v>16</v>
      </c>
      <c r="G481" s="1">
        <v>45943.333333333336</v>
      </c>
      <c r="H481" s="2">
        <v>46112.999305555553</v>
      </c>
      <c r="J481" t="s">
        <v>1045</v>
      </c>
      <c r="K481" t="s">
        <v>1046</v>
      </c>
    </row>
    <row r="482" spans="1:11" ht="14.65" hidden="1">
      <c r="A482" t="s">
        <v>828</v>
      </c>
      <c r="B482" t="s">
        <v>847</v>
      </c>
      <c r="C482" t="s">
        <v>846</v>
      </c>
      <c r="D482" t="s">
        <v>16</v>
      </c>
      <c r="G482" s="1">
        <v>45943.333333333336</v>
      </c>
      <c r="H482" s="2">
        <v>46112.999305555553</v>
      </c>
      <c r="I482" s="1">
        <v>45944</v>
      </c>
      <c r="J482" t="s">
        <v>1045</v>
      </c>
      <c r="K482" t="s">
        <v>1046</v>
      </c>
    </row>
    <row r="483" spans="1:11" ht="14.65" hidden="1">
      <c r="A483" t="s">
        <v>828</v>
      </c>
      <c r="B483" t="s">
        <v>849</v>
      </c>
      <c r="C483" t="s">
        <v>848</v>
      </c>
      <c r="D483" t="s">
        <v>16</v>
      </c>
      <c r="G483" s="1">
        <v>45943.333333333336</v>
      </c>
      <c r="H483" s="2">
        <v>46112.999305555553</v>
      </c>
      <c r="I483" s="1">
        <v>45945</v>
      </c>
      <c r="J483" t="s">
        <v>1045</v>
      </c>
      <c r="K483" t="s">
        <v>1046</v>
      </c>
    </row>
    <row r="484" spans="1:11" ht="14.65" hidden="1">
      <c r="A484" t="s">
        <v>828</v>
      </c>
      <c r="B484" t="s">
        <v>851</v>
      </c>
      <c r="C484" t="s">
        <v>850</v>
      </c>
      <c r="D484" t="s">
        <v>16</v>
      </c>
      <c r="G484" s="1">
        <v>45943.333333333336</v>
      </c>
      <c r="H484" s="2">
        <v>46387.999305555553</v>
      </c>
      <c r="I484" s="1">
        <v>46056</v>
      </c>
      <c r="J484" t="s">
        <v>1045</v>
      </c>
      <c r="K484" t="s">
        <v>1046</v>
      </c>
    </row>
    <row r="485" spans="1:11" ht="14.65" hidden="1">
      <c r="A485" t="s">
        <v>828</v>
      </c>
      <c r="B485" t="s">
        <v>853</v>
      </c>
      <c r="C485" t="s">
        <v>852</v>
      </c>
      <c r="D485" t="s">
        <v>16</v>
      </c>
      <c r="G485" s="1">
        <v>45943.333333333336</v>
      </c>
      <c r="H485" s="2">
        <v>46112.999305555553</v>
      </c>
      <c r="I485" s="1">
        <v>45944</v>
      </c>
      <c r="J485" t="s">
        <v>1045</v>
      </c>
      <c r="K485" t="s">
        <v>1046</v>
      </c>
    </row>
    <row r="486" spans="1:11" ht="14.65" hidden="1">
      <c r="A486" t="s">
        <v>828</v>
      </c>
      <c r="B486" t="s">
        <v>855</v>
      </c>
      <c r="C486" t="s">
        <v>854</v>
      </c>
      <c r="D486" t="s">
        <v>16</v>
      </c>
      <c r="G486" s="1">
        <v>45943.333333333336</v>
      </c>
      <c r="H486" s="2">
        <v>46112.999305555553</v>
      </c>
      <c r="J486" t="s">
        <v>1045</v>
      </c>
      <c r="K486" t="s">
        <v>1046</v>
      </c>
    </row>
    <row r="487" spans="1:11" ht="14.65" hidden="1">
      <c r="A487" t="s">
        <v>828</v>
      </c>
      <c r="B487" t="s">
        <v>857</v>
      </c>
      <c r="C487" t="s">
        <v>856</v>
      </c>
      <c r="D487" t="s">
        <v>16</v>
      </c>
      <c r="G487" s="1">
        <v>45943.333333333336</v>
      </c>
      <c r="H487" s="2">
        <v>46112.999305555553</v>
      </c>
      <c r="J487" t="s">
        <v>1045</v>
      </c>
      <c r="K487" t="s">
        <v>1046</v>
      </c>
    </row>
    <row r="488" spans="1:11" ht="14.65" hidden="1">
      <c r="A488" t="s">
        <v>828</v>
      </c>
      <c r="B488" t="s">
        <v>859</v>
      </c>
      <c r="C488" t="s">
        <v>858</v>
      </c>
      <c r="D488" t="s">
        <v>16</v>
      </c>
      <c r="G488" s="1">
        <v>45943.333333333336</v>
      </c>
      <c r="H488" s="2">
        <v>46387.999305555553</v>
      </c>
      <c r="I488" s="1">
        <v>46056</v>
      </c>
      <c r="J488" t="s">
        <v>1045</v>
      </c>
      <c r="K488" t="s">
        <v>1046</v>
      </c>
    </row>
    <row r="489" spans="1:11" ht="14.65" hidden="1">
      <c r="A489" t="s">
        <v>828</v>
      </c>
      <c r="B489" t="s">
        <v>861</v>
      </c>
      <c r="C489" t="s">
        <v>860</v>
      </c>
      <c r="D489" t="s">
        <v>16</v>
      </c>
      <c r="G489" s="1">
        <v>45943.333333333336</v>
      </c>
      <c r="H489" s="2">
        <v>46112.999305555553</v>
      </c>
      <c r="I489" s="1">
        <v>45944</v>
      </c>
      <c r="J489" t="s">
        <v>1045</v>
      </c>
      <c r="K489" t="s">
        <v>1046</v>
      </c>
    </row>
    <row r="490" spans="1:11" ht="14.65" hidden="1">
      <c r="A490" t="s">
        <v>828</v>
      </c>
      <c r="B490" t="s">
        <v>863</v>
      </c>
      <c r="C490" t="s">
        <v>862</v>
      </c>
      <c r="D490" t="s">
        <v>16</v>
      </c>
      <c r="G490" s="1">
        <v>45943.333333333336</v>
      </c>
      <c r="H490" s="2">
        <v>46112.999305555553</v>
      </c>
      <c r="J490" t="s">
        <v>1045</v>
      </c>
      <c r="K490" t="s">
        <v>1046</v>
      </c>
    </row>
    <row r="491" spans="1:11" ht="14.65" hidden="1">
      <c r="A491" t="s">
        <v>828</v>
      </c>
      <c r="B491" t="s">
        <v>865</v>
      </c>
      <c r="C491" t="s">
        <v>864</v>
      </c>
      <c r="D491" t="s">
        <v>16</v>
      </c>
      <c r="G491" s="1">
        <v>45943.333333333336</v>
      </c>
      <c r="H491" s="2">
        <v>46112.999305555553</v>
      </c>
      <c r="J491" t="s">
        <v>1045</v>
      </c>
      <c r="K491" t="s">
        <v>1046</v>
      </c>
    </row>
    <row r="492" spans="1:11" ht="14.65" hidden="1">
      <c r="A492" t="s">
        <v>828</v>
      </c>
      <c r="B492" t="s">
        <v>867</v>
      </c>
      <c r="C492" t="s">
        <v>866</v>
      </c>
      <c r="D492" t="s">
        <v>16</v>
      </c>
      <c r="G492" s="1">
        <v>45943.333333333336</v>
      </c>
      <c r="H492" s="2">
        <v>46112.999305555553</v>
      </c>
      <c r="I492" s="1">
        <v>45944</v>
      </c>
      <c r="J492" t="s">
        <v>1045</v>
      </c>
      <c r="K492" t="s">
        <v>1046</v>
      </c>
    </row>
    <row r="493" spans="1:11" ht="14.65" hidden="1">
      <c r="A493" t="s">
        <v>828</v>
      </c>
      <c r="B493" t="s">
        <v>869</v>
      </c>
      <c r="C493" t="s">
        <v>868</v>
      </c>
      <c r="D493" t="s">
        <v>16</v>
      </c>
      <c r="G493" s="1">
        <v>45943.333333333336</v>
      </c>
      <c r="H493" s="2">
        <v>46112.999305555553</v>
      </c>
      <c r="I493" s="1">
        <v>45945</v>
      </c>
      <c r="J493" t="s">
        <v>1045</v>
      </c>
      <c r="K493" t="s">
        <v>1046</v>
      </c>
    </row>
    <row r="494" spans="1:11" ht="14.65" hidden="1">
      <c r="A494" t="s">
        <v>828</v>
      </c>
      <c r="B494" t="s">
        <v>871</v>
      </c>
      <c r="C494" t="s">
        <v>870</v>
      </c>
      <c r="D494" t="s">
        <v>16</v>
      </c>
      <c r="G494" s="1">
        <v>45943.333333333336</v>
      </c>
      <c r="H494" s="2">
        <v>46112.999305555553</v>
      </c>
      <c r="J494" t="s">
        <v>1045</v>
      </c>
      <c r="K494" t="s">
        <v>1046</v>
      </c>
    </row>
    <row r="495" spans="1:11" ht="14.65" hidden="1">
      <c r="A495" t="s">
        <v>828</v>
      </c>
      <c r="B495" t="s">
        <v>873</v>
      </c>
      <c r="C495" t="s">
        <v>872</v>
      </c>
      <c r="D495" t="s">
        <v>16</v>
      </c>
      <c r="G495" s="1">
        <v>45943.333333333336</v>
      </c>
      <c r="H495" s="2">
        <v>46112.999305555553</v>
      </c>
      <c r="I495" s="1">
        <v>45944</v>
      </c>
      <c r="J495" t="s">
        <v>1045</v>
      </c>
      <c r="K495" t="s">
        <v>1046</v>
      </c>
    </row>
    <row r="496" spans="1:11" ht="14.65" hidden="1">
      <c r="A496" t="s">
        <v>828</v>
      </c>
      <c r="B496" t="s">
        <v>875</v>
      </c>
      <c r="C496" t="s">
        <v>874</v>
      </c>
      <c r="D496" t="s">
        <v>16</v>
      </c>
      <c r="G496" s="1">
        <v>45943.333333333336</v>
      </c>
      <c r="H496" s="2">
        <v>46112.999305555553</v>
      </c>
      <c r="I496" s="1">
        <v>45945</v>
      </c>
      <c r="J496" t="s">
        <v>1045</v>
      </c>
      <c r="K496" t="s">
        <v>1046</v>
      </c>
    </row>
    <row r="497" spans="1:11" ht="14.65" hidden="1">
      <c r="A497" t="s">
        <v>828</v>
      </c>
      <c r="B497" t="s">
        <v>877</v>
      </c>
      <c r="C497" t="s">
        <v>876</v>
      </c>
      <c r="D497" t="s">
        <v>16</v>
      </c>
      <c r="G497" s="1">
        <v>45943.333333333336</v>
      </c>
      <c r="H497" s="2">
        <v>46112.999305555553</v>
      </c>
      <c r="J497" t="s">
        <v>1045</v>
      </c>
      <c r="K497" t="s">
        <v>1046</v>
      </c>
    </row>
    <row r="498" spans="1:11" ht="14.65" hidden="1">
      <c r="A498" t="s">
        <v>828</v>
      </c>
      <c r="B498" t="s">
        <v>879</v>
      </c>
      <c r="C498" t="s">
        <v>878</v>
      </c>
      <c r="D498" t="s">
        <v>16</v>
      </c>
      <c r="G498" s="1">
        <v>45943.333333333336</v>
      </c>
      <c r="H498" s="2">
        <v>46387.999305555553</v>
      </c>
      <c r="I498" s="1">
        <v>46056</v>
      </c>
      <c r="J498" t="s">
        <v>1045</v>
      </c>
      <c r="K498" t="s">
        <v>1046</v>
      </c>
    </row>
    <row r="499" spans="1:11" ht="14.65" hidden="1">
      <c r="A499" t="s">
        <v>828</v>
      </c>
      <c r="B499" t="s">
        <v>881</v>
      </c>
      <c r="C499" t="s">
        <v>880</v>
      </c>
      <c r="D499" t="s">
        <v>16</v>
      </c>
      <c r="G499" s="1">
        <v>45943.333333333336</v>
      </c>
      <c r="H499" s="2">
        <v>46112.999305555553</v>
      </c>
      <c r="I499" s="1">
        <v>45944</v>
      </c>
      <c r="J499" t="s">
        <v>1045</v>
      </c>
      <c r="K499" t="s">
        <v>1046</v>
      </c>
    </row>
    <row r="500" spans="1:11" ht="14.65" hidden="1">
      <c r="A500" t="s">
        <v>828</v>
      </c>
      <c r="B500" t="s">
        <v>883</v>
      </c>
      <c r="C500" t="s">
        <v>882</v>
      </c>
      <c r="D500" t="s">
        <v>16</v>
      </c>
      <c r="G500" s="1">
        <v>45943.333333333336</v>
      </c>
      <c r="H500" s="2">
        <v>46112.999305555553</v>
      </c>
      <c r="J500" t="s">
        <v>1045</v>
      </c>
      <c r="K500" t="s">
        <v>1046</v>
      </c>
    </row>
    <row r="501" spans="1:11" ht="14.65" hidden="1">
      <c r="A501" t="s">
        <v>828</v>
      </c>
      <c r="B501" t="s">
        <v>885</v>
      </c>
      <c r="C501" t="s">
        <v>884</v>
      </c>
      <c r="D501" t="s">
        <v>16</v>
      </c>
      <c r="G501" s="1">
        <v>45943.333333333336</v>
      </c>
      <c r="H501" s="2">
        <v>46112.999305555553</v>
      </c>
      <c r="I501" s="1">
        <v>45944</v>
      </c>
      <c r="J501" t="s">
        <v>1045</v>
      </c>
      <c r="K501" t="s">
        <v>1046</v>
      </c>
    </row>
    <row r="502" spans="1:11" ht="14.65" hidden="1">
      <c r="A502" t="s">
        <v>886</v>
      </c>
      <c r="B502" t="s">
        <v>829</v>
      </c>
      <c r="C502" t="s">
        <v>827</v>
      </c>
      <c r="D502" t="s">
        <v>16</v>
      </c>
      <c r="G502" s="1">
        <v>45943.333333333336</v>
      </c>
      <c r="H502" s="2">
        <v>46112.333333333336</v>
      </c>
      <c r="J502" t="s">
        <v>1045</v>
      </c>
      <c r="K502" t="s">
        <v>1046</v>
      </c>
    </row>
    <row r="503" spans="1:11" ht="14.65" hidden="1">
      <c r="A503" t="s">
        <v>886</v>
      </c>
      <c r="B503" t="s">
        <v>831</v>
      </c>
      <c r="C503" t="s">
        <v>830</v>
      </c>
      <c r="D503" t="s">
        <v>16</v>
      </c>
      <c r="G503" s="1">
        <v>45943.333333333336</v>
      </c>
      <c r="H503" s="2">
        <v>46112.999305555553</v>
      </c>
      <c r="J503" t="s">
        <v>1045</v>
      </c>
      <c r="K503" t="s">
        <v>1046</v>
      </c>
    </row>
    <row r="504" spans="1:11" ht="14.65" hidden="1">
      <c r="A504" t="s">
        <v>886</v>
      </c>
      <c r="B504" t="s">
        <v>833</v>
      </c>
      <c r="C504" t="s">
        <v>832</v>
      </c>
      <c r="D504" t="s">
        <v>16</v>
      </c>
      <c r="G504" s="1">
        <v>45943.333333333336</v>
      </c>
      <c r="H504" s="2">
        <v>46112.999305555553</v>
      </c>
      <c r="J504" t="s">
        <v>1045</v>
      </c>
      <c r="K504" t="s">
        <v>1046</v>
      </c>
    </row>
    <row r="505" spans="1:11" ht="14.65" hidden="1">
      <c r="A505" t="s">
        <v>886</v>
      </c>
      <c r="B505" t="s">
        <v>835</v>
      </c>
      <c r="C505" t="s">
        <v>834</v>
      </c>
      <c r="D505" t="s">
        <v>16</v>
      </c>
      <c r="G505" s="1">
        <v>45943.333333333336</v>
      </c>
      <c r="H505" s="2">
        <v>46112.999305555553</v>
      </c>
      <c r="J505" t="s">
        <v>1045</v>
      </c>
      <c r="K505" t="s">
        <v>1046</v>
      </c>
    </row>
    <row r="506" spans="1:11" ht="14.65" hidden="1">
      <c r="A506" t="s">
        <v>886</v>
      </c>
      <c r="B506" t="s">
        <v>837</v>
      </c>
      <c r="C506" t="s">
        <v>836</v>
      </c>
      <c r="D506" t="s">
        <v>16</v>
      </c>
      <c r="G506" s="1">
        <v>45943.333333333336</v>
      </c>
      <c r="H506" s="2">
        <v>46112.999305555553</v>
      </c>
      <c r="I506" s="1">
        <v>45944</v>
      </c>
      <c r="J506" t="s">
        <v>1045</v>
      </c>
      <c r="K506" t="s">
        <v>1046</v>
      </c>
    </row>
    <row r="507" spans="1:11" ht="14.65" hidden="1">
      <c r="A507" t="s">
        <v>886</v>
      </c>
      <c r="B507" t="s">
        <v>839</v>
      </c>
      <c r="C507" t="s">
        <v>838</v>
      </c>
      <c r="D507" t="s">
        <v>16</v>
      </c>
      <c r="G507" s="1">
        <v>45943.333333333336</v>
      </c>
      <c r="H507" s="2">
        <v>46112.999305555553</v>
      </c>
      <c r="I507" s="1">
        <v>45944</v>
      </c>
      <c r="J507" t="s">
        <v>1045</v>
      </c>
      <c r="K507" t="s">
        <v>1046</v>
      </c>
    </row>
    <row r="508" spans="1:11" ht="14.65" hidden="1">
      <c r="A508" t="s">
        <v>886</v>
      </c>
      <c r="B508" t="s">
        <v>841</v>
      </c>
      <c r="C508" t="s">
        <v>840</v>
      </c>
      <c r="D508" t="s">
        <v>16</v>
      </c>
      <c r="G508" s="1">
        <v>45943.333333333336</v>
      </c>
      <c r="H508" s="2">
        <v>46112.999305555553</v>
      </c>
      <c r="I508" s="1">
        <v>45945</v>
      </c>
      <c r="J508" t="s">
        <v>1045</v>
      </c>
      <c r="K508" t="s">
        <v>1046</v>
      </c>
    </row>
    <row r="509" spans="1:11" ht="14.65" hidden="1">
      <c r="A509" t="s">
        <v>886</v>
      </c>
      <c r="B509" t="s">
        <v>843</v>
      </c>
      <c r="C509" t="s">
        <v>842</v>
      </c>
      <c r="D509" t="s">
        <v>16</v>
      </c>
      <c r="G509" s="1">
        <v>45943.333333333336</v>
      </c>
      <c r="H509" s="2">
        <v>46387.999305555553</v>
      </c>
      <c r="I509" s="1">
        <v>46056</v>
      </c>
      <c r="J509" t="s">
        <v>1045</v>
      </c>
      <c r="K509" t="s">
        <v>1046</v>
      </c>
    </row>
    <row r="510" spans="1:11" ht="14.65" hidden="1">
      <c r="A510" t="s">
        <v>886</v>
      </c>
      <c r="B510" t="s">
        <v>845</v>
      </c>
      <c r="C510" t="s">
        <v>844</v>
      </c>
      <c r="D510" t="s">
        <v>16</v>
      </c>
      <c r="G510" s="1">
        <v>45943.333333333336</v>
      </c>
      <c r="H510" s="2">
        <v>46112.999305555553</v>
      </c>
      <c r="J510" t="s">
        <v>1045</v>
      </c>
      <c r="K510" t="s">
        <v>1046</v>
      </c>
    </row>
    <row r="511" spans="1:11" ht="14.65" hidden="1">
      <c r="A511" t="s">
        <v>886</v>
      </c>
      <c r="B511" t="s">
        <v>847</v>
      </c>
      <c r="C511" t="s">
        <v>846</v>
      </c>
      <c r="D511" t="s">
        <v>16</v>
      </c>
      <c r="G511" s="1">
        <v>45943.333333333336</v>
      </c>
      <c r="H511" s="2">
        <v>46112.999305555553</v>
      </c>
      <c r="I511" s="1">
        <v>45944</v>
      </c>
      <c r="J511" t="s">
        <v>1045</v>
      </c>
      <c r="K511" t="s">
        <v>1046</v>
      </c>
    </row>
    <row r="512" spans="1:11" ht="14.65" hidden="1">
      <c r="A512" t="s">
        <v>886</v>
      </c>
      <c r="B512" t="s">
        <v>849</v>
      </c>
      <c r="C512" t="s">
        <v>848</v>
      </c>
      <c r="D512" t="s">
        <v>16</v>
      </c>
      <c r="G512" s="1">
        <v>45943.333333333336</v>
      </c>
      <c r="H512" s="2">
        <v>46112.999305555553</v>
      </c>
      <c r="I512" s="1">
        <v>45945</v>
      </c>
      <c r="J512" t="s">
        <v>1045</v>
      </c>
      <c r="K512" t="s">
        <v>1046</v>
      </c>
    </row>
    <row r="513" spans="1:11" ht="14.65" hidden="1">
      <c r="A513" t="s">
        <v>886</v>
      </c>
      <c r="B513" t="s">
        <v>851</v>
      </c>
      <c r="C513" t="s">
        <v>850</v>
      </c>
      <c r="D513" t="s">
        <v>16</v>
      </c>
      <c r="G513" s="1">
        <v>45943.333333333336</v>
      </c>
      <c r="H513" s="2">
        <v>46387.999305555553</v>
      </c>
      <c r="I513" s="1">
        <v>46056</v>
      </c>
      <c r="J513" t="s">
        <v>1045</v>
      </c>
      <c r="K513" t="s">
        <v>1046</v>
      </c>
    </row>
    <row r="514" spans="1:11" ht="14.65" hidden="1">
      <c r="A514" t="s">
        <v>886</v>
      </c>
      <c r="B514" t="s">
        <v>853</v>
      </c>
      <c r="C514" t="s">
        <v>852</v>
      </c>
      <c r="D514" t="s">
        <v>16</v>
      </c>
      <c r="G514" s="1">
        <v>45943.333333333336</v>
      </c>
      <c r="H514" s="2">
        <v>46112.999305555553</v>
      </c>
      <c r="I514" s="1">
        <v>45944</v>
      </c>
      <c r="J514" t="s">
        <v>1045</v>
      </c>
      <c r="K514" t="s">
        <v>1046</v>
      </c>
    </row>
    <row r="515" spans="1:11" ht="14.65" hidden="1">
      <c r="A515" t="s">
        <v>886</v>
      </c>
      <c r="B515" t="s">
        <v>855</v>
      </c>
      <c r="C515" t="s">
        <v>854</v>
      </c>
      <c r="D515" t="s">
        <v>16</v>
      </c>
      <c r="G515" s="1">
        <v>45943.333333333336</v>
      </c>
      <c r="H515" s="2">
        <v>46112.999305555553</v>
      </c>
      <c r="J515" t="s">
        <v>1045</v>
      </c>
      <c r="K515" t="s">
        <v>1046</v>
      </c>
    </row>
    <row r="516" spans="1:11" ht="14.65" hidden="1">
      <c r="A516" t="s">
        <v>886</v>
      </c>
      <c r="B516" t="s">
        <v>857</v>
      </c>
      <c r="C516" t="s">
        <v>856</v>
      </c>
      <c r="D516" t="s">
        <v>16</v>
      </c>
      <c r="G516" s="1">
        <v>45943.333333333336</v>
      </c>
      <c r="H516" s="2">
        <v>46112.999305555553</v>
      </c>
      <c r="J516" t="s">
        <v>1045</v>
      </c>
      <c r="K516" t="s">
        <v>1046</v>
      </c>
    </row>
    <row r="517" spans="1:11" ht="14.65" hidden="1">
      <c r="A517" t="s">
        <v>886</v>
      </c>
      <c r="B517" t="s">
        <v>859</v>
      </c>
      <c r="C517" t="s">
        <v>858</v>
      </c>
      <c r="D517" t="s">
        <v>16</v>
      </c>
      <c r="G517" s="1">
        <v>45943.333333333336</v>
      </c>
      <c r="H517" s="2">
        <v>46387.999305555553</v>
      </c>
      <c r="I517" s="1">
        <v>46056</v>
      </c>
      <c r="J517" t="s">
        <v>1045</v>
      </c>
      <c r="K517" t="s">
        <v>1046</v>
      </c>
    </row>
    <row r="518" spans="1:11" ht="14.65" hidden="1">
      <c r="A518" t="s">
        <v>886</v>
      </c>
      <c r="B518" t="s">
        <v>861</v>
      </c>
      <c r="C518" t="s">
        <v>860</v>
      </c>
      <c r="D518" t="s">
        <v>16</v>
      </c>
      <c r="G518" s="1">
        <v>45943.333333333336</v>
      </c>
      <c r="H518" s="2">
        <v>46112.999305555553</v>
      </c>
      <c r="I518" s="1">
        <v>45944</v>
      </c>
      <c r="J518" t="s">
        <v>1045</v>
      </c>
      <c r="K518" t="s">
        <v>1046</v>
      </c>
    </row>
    <row r="519" spans="1:11" ht="14.65" hidden="1">
      <c r="A519" t="s">
        <v>886</v>
      </c>
      <c r="B519" t="s">
        <v>863</v>
      </c>
      <c r="C519" t="s">
        <v>862</v>
      </c>
      <c r="D519" t="s">
        <v>16</v>
      </c>
      <c r="G519" s="1">
        <v>45943.333333333336</v>
      </c>
      <c r="H519" s="2">
        <v>46112.999305555553</v>
      </c>
      <c r="J519" t="s">
        <v>1045</v>
      </c>
      <c r="K519" t="s">
        <v>1046</v>
      </c>
    </row>
    <row r="520" spans="1:11" ht="14.65" hidden="1">
      <c r="A520" t="s">
        <v>886</v>
      </c>
      <c r="B520" t="s">
        <v>888</v>
      </c>
      <c r="C520" t="s">
        <v>887</v>
      </c>
      <c r="D520" t="s">
        <v>16</v>
      </c>
      <c r="G520" s="1">
        <v>45943.333333333336</v>
      </c>
      <c r="H520" s="2">
        <v>46112.999305555553</v>
      </c>
      <c r="I520" s="1">
        <v>45945</v>
      </c>
      <c r="J520" t="s">
        <v>1045</v>
      </c>
      <c r="K520" t="s">
        <v>1046</v>
      </c>
    </row>
    <row r="521" spans="1:11" ht="14.65" hidden="1">
      <c r="A521" t="s">
        <v>886</v>
      </c>
      <c r="B521" t="s">
        <v>865</v>
      </c>
      <c r="C521" t="s">
        <v>864</v>
      </c>
      <c r="D521" t="s">
        <v>16</v>
      </c>
      <c r="G521" s="1">
        <v>45943.333333333336</v>
      </c>
      <c r="H521" s="2">
        <v>46112.999305555553</v>
      </c>
      <c r="J521" t="s">
        <v>1045</v>
      </c>
      <c r="K521" t="s">
        <v>1046</v>
      </c>
    </row>
    <row r="522" spans="1:11" ht="14.65" hidden="1">
      <c r="A522" t="s">
        <v>886</v>
      </c>
      <c r="B522" t="s">
        <v>867</v>
      </c>
      <c r="C522" t="s">
        <v>866</v>
      </c>
      <c r="D522" t="s">
        <v>16</v>
      </c>
      <c r="G522" s="1">
        <v>45943.333333333336</v>
      </c>
      <c r="H522" s="2">
        <v>46112.999305555553</v>
      </c>
      <c r="I522" s="1">
        <v>45944</v>
      </c>
      <c r="J522" t="s">
        <v>1045</v>
      </c>
      <c r="K522" t="s">
        <v>1046</v>
      </c>
    </row>
    <row r="523" spans="1:11" ht="14.65" hidden="1">
      <c r="A523" t="s">
        <v>886</v>
      </c>
      <c r="B523" t="s">
        <v>869</v>
      </c>
      <c r="C523" t="s">
        <v>868</v>
      </c>
      <c r="D523" t="s">
        <v>16</v>
      </c>
      <c r="G523" s="1">
        <v>45943.333333333336</v>
      </c>
      <c r="H523" s="2">
        <v>46112.999305555553</v>
      </c>
      <c r="I523" s="1">
        <v>45945</v>
      </c>
      <c r="J523" t="s">
        <v>1045</v>
      </c>
      <c r="K523" t="s">
        <v>1046</v>
      </c>
    </row>
    <row r="524" spans="1:11" ht="14.65" hidden="1">
      <c r="A524" t="s">
        <v>886</v>
      </c>
      <c r="B524" t="s">
        <v>871</v>
      </c>
      <c r="C524" t="s">
        <v>870</v>
      </c>
      <c r="D524" t="s">
        <v>16</v>
      </c>
      <c r="G524" s="1">
        <v>45943.333333333336</v>
      </c>
      <c r="H524" s="2">
        <v>46112.999305555553</v>
      </c>
      <c r="J524" t="s">
        <v>1045</v>
      </c>
      <c r="K524" t="s">
        <v>1046</v>
      </c>
    </row>
    <row r="525" spans="1:11" ht="14.65" hidden="1">
      <c r="A525" t="s">
        <v>886</v>
      </c>
      <c r="B525" t="s">
        <v>873</v>
      </c>
      <c r="C525" t="s">
        <v>872</v>
      </c>
      <c r="D525" t="s">
        <v>16</v>
      </c>
      <c r="G525" s="1">
        <v>45943.333333333336</v>
      </c>
      <c r="H525" s="2">
        <v>46112.999305555553</v>
      </c>
      <c r="I525" s="1">
        <v>45944</v>
      </c>
      <c r="J525" t="s">
        <v>1045</v>
      </c>
      <c r="K525" t="s">
        <v>1046</v>
      </c>
    </row>
    <row r="526" spans="1:11" ht="14.65" hidden="1">
      <c r="A526" t="s">
        <v>886</v>
      </c>
      <c r="B526" t="s">
        <v>875</v>
      </c>
      <c r="C526" t="s">
        <v>874</v>
      </c>
      <c r="D526" t="s">
        <v>16</v>
      </c>
      <c r="G526" s="1">
        <v>45943.333333333336</v>
      </c>
      <c r="H526" s="2">
        <v>46112.999305555553</v>
      </c>
      <c r="I526" s="1">
        <v>45945</v>
      </c>
      <c r="J526" t="s">
        <v>1045</v>
      </c>
      <c r="K526" t="s">
        <v>1046</v>
      </c>
    </row>
    <row r="527" spans="1:11" ht="14.65" hidden="1">
      <c r="A527" t="s">
        <v>886</v>
      </c>
      <c r="B527" t="s">
        <v>877</v>
      </c>
      <c r="C527" t="s">
        <v>876</v>
      </c>
      <c r="D527" t="s">
        <v>16</v>
      </c>
      <c r="G527" s="1">
        <v>45943.333333333336</v>
      </c>
      <c r="H527" s="2">
        <v>46112.999305555553</v>
      </c>
      <c r="J527" t="s">
        <v>1045</v>
      </c>
      <c r="K527" t="s">
        <v>1046</v>
      </c>
    </row>
    <row r="528" spans="1:11" ht="14.65" hidden="1">
      <c r="A528" t="s">
        <v>886</v>
      </c>
      <c r="B528" t="s">
        <v>879</v>
      </c>
      <c r="C528" t="s">
        <v>878</v>
      </c>
      <c r="D528" t="s">
        <v>16</v>
      </c>
      <c r="G528" s="1">
        <v>45943.333333333336</v>
      </c>
      <c r="H528" s="2">
        <v>46387.999305555553</v>
      </c>
      <c r="I528" s="1">
        <v>46056</v>
      </c>
      <c r="J528" t="s">
        <v>1045</v>
      </c>
      <c r="K528" t="s">
        <v>1046</v>
      </c>
    </row>
    <row r="529" spans="1:11" ht="14.65" hidden="1">
      <c r="A529" t="s">
        <v>886</v>
      </c>
      <c r="B529" t="s">
        <v>881</v>
      </c>
      <c r="C529" t="s">
        <v>880</v>
      </c>
      <c r="D529" t="s">
        <v>16</v>
      </c>
      <c r="G529" s="1">
        <v>45943.333333333336</v>
      </c>
      <c r="H529" s="2">
        <v>46112.999305555553</v>
      </c>
      <c r="I529" s="1">
        <v>45944</v>
      </c>
      <c r="J529" t="s">
        <v>1045</v>
      </c>
      <c r="K529" t="s">
        <v>1046</v>
      </c>
    </row>
    <row r="530" spans="1:11" ht="14.65" hidden="1">
      <c r="A530" t="s">
        <v>886</v>
      </c>
      <c r="B530" t="s">
        <v>883</v>
      </c>
      <c r="C530" t="s">
        <v>882</v>
      </c>
      <c r="D530" t="s">
        <v>16</v>
      </c>
      <c r="G530" s="1">
        <v>45943.333333333336</v>
      </c>
      <c r="H530" s="2">
        <v>46112.999305555553</v>
      </c>
      <c r="J530" t="s">
        <v>1045</v>
      </c>
      <c r="K530" t="s">
        <v>1046</v>
      </c>
    </row>
    <row r="531" spans="1:11" ht="14.65" hidden="1">
      <c r="A531" t="s">
        <v>886</v>
      </c>
      <c r="B531" t="s">
        <v>885</v>
      </c>
      <c r="C531" t="s">
        <v>884</v>
      </c>
      <c r="D531" t="s">
        <v>16</v>
      </c>
      <c r="G531" s="1">
        <v>45943.333333333336</v>
      </c>
      <c r="H531" s="2">
        <v>46112.999305555553</v>
      </c>
      <c r="I531" s="1">
        <v>45944</v>
      </c>
      <c r="J531" t="s">
        <v>1045</v>
      </c>
      <c r="K531" t="s">
        <v>1046</v>
      </c>
    </row>
    <row r="532" spans="1:11" ht="14.65">
      <c r="A532" t="s">
        <v>890</v>
      </c>
      <c r="G532" s="1"/>
      <c r="H532" s="2"/>
      <c r="I532" s="1"/>
      <c r="J532" t="s">
        <v>22</v>
      </c>
      <c r="K532" t="s">
        <v>1201</v>
      </c>
    </row>
    <row r="533" spans="1:11" ht="14.65" hidden="1">
      <c r="A533" t="s">
        <v>890</v>
      </c>
      <c r="B533" t="s">
        <v>891</v>
      </c>
      <c r="C533" t="s">
        <v>889</v>
      </c>
      <c r="D533" t="s">
        <v>38</v>
      </c>
      <c r="G533" s="1"/>
      <c r="I533" s="1">
        <v>45943</v>
      </c>
      <c r="J533" t="s">
        <v>1045</v>
      </c>
      <c r="K533" t="s">
        <v>1047</v>
      </c>
    </row>
    <row r="534" spans="1:11" ht="14.65" hidden="1">
      <c r="A534" t="s">
        <v>890</v>
      </c>
      <c r="B534" t="s">
        <v>893</v>
      </c>
      <c r="C534" t="s">
        <v>892</v>
      </c>
      <c r="D534" t="s">
        <v>16</v>
      </c>
      <c r="G534" s="1" t="s">
        <v>17</v>
      </c>
      <c r="I534" s="1">
        <v>45747</v>
      </c>
      <c r="J534" t="s">
        <v>1045</v>
      </c>
      <c r="K534" t="s">
        <v>1047</v>
      </c>
    </row>
    <row r="535" spans="1:11" ht="14.65" hidden="1">
      <c r="A535" t="s">
        <v>895</v>
      </c>
      <c r="B535" t="s">
        <v>896</v>
      </c>
      <c r="C535" t="s">
        <v>894</v>
      </c>
      <c r="D535" t="s">
        <v>21</v>
      </c>
      <c r="E535" t="s">
        <v>22</v>
      </c>
      <c r="F535">
        <v>28</v>
      </c>
      <c r="G535" s="1">
        <v>46105.395833333336</v>
      </c>
      <c r="H535" s="2">
        <v>46030.708333333336</v>
      </c>
      <c r="I535" s="1">
        <v>45940</v>
      </c>
      <c r="J535" t="s">
        <v>1045</v>
      </c>
      <c r="K535" t="s">
        <v>1047</v>
      </c>
    </row>
    <row r="536" spans="1:11" ht="14.65" hidden="1">
      <c r="A536" s="3" t="s">
        <v>898</v>
      </c>
      <c r="B536" s="3" t="s">
        <v>899</v>
      </c>
      <c r="C536" s="3" t="s">
        <v>897</v>
      </c>
      <c r="D536" s="3" t="s">
        <v>21</v>
      </c>
      <c r="E536" s="3" t="s">
        <v>22</v>
      </c>
      <c r="F536" s="3">
        <v>7</v>
      </c>
      <c r="G536" s="4">
        <v>46183.375</v>
      </c>
      <c r="H536" s="6">
        <v>45944.729166666664</v>
      </c>
      <c r="I536" s="4">
        <v>45945</v>
      </c>
      <c r="J536" t="s">
        <v>1045</v>
      </c>
      <c r="K536" t="s">
        <v>1048</v>
      </c>
    </row>
    <row r="537" spans="1:11" ht="14.65" hidden="1">
      <c r="A537" t="s">
        <v>898</v>
      </c>
      <c r="B537" t="s">
        <v>899</v>
      </c>
      <c r="C537" t="s">
        <v>1202</v>
      </c>
      <c r="D537" t="s">
        <v>21</v>
      </c>
      <c r="E537" t="s">
        <v>25</v>
      </c>
      <c r="G537" s="1">
        <v>46066.333333333336</v>
      </c>
      <c r="H537" s="2">
        <v>47312.333333333336</v>
      </c>
      <c r="I537" s="1" t="s">
        <v>198</v>
      </c>
      <c r="J537" t="s">
        <v>1045</v>
      </c>
      <c r="K537" t="s">
        <v>1047</v>
      </c>
    </row>
    <row r="538" spans="1:11" ht="14.65" hidden="1">
      <c r="A538" s="3" t="s">
        <v>898</v>
      </c>
      <c r="B538" s="3" t="s">
        <v>901</v>
      </c>
      <c r="C538" s="3" t="s">
        <v>900</v>
      </c>
      <c r="D538" t="s">
        <v>21</v>
      </c>
      <c r="E538" t="s">
        <v>22</v>
      </c>
      <c r="F538" s="3">
        <v>35</v>
      </c>
      <c r="G538" s="4">
        <v>45638.375</v>
      </c>
      <c r="H538" s="2">
        <v>45639.520833333336</v>
      </c>
      <c r="I538" s="1">
        <v>45923</v>
      </c>
      <c r="J538" s="3" t="s">
        <v>1045</v>
      </c>
      <c r="K538" t="s">
        <v>1048</v>
      </c>
    </row>
    <row r="539" spans="1:11" ht="14.65" hidden="1">
      <c r="A539" t="s">
        <v>898</v>
      </c>
      <c r="B539" t="s">
        <v>903</v>
      </c>
      <c r="C539" t="s">
        <v>902</v>
      </c>
      <c r="D539" t="s">
        <v>21</v>
      </c>
      <c r="E539" t="s">
        <v>22</v>
      </c>
      <c r="F539">
        <v>1</v>
      </c>
      <c r="G539" s="1">
        <v>46079.395833333336</v>
      </c>
      <c r="H539" s="2">
        <v>46079.6875</v>
      </c>
      <c r="I539" s="1">
        <v>46053</v>
      </c>
      <c r="J539" t="s">
        <v>1045</v>
      </c>
      <c r="K539" t="s">
        <v>1047</v>
      </c>
    </row>
    <row r="540" spans="1:11" ht="14.65" hidden="1">
      <c r="A540" t="s">
        <v>898</v>
      </c>
      <c r="B540" t="s">
        <v>905</v>
      </c>
      <c r="C540" t="s">
        <v>904</v>
      </c>
      <c r="D540" t="s">
        <v>21</v>
      </c>
      <c r="E540" t="s">
        <v>22</v>
      </c>
      <c r="F540">
        <v>3</v>
      </c>
      <c r="G540" s="1">
        <v>46072.395833333336</v>
      </c>
      <c r="H540" s="2">
        <v>46072.6875</v>
      </c>
      <c r="I540" s="1">
        <v>46049</v>
      </c>
      <c r="J540" t="s">
        <v>1045</v>
      </c>
      <c r="K540" t="s">
        <v>1047</v>
      </c>
    </row>
    <row r="541" spans="1:11" ht="14.65" hidden="1">
      <c r="A541" t="s">
        <v>898</v>
      </c>
      <c r="B541" t="s">
        <v>907</v>
      </c>
      <c r="C541" t="s">
        <v>906</v>
      </c>
      <c r="D541" t="s">
        <v>21</v>
      </c>
      <c r="E541" t="s">
        <v>22</v>
      </c>
      <c r="F541">
        <v>10</v>
      </c>
      <c r="G541" s="1">
        <v>46106.375</v>
      </c>
      <c r="H541" s="2">
        <v>45987.520833333336</v>
      </c>
      <c r="I541" s="1">
        <v>45944</v>
      </c>
      <c r="J541" t="s">
        <v>1045</v>
      </c>
      <c r="K541" t="s">
        <v>1047</v>
      </c>
    </row>
    <row r="542" spans="1:11" ht="14.65" hidden="1">
      <c r="A542" t="s">
        <v>898</v>
      </c>
      <c r="B542" t="s">
        <v>909</v>
      </c>
      <c r="C542" t="s">
        <v>908</v>
      </c>
      <c r="D542" t="s">
        <v>21</v>
      </c>
      <c r="E542" t="s">
        <v>22</v>
      </c>
      <c r="F542">
        <v>10</v>
      </c>
      <c r="G542" s="1">
        <v>46056.375</v>
      </c>
      <c r="H542" s="2">
        <v>46056.520833333336</v>
      </c>
      <c r="I542" s="1">
        <v>46055</v>
      </c>
      <c r="J542" t="s">
        <v>1045</v>
      </c>
      <c r="K542" t="s">
        <v>1047</v>
      </c>
    </row>
    <row r="543" spans="1:11" ht="14.65" hidden="1">
      <c r="A543" t="s">
        <v>898</v>
      </c>
      <c r="B543" t="s">
        <v>911</v>
      </c>
      <c r="C543" t="s">
        <v>910</v>
      </c>
      <c r="D543" t="s">
        <v>21</v>
      </c>
      <c r="E543" t="s">
        <v>22</v>
      </c>
      <c r="F543">
        <v>5</v>
      </c>
      <c r="G543" s="1">
        <v>46133.395833333336</v>
      </c>
      <c r="H543" s="2">
        <v>45931.708333333336</v>
      </c>
      <c r="I543" s="1">
        <v>45929</v>
      </c>
      <c r="J543" t="s">
        <v>1045</v>
      </c>
      <c r="K543" t="s">
        <v>1047</v>
      </c>
    </row>
    <row r="544" spans="1:11" ht="14.65" hidden="1">
      <c r="A544" t="s">
        <v>898</v>
      </c>
      <c r="B544" t="s">
        <v>913</v>
      </c>
      <c r="C544" t="s">
        <v>912</v>
      </c>
      <c r="D544" t="s">
        <v>21</v>
      </c>
      <c r="E544" t="s">
        <v>22</v>
      </c>
      <c r="F544">
        <v>56</v>
      </c>
      <c r="G544" s="1">
        <v>46147.395833333336</v>
      </c>
      <c r="H544" s="2">
        <v>45999.729166666664</v>
      </c>
      <c r="I544" s="1">
        <v>45936</v>
      </c>
      <c r="J544" t="s">
        <v>1045</v>
      </c>
      <c r="K544" t="s">
        <v>1047</v>
      </c>
    </row>
    <row r="545" spans="1:11" ht="14.65" hidden="1">
      <c r="A545" t="s">
        <v>898</v>
      </c>
      <c r="B545" t="s">
        <v>915</v>
      </c>
      <c r="C545" t="s">
        <v>914</v>
      </c>
      <c r="D545" t="s">
        <v>21</v>
      </c>
      <c r="E545" t="s">
        <v>22</v>
      </c>
      <c r="F545">
        <v>108</v>
      </c>
      <c r="G545" s="1">
        <v>46211.375</v>
      </c>
      <c r="H545" s="2">
        <v>46211.708333333336</v>
      </c>
      <c r="I545" s="1">
        <v>45945</v>
      </c>
      <c r="J545" t="s">
        <v>1045</v>
      </c>
      <c r="K545" t="s">
        <v>1155</v>
      </c>
    </row>
    <row r="546" spans="1:11" ht="14.65" hidden="1">
      <c r="A546" t="s">
        <v>898</v>
      </c>
      <c r="B546" t="s">
        <v>917</v>
      </c>
      <c r="C546" t="s">
        <v>916</v>
      </c>
      <c r="D546" t="s">
        <v>21</v>
      </c>
      <c r="E546" t="s">
        <v>22</v>
      </c>
      <c r="F546">
        <v>134</v>
      </c>
      <c r="G546" s="1">
        <v>46216.375</v>
      </c>
      <c r="H546" s="2">
        <v>46009.520833333336</v>
      </c>
      <c r="I546" s="1">
        <v>45944</v>
      </c>
      <c r="J546" t="s">
        <v>1045</v>
      </c>
      <c r="K546" t="s">
        <v>1155</v>
      </c>
    </row>
    <row r="547" spans="1:11" ht="14.65" hidden="1">
      <c r="A547" s="3" t="s">
        <v>898</v>
      </c>
      <c r="B547" s="3" t="s">
        <v>919</v>
      </c>
      <c r="C547" s="3" t="s">
        <v>918</v>
      </c>
      <c r="D547" s="3" t="s">
        <v>21</v>
      </c>
      <c r="E547" s="3" t="s">
        <v>25</v>
      </c>
      <c r="F547" s="3"/>
      <c r="G547" s="4">
        <v>46055.583333333336</v>
      </c>
      <c r="H547" s="6">
        <v>45924.583333333336</v>
      </c>
      <c r="I547" s="4">
        <v>45924</v>
      </c>
      <c r="J547" t="s">
        <v>1045</v>
      </c>
      <c r="K547" t="s">
        <v>1048</v>
      </c>
    </row>
    <row r="548" spans="1:11" ht="14.65" hidden="1">
      <c r="A548" t="s">
        <v>898</v>
      </c>
      <c r="B548" t="s">
        <v>921</v>
      </c>
      <c r="C548" t="s">
        <v>920</v>
      </c>
      <c r="D548" t="s">
        <v>21</v>
      </c>
      <c r="E548" t="s">
        <v>22</v>
      </c>
      <c r="F548">
        <v>9</v>
      </c>
      <c r="G548" s="1">
        <v>45841.375</v>
      </c>
      <c r="H548" s="2">
        <v>45841.708333333336</v>
      </c>
      <c r="I548" s="1">
        <v>45922</v>
      </c>
      <c r="J548" t="s">
        <v>1045</v>
      </c>
      <c r="K548" t="s">
        <v>1047</v>
      </c>
    </row>
    <row r="549" spans="1:11" ht="14.65" hidden="1">
      <c r="A549" t="s">
        <v>898</v>
      </c>
      <c r="B549" t="s">
        <v>923</v>
      </c>
      <c r="C549" t="s">
        <v>922</v>
      </c>
      <c r="D549" t="s">
        <v>21</v>
      </c>
      <c r="E549" t="s">
        <v>22</v>
      </c>
      <c r="F549">
        <v>23</v>
      </c>
      <c r="G549" s="1">
        <v>46044.395833333336</v>
      </c>
      <c r="H549" s="2">
        <v>46044.520833333336</v>
      </c>
      <c r="I549" s="1">
        <v>46047</v>
      </c>
      <c r="J549" t="s">
        <v>1045</v>
      </c>
      <c r="K549" t="s">
        <v>1047</v>
      </c>
    </row>
    <row r="550" spans="1:11" ht="14.65" hidden="1">
      <c r="A550" s="3" t="s">
        <v>925</v>
      </c>
      <c r="B550" s="3" t="s">
        <v>926</v>
      </c>
      <c r="C550" s="3" t="s">
        <v>924</v>
      </c>
      <c r="D550" s="3" t="s">
        <v>21</v>
      </c>
      <c r="E550" s="3" t="s">
        <v>22</v>
      </c>
      <c r="F550" s="3">
        <v>114</v>
      </c>
      <c r="G550" s="4">
        <v>45622.375</v>
      </c>
      <c r="H550" s="2">
        <v>45632.541666666664</v>
      </c>
      <c r="I550" s="1">
        <v>45936</v>
      </c>
      <c r="J550" t="s">
        <v>1045</v>
      </c>
      <c r="K550" t="s">
        <v>1048</v>
      </c>
    </row>
    <row r="551" spans="1:11" ht="14.65" hidden="1">
      <c r="A551" t="s">
        <v>925</v>
      </c>
      <c r="B551" t="s">
        <v>928</v>
      </c>
      <c r="C551" t="s">
        <v>927</v>
      </c>
      <c r="D551" t="s">
        <v>21</v>
      </c>
      <c r="E551" t="s">
        <v>22</v>
      </c>
      <c r="F551">
        <v>25</v>
      </c>
      <c r="G551" s="1">
        <v>46177.375</v>
      </c>
      <c r="H551" s="2">
        <v>45979.708333333336</v>
      </c>
      <c r="I551" s="1">
        <v>45944</v>
      </c>
      <c r="J551" t="s">
        <v>1045</v>
      </c>
      <c r="K551" t="s">
        <v>1047</v>
      </c>
    </row>
    <row r="552" spans="1:11" ht="14.65" hidden="1">
      <c r="A552" s="3" t="s">
        <v>925</v>
      </c>
      <c r="B552" s="3" t="s">
        <v>930</v>
      </c>
      <c r="C552" s="3" t="s">
        <v>929</v>
      </c>
      <c r="D552" s="3" t="s">
        <v>21</v>
      </c>
      <c r="E552" s="3" t="s">
        <v>22</v>
      </c>
      <c r="F552" s="3">
        <v>66</v>
      </c>
      <c r="G552" s="4">
        <v>45399.375</v>
      </c>
      <c r="H552" s="2">
        <v>45427.520833333336</v>
      </c>
      <c r="I552" s="1">
        <v>45915</v>
      </c>
      <c r="J552" t="s">
        <v>1045</v>
      </c>
      <c r="K552" t="s">
        <v>1048</v>
      </c>
    </row>
    <row r="553" spans="1:11" ht="14.65" hidden="1">
      <c r="A553" t="s">
        <v>925</v>
      </c>
      <c r="B553" t="s">
        <v>932</v>
      </c>
      <c r="C553" t="s">
        <v>931</v>
      </c>
      <c r="D553" t="s">
        <v>21</v>
      </c>
      <c r="E553" t="s">
        <v>22</v>
      </c>
      <c r="F553">
        <v>28</v>
      </c>
      <c r="G553" s="1">
        <v>46132.385416666664</v>
      </c>
      <c r="H553" s="2">
        <v>46002.729166666664</v>
      </c>
      <c r="I553" s="1">
        <v>45943</v>
      </c>
      <c r="J553" t="s">
        <v>1045</v>
      </c>
      <c r="K553" t="s">
        <v>1047</v>
      </c>
    </row>
    <row r="554" spans="1:11" ht="14.65" hidden="1">
      <c r="A554" t="s">
        <v>925</v>
      </c>
      <c r="B554" t="s">
        <v>934</v>
      </c>
      <c r="C554" t="s">
        <v>933</v>
      </c>
      <c r="D554" t="s">
        <v>21</v>
      </c>
      <c r="E554" t="s">
        <v>22</v>
      </c>
      <c r="F554">
        <v>4</v>
      </c>
      <c r="G554" s="1">
        <v>46078.395833333336</v>
      </c>
      <c r="H554" s="2">
        <v>45916.729166666664</v>
      </c>
      <c r="I554" s="1">
        <v>45918</v>
      </c>
      <c r="J554" t="s">
        <v>1045</v>
      </c>
      <c r="K554" t="s">
        <v>1047</v>
      </c>
    </row>
    <row r="555" spans="1:11" ht="14.65" hidden="1">
      <c r="A555" t="s">
        <v>936</v>
      </c>
      <c r="B555" t="s">
        <v>937</v>
      </c>
      <c r="C555" t="s">
        <v>935</v>
      </c>
      <c r="D555" t="s">
        <v>21</v>
      </c>
      <c r="E555" t="s">
        <v>22</v>
      </c>
      <c r="F555">
        <v>5</v>
      </c>
      <c r="G555" s="1">
        <v>45992.395833333336</v>
      </c>
      <c r="H555" s="2">
        <v>45993.708333333336</v>
      </c>
      <c r="I555" s="1">
        <v>45939</v>
      </c>
      <c r="J555" t="s">
        <v>1045</v>
      </c>
      <c r="K555" t="s">
        <v>1047</v>
      </c>
    </row>
    <row r="556" spans="1:11" ht="14.65" hidden="1">
      <c r="A556" t="s">
        <v>936</v>
      </c>
      <c r="B556" t="s">
        <v>1203</v>
      </c>
      <c r="C556" t="s">
        <v>1204</v>
      </c>
      <c r="D556" t="s">
        <v>21</v>
      </c>
      <c r="E556" t="s">
        <v>25</v>
      </c>
      <c r="G556" s="1">
        <v>46104.583333333336</v>
      </c>
      <c r="H556" s="2">
        <v>46106.583333333336</v>
      </c>
      <c r="I556" s="1">
        <v>46089</v>
      </c>
      <c r="J556" t="s">
        <v>1045</v>
      </c>
      <c r="K556" t="s">
        <v>1047</v>
      </c>
    </row>
    <row r="557" spans="1:11" ht="14.65" hidden="1">
      <c r="A557" t="s">
        <v>936</v>
      </c>
      <c r="B557" t="s">
        <v>73</v>
      </c>
      <c r="C557" t="s">
        <v>71</v>
      </c>
      <c r="D557" t="s">
        <v>21</v>
      </c>
      <c r="E557" t="s">
        <v>22</v>
      </c>
      <c r="F557">
        <v>18</v>
      </c>
      <c r="G557" s="1">
        <v>46023.333333333336</v>
      </c>
      <c r="H557" s="2">
        <v>46022.75</v>
      </c>
      <c r="I557" s="1">
        <v>45944</v>
      </c>
      <c r="J557" t="s">
        <v>1045</v>
      </c>
      <c r="K557" t="s">
        <v>1047</v>
      </c>
    </row>
    <row r="558" spans="1:11" ht="14.65" hidden="1">
      <c r="A558" t="s">
        <v>936</v>
      </c>
      <c r="B558" t="s">
        <v>35</v>
      </c>
      <c r="C558" t="s">
        <v>34</v>
      </c>
      <c r="D558" t="s">
        <v>21</v>
      </c>
      <c r="E558" t="s">
        <v>22</v>
      </c>
      <c r="F558">
        <v>36</v>
      </c>
      <c r="G558" s="1">
        <v>46027.333333333336</v>
      </c>
      <c r="H558" s="2">
        <v>46022.333333333336</v>
      </c>
      <c r="I558" s="1">
        <v>45944</v>
      </c>
      <c r="J558" t="s">
        <v>1045</v>
      </c>
      <c r="K558" t="s">
        <v>1047</v>
      </c>
    </row>
    <row r="559" spans="1:11" ht="14.65" hidden="1">
      <c r="A559" t="s">
        <v>936</v>
      </c>
      <c r="B559" t="s">
        <v>939</v>
      </c>
      <c r="C559" t="s">
        <v>938</v>
      </c>
      <c r="D559" t="s">
        <v>21</v>
      </c>
      <c r="E559" t="s">
        <v>22</v>
      </c>
      <c r="F559">
        <v>12</v>
      </c>
      <c r="G559" s="1">
        <v>45978.583333333336</v>
      </c>
      <c r="H559" s="2">
        <v>45980.520833333336</v>
      </c>
      <c r="I559" s="1">
        <v>46044</v>
      </c>
      <c r="J559" t="s">
        <v>1045</v>
      </c>
      <c r="K559" t="s">
        <v>1047</v>
      </c>
    </row>
    <row r="560" spans="1:11" ht="14.65" hidden="1">
      <c r="A560" t="s">
        <v>941</v>
      </c>
      <c r="B560" t="s">
        <v>942</v>
      </c>
      <c r="C560" t="s">
        <v>940</v>
      </c>
      <c r="D560" t="s">
        <v>21</v>
      </c>
      <c r="E560" t="s">
        <v>22</v>
      </c>
      <c r="F560">
        <v>5</v>
      </c>
      <c r="G560" s="1">
        <v>46002.395833333336</v>
      </c>
      <c r="H560" s="2">
        <v>45918.708333333336</v>
      </c>
      <c r="I560" s="1">
        <v>45939</v>
      </c>
      <c r="J560" t="s">
        <v>1045</v>
      </c>
      <c r="K560" t="s">
        <v>1047</v>
      </c>
    </row>
    <row r="561" spans="1:11" ht="14.65">
      <c r="A561" t="s">
        <v>14</v>
      </c>
      <c r="B561" t="s">
        <v>15</v>
      </c>
      <c r="C561" t="s">
        <v>13</v>
      </c>
      <c r="D561" t="s">
        <v>16</v>
      </c>
      <c r="G561" s="1" t="s">
        <v>17</v>
      </c>
      <c r="I561" s="1">
        <v>45944</v>
      </c>
      <c r="J561" t="s">
        <v>22</v>
      </c>
      <c r="K561" t="s">
        <v>1047</v>
      </c>
    </row>
    <row r="562" spans="1:11" ht="14.65" hidden="1">
      <c r="A562" s="3" t="s">
        <v>944</v>
      </c>
      <c r="B562" s="3" t="s">
        <v>945</v>
      </c>
      <c r="C562" s="3" t="s">
        <v>943</v>
      </c>
      <c r="D562" s="3" t="s">
        <v>38</v>
      </c>
      <c r="E562" s="3"/>
      <c r="F562" s="3"/>
      <c r="G562" s="4"/>
      <c r="I562" s="1">
        <v>45923</v>
      </c>
      <c r="J562" t="s">
        <v>1045</v>
      </c>
      <c r="K562" t="s">
        <v>1048</v>
      </c>
    </row>
    <row r="563" spans="1:11" ht="15" hidden="1" customHeight="1">
      <c r="A563" t="s">
        <v>944</v>
      </c>
      <c r="B563" t="s">
        <v>15</v>
      </c>
      <c r="C563" t="s">
        <v>13</v>
      </c>
      <c r="D563" t="s">
        <v>16</v>
      </c>
      <c r="G563" s="1" t="s">
        <v>17</v>
      </c>
      <c r="I563" s="1">
        <v>45944</v>
      </c>
      <c r="J563" t="s">
        <v>1045</v>
      </c>
      <c r="K563" t="s">
        <v>1205</v>
      </c>
    </row>
    <row r="564" spans="1:11" ht="15" customHeight="1">
      <c r="A564" t="s">
        <v>944</v>
      </c>
      <c r="B564" t="s">
        <v>946</v>
      </c>
      <c r="D564" t="s">
        <v>76</v>
      </c>
      <c r="G564" s="1"/>
      <c r="H564" s="2"/>
      <c r="I564" s="1"/>
      <c r="J564" t="s">
        <v>22</v>
      </c>
      <c r="K564" s="16" t="s">
        <v>1206</v>
      </c>
    </row>
    <row r="565" spans="1:11" ht="15" hidden="1" customHeight="1">
      <c r="A565" t="s">
        <v>944</v>
      </c>
      <c r="B565" t="s">
        <v>948</v>
      </c>
      <c r="C565" t="s">
        <v>947</v>
      </c>
      <c r="D565" t="s">
        <v>21</v>
      </c>
      <c r="E565" t="s">
        <v>22</v>
      </c>
      <c r="F565">
        <v>15</v>
      </c>
      <c r="G565" s="1">
        <v>45800.416666666664</v>
      </c>
      <c r="H565" s="2">
        <v>45800.5</v>
      </c>
      <c r="I565" s="1">
        <v>45944</v>
      </c>
      <c r="J565" t="s">
        <v>1045</v>
      </c>
      <c r="K565" t="s">
        <v>1047</v>
      </c>
    </row>
    <row r="566" spans="1:11" ht="15" customHeight="1">
      <c r="A566" s="16" t="s">
        <v>944</v>
      </c>
      <c r="G566" s="1"/>
      <c r="H566" s="2"/>
      <c r="I566" s="1"/>
      <c r="J566" t="s">
        <v>22</v>
      </c>
      <c r="K566" s="21" t="s">
        <v>1207</v>
      </c>
    </row>
    <row r="567" spans="1:11" ht="15" hidden="1" customHeight="1">
      <c r="A567" t="s">
        <v>950</v>
      </c>
      <c r="B567" t="s">
        <v>951</v>
      </c>
      <c r="C567" t="s">
        <v>949</v>
      </c>
      <c r="D567" t="s">
        <v>16</v>
      </c>
      <c r="G567" s="1" t="s">
        <v>17</v>
      </c>
      <c r="I567" s="1">
        <v>45913</v>
      </c>
      <c r="J567" t="s">
        <v>1045</v>
      </c>
      <c r="K567" t="s">
        <v>1047</v>
      </c>
    </row>
    <row r="568" spans="1:11" ht="15" hidden="1" customHeight="1">
      <c r="A568" s="3" t="s">
        <v>950</v>
      </c>
      <c r="B568" s="3" t="s">
        <v>953</v>
      </c>
      <c r="C568" s="3" t="s">
        <v>952</v>
      </c>
      <c r="D568" s="3" t="s">
        <v>21</v>
      </c>
      <c r="E568" s="3" t="s">
        <v>22</v>
      </c>
      <c r="F568" s="3">
        <v>9</v>
      </c>
      <c r="G568" s="4">
        <v>45832.625</v>
      </c>
      <c r="H568" s="2">
        <v>45832.6875</v>
      </c>
      <c r="I568" s="1">
        <v>45908</v>
      </c>
      <c r="J568" t="s">
        <v>1045</v>
      </c>
      <c r="K568" t="s">
        <v>1048</v>
      </c>
    </row>
    <row r="569" spans="1:11" ht="15" hidden="1" customHeight="1">
      <c r="A569" s="3" t="s">
        <v>950</v>
      </c>
      <c r="B569" s="3" t="s">
        <v>945</v>
      </c>
      <c r="C569" s="3" t="s">
        <v>943</v>
      </c>
      <c r="D569" t="s">
        <v>38</v>
      </c>
      <c r="F569" s="3"/>
      <c r="G569" s="4"/>
      <c r="I569" s="1">
        <v>45923</v>
      </c>
      <c r="J569" t="s">
        <v>1045</v>
      </c>
      <c r="K569" t="s">
        <v>1048</v>
      </c>
    </row>
    <row r="570" spans="1:11" ht="15" hidden="1" customHeight="1">
      <c r="A570" t="s">
        <v>950</v>
      </c>
      <c r="B570" t="s">
        <v>15</v>
      </c>
      <c r="C570" t="s">
        <v>13</v>
      </c>
      <c r="F570" s="3"/>
      <c r="G570" s="1" t="s">
        <v>17</v>
      </c>
      <c r="H570" s="2"/>
      <c r="I570" s="1"/>
      <c r="J570" t="s">
        <v>1045</v>
      </c>
      <c r="K570" t="s">
        <v>1205</v>
      </c>
    </row>
    <row r="571" spans="1:11" ht="15" customHeight="1">
      <c r="A571" s="16"/>
      <c r="F571" s="3"/>
      <c r="G571" s="1"/>
      <c r="H571" s="2"/>
      <c r="I571" s="1"/>
      <c r="J571" t="s">
        <v>22</v>
      </c>
      <c r="K571" s="16" t="s">
        <v>1208</v>
      </c>
    </row>
    <row r="572" spans="1:11" ht="15" hidden="1" customHeight="1">
      <c r="A572" t="s">
        <v>950</v>
      </c>
      <c r="B572" t="s">
        <v>955</v>
      </c>
      <c r="C572" t="s">
        <v>954</v>
      </c>
      <c r="D572" t="s">
        <v>21</v>
      </c>
      <c r="E572" t="s">
        <v>22</v>
      </c>
      <c r="F572">
        <v>18</v>
      </c>
      <c r="G572" s="1">
        <v>45958.447916666664</v>
      </c>
      <c r="H572" s="2">
        <v>45839.520833333336</v>
      </c>
      <c r="I572" s="1">
        <v>45940</v>
      </c>
      <c r="J572" t="s">
        <v>1045</v>
      </c>
      <c r="K572" t="s">
        <v>1047</v>
      </c>
    </row>
    <row r="573" spans="1:11" ht="15" hidden="1" customHeight="1">
      <c r="A573" t="s">
        <v>950</v>
      </c>
      <c r="B573" t="s">
        <v>957</v>
      </c>
      <c r="C573" t="s">
        <v>956</v>
      </c>
      <c r="D573" t="s">
        <v>21</v>
      </c>
      <c r="E573" t="s">
        <v>22</v>
      </c>
      <c r="F573">
        <v>4</v>
      </c>
      <c r="G573" s="1">
        <v>46080.458333333336</v>
      </c>
      <c r="H573" s="2">
        <v>45982.520833333336</v>
      </c>
      <c r="I573" s="1">
        <v>45944</v>
      </c>
      <c r="J573" t="s">
        <v>1045</v>
      </c>
      <c r="K573" t="s">
        <v>1047</v>
      </c>
    </row>
    <row r="574" spans="1:11" ht="15" customHeight="1">
      <c r="A574" t="s">
        <v>950</v>
      </c>
      <c r="B574" t="s">
        <v>959</v>
      </c>
      <c r="C574" t="s">
        <v>958</v>
      </c>
      <c r="D574" t="s">
        <v>21</v>
      </c>
      <c r="E574" t="s">
        <v>22</v>
      </c>
      <c r="F574">
        <v>22</v>
      </c>
      <c r="G574" s="1">
        <v>46076.354166666664</v>
      </c>
      <c r="H574" s="2">
        <v>45994.729166666664</v>
      </c>
      <c r="I574" s="1">
        <v>45945</v>
      </c>
      <c r="J574" t="s">
        <v>22</v>
      </c>
      <c r="K574" t="s">
        <v>1047</v>
      </c>
    </row>
    <row r="575" spans="1:11" ht="15" hidden="1" customHeight="1">
      <c r="A575" t="s">
        <v>950</v>
      </c>
      <c r="B575" t="s">
        <v>961</v>
      </c>
      <c r="C575" t="s">
        <v>960</v>
      </c>
      <c r="D575" t="s">
        <v>21</v>
      </c>
      <c r="E575" t="s">
        <v>22</v>
      </c>
      <c r="F575">
        <v>12</v>
      </c>
      <c r="G575" s="1">
        <v>46139.625</v>
      </c>
      <c r="H575" s="2">
        <v>46006.6875</v>
      </c>
      <c r="I575" s="1">
        <v>45944</v>
      </c>
      <c r="J575" t="s">
        <v>1045</v>
      </c>
      <c r="K575" t="s">
        <v>1209</v>
      </c>
    </row>
    <row r="576" spans="1:11" ht="15" customHeight="1">
      <c r="A576" t="s">
        <v>950</v>
      </c>
      <c r="B576" t="s">
        <v>963</v>
      </c>
      <c r="C576" t="s">
        <v>962</v>
      </c>
      <c r="D576" t="s">
        <v>38</v>
      </c>
      <c r="G576" s="1"/>
      <c r="I576" s="1">
        <v>45944</v>
      </c>
      <c r="J576" t="s">
        <v>22</v>
      </c>
      <c r="K576" t="s">
        <v>1047</v>
      </c>
    </row>
    <row r="577" spans="1:11" ht="15" customHeight="1">
      <c r="A577" t="s">
        <v>950</v>
      </c>
      <c r="B577" t="s">
        <v>965</v>
      </c>
      <c r="C577" t="s">
        <v>964</v>
      </c>
      <c r="D577" t="s">
        <v>21</v>
      </c>
      <c r="E577" t="s">
        <v>22</v>
      </c>
      <c r="F577">
        <v>28</v>
      </c>
      <c r="G577" s="1">
        <v>46195.604166666664</v>
      </c>
      <c r="H577" s="2">
        <v>45996.520833333336</v>
      </c>
      <c r="I577" s="1">
        <v>45940</v>
      </c>
      <c r="J577" t="s">
        <v>22</v>
      </c>
      <c r="K577" t="s">
        <v>1047</v>
      </c>
    </row>
    <row r="578" spans="1:11" ht="15" customHeight="1">
      <c r="A578" t="s">
        <v>950</v>
      </c>
      <c r="B578" t="s">
        <v>558</v>
      </c>
      <c r="C578" t="s">
        <v>557</v>
      </c>
      <c r="D578" t="s">
        <v>21</v>
      </c>
      <c r="E578" t="s">
        <v>22</v>
      </c>
      <c r="F578">
        <v>43</v>
      </c>
      <c r="G578" s="1">
        <v>46126.5625</v>
      </c>
      <c r="H578" s="2">
        <v>45996.520833333336</v>
      </c>
      <c r="I578" s="1">
        <v>45944</v>
      </c>
      <c r="J578" t="s">
        <v>22</v>
      </c>
      <c r="K578" t="s">
        <v>1047</v>
      </c>
    </row>
    <row r="579" spans="1:11" ht="15" hidden="1" customHeight="1">
      <c r="A579" t="s">
        <v>950</v>
      </c>
      <c r="B579" t="s">
        <v>967</v>
      </c>
      <c r="C579" t="s">
        <v>966</v>
      </c>
      <c r="D579" t="s">
        <v>21</v>
      </c>
      <c r="E579" t="s">
        <v>22</v>
      </c>
      <c r="F579">
        <v>16</v>
      </c>
      <c r="G579" s="1">
        <v>46141.5</v>
      </c>
      <c r="H579" s="2">
        <v>45986.427083333336</v>
      </c>
      <c r="I579" s="1">
        <v>45945</v>
      </c>
      <c r="J579" t="s">
        <v>1045</v>
      </c>
      <c r="K579" t="s">
        <v>1047</v>
      </c>
    </row>
    <row r="580" spans="1:11" ht="15" customHeight="1">
      <c r="A580" t="s">
        <v>1210</v>
      </c>
      <c r="G580" s="1"/>
      <c r="H580" s="2"/>
      <c r="I580" s="1"/>
      <c r="J580" t="s">
        <v>22</v>
      </c>
      <c r="K580" t="s">
        <v>1211</v>
      </c>
    </row>
    <row r="581" spans="1:11" ht="15" hidden="1" customHeight="1">
      <c r="A581" t="s">
        <v>969</v>
      </c>
      <c r="B581" t="s">
        <v>970</v>
      </c>
      <c r="C581" t="s">
        <v>968</v>
      </c>
      <c r="D581" t="s">
        <v>38</v>
      </c>
      <c r="G581" s="1"/>
      <c r="H581" s="2"/>
      <c r="I581" s="1">
        <v>46044</v>
      </c>
      <c r="J581" t="s">
        <v>1045</v>
      </c>
      <c r="K581" t="s">
        <v>1047</v>
      </c>
    </row>
    <row r="582" spans="1:11" ht="15" hidden="1" customHeight="1">
      <c r="A582" t="s">
        <v>969</v>
      </c>
      <c r="B582" t="s">
        <v>972</v>
      </c>
      <c r="C582" t="s">
        <v>971</v>
      </c>
      <c r="D582" t="s">
        <v>38</v>
      </c>
      <c r="G582" s="1"/>
      <c r="H582" s="2"/>
      <c r="I582" s="1">
        <v>46052</v>
      </c>
      <c r="J582" t="s">
        <v>1045</v>
      </c>
      <c r="K582" t="s">
        <v>1047</v>
      </c>
    </row>
    <row r="583" spans="1:11" ht="15" hidden="1" customHeight="1">
      <c r="A583" t="s">
        <v>969</v>
      </c>
      <c r="B583" t="s">
        <v>974</v>
      </c>
      <c r="C583" t="s">
        <v>973</v>
      </c>
      <c r="D583" t="s">
        <v>38</v>
      </c>
      <c r="G583" s="1"/>
      <c r="H583" s="2"/>
      <c r="I583" s="1">
        <v>45961</v>
      </c>
      <c r="J583" t="s">
        <v>1045</v>
      </c>
      <c r="K583" t="s">
        <v>1047</v>
      </c>
    </row>
    <row r="584" spans="1:11" ht="15" hidden="1" customHeight="1">
      <c r="A584" t="s">
        <v>976</v>
      </c>
      <c r="B584" t="s">
        <v>977</v>
      </c>
      <c r="C584" t="s">
        <v>975</v>
      </c>
      <c r="D584" t="s">
        <v>38</v>
      </c>
      <c r="G584" s="1"/>
      <c r="H584" s="2"/>
      <c r="I584" s="1">
        <v>46008</v>
      </c>
      <c r="J584" t="s">
        <v>1045</v>
      </c>
      <c r="K584" t="s">
        <v>1047</v>
      </c>
    </row>
    <row r="585" spans="1:11" ht="15" hidden="1" customHeight="1">
      <c r="A585" t="s">
        <v>976</v>
      </c>
      <c r="B585" t="s">
        <v>979</v>
      </c>
      <c r="C585" t="s">
        <v>978</v>
      </c>
      <c r="D585" t="s">
        <v>38</v>
      </c>
      <c r="G585" s="1"/>
      <c r="H585" s="2"/>
      <c r="I585" s="1">
        <v>45975</v>
      </c>
      <c r="J585" t="s">
        <v>1045</v>
      </c>
      <c r="K585" t="s">
        <v>1047</v>
      </c>
    </row>
    <row r="586" spans="1:11" ht="15" hidden="1" customHeight="1">
      <c r="A586" t="s">
        <v>981</v>
      </c>
      <c r="B586" t="s">
        <v>982</v>
      </c>
      <c r="C586" t="s">
        <v>980</v>
      </c>
      <c r="D586" t="s">
        <v>38</v>
      </c>
      <c r="G586" s="1"/>
      <c r="H586" s="2"/>
      <c r="I586" s="1"/>
      <c r="J586" t="s">
        <v>1045</v>
      </c>
      <c r="K586" t="s">
        <v>1047</v>
      </c>
    </row>
    <row r="587" spans="1:11" ht="15" hidden="1" customHeight="1">
      <c r="A587" t="s">
        <v>981</v>
      </c>
      <c r="B587" t="s">
        <v>984</v>
      </c>
      <c r="C587" t="s">
        <v>983</v>
      </c>
      <c r="D587" t="s">
        <v>38</v>
      </c>
      <c r="G587" s="1"/>
      <c r="H587" s="2"/>
      <c r="I587" s="1"/>
      <c r="J587" t="s">
        <v>1045</v>
      </c>
      <c r="K587" t="s">
        <v>1047</v>
      </c>
    </row>
    <row r="588" spans="1:11" ht="15" hidden="1" customHeight="1">
      <c r="A588" t="s">
        <v>986</v>
      </c>
      <c r="B588" t="s">
        <v>987</v>
      </c>
      <c r="C588" t="s">
        <v>985</v>
      </c>
      <c r="D588" t="s">
        <v>38</v>
      </c>
      <c r="G588" s="1"/>
      <c r="H588" s="2"/>
      <c r="I588" s="1">
        <v>45897</v>
      </c>
      <c r="J588" t="s">
        <v>1045</v>
      </c>
      <c r="K588" t="s">
        <v>1047</v>
      </c>
    </row>
    <row r="589" spans="1:11" ht="15" hidden="1" customHeight="1">
      <c r="A589" t="s">
        <v>986</v>
      </c>
      <c r="B589" t="s">
        <v>989</v>
      </c>
      <c r="C589" t="s">
        <v>988</v>
      </c>
      <c r="D589" t="s">
        <v>38</v>
      </c>
      <c r="G589" s="1"/>
      <c r="H589" s="2"/>
      <c r="I589" s="1">
        <v>45693</v>
      </c>
      <c r="J589" t="s">
        <v>1045</v>
      </c>
      <c r="K589" t="s">
        <v>1047</v>
      </c>
    </row>
    <row r="590" spans="1:11" ht="15" hidden="1" customHeight="1">
      <c r="A590" t="s">
        <v>1212</v>
      </c>
      <c r="B590" t="s">
        <v>1213</v>
      </c>
      <c r="C590" t="s">
        <v>1214</v>
      </c>
      <c r="D590" t="s">
        <v>38</v>
      </c>
      <c r="G590" s="1"/>
      <c r="H590" s="2"/>
      <c r="I590" s="1"/>
      <c r="J590" t="s">
        <v>1045</v>
      </c>
      <c r="K590" t="s">
        <v>1047</v>
      </c>
    </row>
    <row r="591" spans="1:11" ht="15" hidden="1" customHeight="1">
      <c r="A591" t="s">
        <v>1212</v>
      </c>
      <c r="B591" t="s">
        <v>1215</v>
      </c>
      <c r="C591" t="s">
        <v>1216</v>
      </c>
      <c r="D591" t="s">
        <v>38</v>
      </c>
      <c r="G591" s="1"/>
      <c r="H591" s="2"/>
      <c r="I591" s="1"/>
      <c r="J591" t="s">
        <v>1045</v>
      </c>
      <c r="K591" t="s">
        <v>1047</v>
      </c>
    </row>
    <row r="592" spans="1:11" ht="15" hidden="1" customHeight="1">
      <c r="A592" t="s">
        <v>1212</v>
      </c>
      <c r="B592" t="s">
        <v>1217</v>
      </c>
      <c r="C592" t="s">
        <v>1218</v>
      </c>
      <c r="D592" t="s">
        <v>38</v>
      </c>
      <c r="G592" s="1"/>
      <c r="H592" s="2"/>
      <c r="I592" s="1"/>
      <c r="J592" t="s">
        <v>1045</v>
      </c>
      <c r="K592" t="s">
        <v>1047</v>
      </c>
    </row>
    <row r="593" spans="1:11" ht="15" hidden="1" customHeight="1">
      <c r="A593" s="3" t="s">
        <v>1023</v>
      </c>
      <c r="B593" s="3" t="s">
        <v>1024</v>
      </c>
      <c r="C593" s="3" t="s">
        <v>1022</v>
      </c>
      <c r="D593" t="s">
        <v>16</v>
      </c>
      <c r="F593" s="3"/>
      <c r="G593" s="4">
        <v>46059.458333333336</v>
      </c>
      <c r="H593" s="2">
        <v>46059.5</v>
      </c>
      <c r="I593" s="1">
        <v>46056</v>
      </c>
      <c r="J593" t="s">
        <v>1045</v>
      </c>
      <c r="K593" t="s">
        <v>1048</v>
      </c>
    </row>
    <row r="594" spans="1:11" ht="15" customHeight="1">
      <c r="A594" t="s">
        <v>1023</v>
      </c>
      <c r="B594" t="s">
        <v>1026</v>
      </c>
      <c r="C594" t="s">
        <v>1027</v>
      </c>
      <c r="D594" t="s">
        <v>21</v>
      </c>
      <c r="E594" t="s">
        <v>22</v>
      </c>
      <c r="F594">
        <v>33</v>
      </c>
      <c r="G594" s="1">
        <v>46198.395833333336</v>
      </c>
      <c r="H594" s="2">
        <v>46001.520833333336</v>
      </c>
      <c r="I594" s="1">
        <v>45944</v>
      </c>
      <c r="J594" t="s">
        <v>22</v>
      </c>
      <c r="K594" t="s">
        <v>1047</v>
      </c>
    </row>
    <row r="595" spans="1:11" ht="15" hidden="1" customHeight="1">
      <c r="A595" s="3" t="s">
        <v>1023</v>
      </c>
      <c r="B595" s="3" t="s">
        <v>1026</v>
      </c>
      <c r="C595" s="3" t="s">
        <v>1025</v>
      </c>
      <c r="D595" s="3" t="s">
        <v>21</v>
      </c>
      <c r="E595" s="3" t="s">
        <v>22</v>
      </c>
      <c r="F595" s="3">
        <v>20</v>
      </c>
      <c r="G595" s="4">
        <v>45819.375</v>
      </c>
      <c r="H595" s="6">
        <v>45819.479166666664</v>
      </c>
      <c r="I595" s="4">
        <v>45944</v>
      </c>
      <c r="J595" t="s">
        <v>1045</v>
      </c>
      <c r="K595" t="s">
        <v>1048</v>
      </c>
    </row>
    <row r="596" spans="1:11" ht="15" hidden="1" customHeight="1">
      <c r="A596" t="s">
        <v>1023</v>
      </c>
      <c r="B596" t="s">
        <v>1029</v>
      </c>
      <c r="C596" t="s">
        <v>1028</v>
      </c>
      <c r="D596" t="s">
        <v>21</v>
      </c>
      <c r="E596" t="s">
        <v>22</v>
      </c>
      <c r="F596">
        <v>14</v>
      </c>
      <c r="G596" s="1">
        <v>46345.375</v>
      </c>
      <c r="H596" s="2">
        <v>46000.708333333336</v>
      </c>
      <c r="I596" s="1">
        <v>45944</v>
      </c>
      <c r="J596" t="s">
        <v>1045</v>
      </c>
      <c r="K596" t="s">
        <v>1047</v>
      </c>
    </row>
    <row r="597" spans="1:11" ht="15" customHeight="1">
      <c r="A597" t="s">
        <v>1023</v>
      </c>
      <c r="B597" t="s">
        <v>1031</v>
      </c>
      <c r="C597" t="s">
        <v>1030</v>
      </c>
      <c r="D597" t="s">
        <v>21</v>
      </c>
      <c r="E597" t="s">
        <v>25</v>
      </c>
      <c r="G597" s="1">
        <v>45770.333333333336</v>
      </c>
      <c r="H597" s="2">
        <v>47330.333333333336</v>
      </c>
      <c r="I597" t="s">
        <v>198</v>
      </c>
      <c r="J597" t="s">
        <v>22</v>
      </c>
      <c r="K597" t="s">
        <v>1047</v>
      </c>
    </row>
    <row r="598" spans="1:11" ht="15" customHeight="1">
      <c r="A598" t="s">
        <v>1023</v>
      </c>
      <c r="B598" t="s">
        <v>1033</v>
      </c>
      <c r="C598" t="s">
        <v>1032</v>
      </c>
      <c r="D598" t="s">
        <v>21</v>
      </c>
      <c r="E598" t="s">
        <v>22</v>
      </c>
      <c r="F598">
        <v>31</v>
      </c>
      <c r="G598" s="1">
        <v>46359.395833333336</v>
      </c>
      <c r="H598" s="2">
        <v>46359.708333333336</v>
      </c>
      <c r="I598" s="1">
        <v>46056</v>
      </c>
      <c r="J598" t="s">
        <v>22</v>
      </c>
      <c r="K598" t="s">
        <v>1047</v>
      </c>
    </row>
    <row r="599" spans="1:11" ht="15" customHeight="1">
      <c r="A599" s="18" t="s">
        <v>1023</v>
      </c>
      <c r="B599" s="18" t="s">
        <v>1035</v>
      </c>
      <c r="C599" s="18" t="s">
        <v>1034</v>
      </c>
      <c r="D599" s="3" t="s">
        <v>21</v>
      </c>
      <c r="E599" s="3" t="s">
        <v>25</v>
      </c>
      <c r="F599" s="3"/>
      <c r="G599" s="19">
        <v>45727.333333333336</v>
      </c>
      <c r="H599" s="6">
        <v>47330.333333333336</v>
      </c>
      <c r="I599" s="3" t="s">
        <v>198</v>
      </c>
      <c r="J599" s="16" t="s">
        <v>22</v>
      </c>
      <c r="K599" s="16" t="s">
        <v>1048</v>
      </c>
    </row>
    <row r="600" spans="1:11" ht="15" customHeight="1">
      <c r="A600" t="s">
        <v>1023</v>
      </c>
      <c r="B600" t="s">
        <v>1039</v>
      </c>
      <c r="C600" t="s">
        <v>1038</v>
      </c>
      <c r="D600" t="s">
        <v>21</v>
      </c>
      <c r="E600" t="s">
        <v>22</v>
      </c>
      <c r="F600">
        <v>18</v>
      </c>
      <c r="G600" s="1">
        <v>46083.416666666664</v>
      </c>
      <c r="H600" s="2">
        <v>46086.416666666664</v>
      </c>
      <c r="I600" s="1">
        <v>45937</v>
      </c>
      <c r="J600" t="s">
        <v>22</v>
      </c>
      <c r="K600" t="s">
        <v>1047</v>
      </c>
    </row>
    <row r="601" spans="1:11" ht="15" hidden="1" customHeight="1">
      <c r="A601" t="s">
        <v>1023</v>
      </c>
      <c r="B601" t="s">
        <v>1037</v>
      </c>
      <c r="C601" t="s">
        <v>1036</v>
      </c>
      <c r="D601" t="s">
        <v>21</v>
      </c>
      <c r="E601" t="s">
        <v>22</v>
      </c>
      <c r="F601">
        <v>20</v>
      </c>
      <c r="G601" s="1">
        <v>45757.520833333336</v>
      </c>
      <c r="H601" s="2">
        <v>45757.583333333336</v>
      </c>
      <c r="I601" s="1">
        <v>45944</v>
      </c>
      <c r="J601" t="s">
        <v>1045</v>
      </c>
      <c r="K601" t="s">
        <v>1047</v>
      </c>
    </row>
    <row r="602" spans="1:11" ht="15" hidden="1" customHeight="1">
      <c r="A602" s="3" t="s">
        <v>1023</v>
      </c>
      <c r="B602" s="3" t="s">
        <v>1041</v>
      </c>
      <c r="C602" s="3" t="s">
        <v>1040</v>
      </c>
      <c r="D602" t="s">
        <v>16</v>
      </c>
      <c r="F602" s="3"/>
      <c r="G602" s="1">
        <v>45939.53125</v>
      </c>
      <c r="H602" s="2">
        <v>45988.583333333336</v>
      </c>
      <c r="I602" s="1">
        <v>45939</v>
      </c>
      <c r="J602" t="s">
        <v>1045</v>
      </c>
      <c r="K602" t="s">
        <v>1048</v>
      </c>
    </row>
    <row r="603" spans="1:11" ht="15" hidden="1" customHeight="1">
      <c r="A603" t="s">
        <v>1023</v>
      </c>
      <c r="B603" t="s">
        <v>472</v>
      </c>
      <c r="C603" t="s">
        <v>1042</v>
      </c>
      <c r="D603" t="s">
        <v>21</v>
      </c>
      <c r="E603" t="s">
        <v>25</v>
      </c>
      <c r="G603" s="1">
        <v>46035.375</v>
      </c>
      <c r="H603" s="2">
        <v>46091.4375</v>
      </c>
      <c r="I603" s="1">
        <v>46034</v>
      </c>
      <c r="J603" t="s">
        <v>1045</v>
      </c>
      <c r="K603" t="s">
        <v>1219</v>
      </c>
    </row>
  </sheetData>
  <phoneticPr fontId="20" type="noConversion"/>
  <conditionalFormatting sqref="J3:J603">
    <cfRule type="containsText" dxfId="28" priority="3" operator="containsText" text="Yes">
      <formula>NOT(ISERROR(SEARCH("Yes",J3)))</formula>
    </cfRule>
  </conditionalFormatting>
  <conditionalFormatting sqref="J3:J603">
    <cfRule type="containsText" dxfId="27" priority="2" operator="containsText" text="No">
      <formula>NOT(ISERROR(SEARCH("No",J3)))</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'drop down'!$H$3:$H$4</xm:f>
          </x14:formula1>
          <xm:sqref>J3:J603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89D49-820D-4E1C-A547-F3AEFA893759}">
  <dimension ref="A1:BI105"/>
  <sheetViews>
    <sheetView workbookViewId="0">
      <pane ySplit="1" topLeftCell="A49" activePane="bottomLeft" state="frozen"/>
      <selection pane="bottomLeft" activeCell="F93" sqref="F93"/>
    </sheetView>
  </sheetViews>
  <sheetFormatPr defaultColWidth="9.140625" defaultRowHeight="14.65"/>
  <cols>
    <col min="1" max="1" width="49.5703125" style="55" customWidth="1"/>
    <col min="2" max="2" width="50.5703125" style="55" customWidth="1"/>
    <col min="3" max="3" width="15.5703125" style="156" customWidth="1"/>
    <col min="4" max="4" width="15.42578125" style="71" customWidth="1"/>
    <col min="5" max="5" width="33" style="56" customWidth="1"/>
    <col min="6" max="6" width="31.42578125" style="56" customWidth="1"/>
    <col min="7" max="7" width="30.140625" style="56" customWidth="1"/>
    <col min="8" max="8" width="17" style="55" customWidth="1"/>
    <col min="9" max="9" width="24.5703125" style="55" customWidth="1"/>
    <col min="10" max="10" width="9.140625" style="67" customWidth="1"/>
    <col min="11" max="16384" width="9.140625" style="55"/>
  </cols>
  <sheetData>
    <row r="1" spans="1:61" s="59" customFormat="1" ht="22.5" customHeight="1">
      <c r="A1" s="57" t="s">
        <v>3</v>
      </c>
      <c r="B1" s="58" t="s">
        <v>4</v>
      </c>
      <c r="C1" s="157" t="s">
        <v>0</v>
      </c>
      <c r="D1" s="74" t="s">
        <v>1220</v>
      </c>
      <c r="E1" s="180" t="s">
        <v>1221</v>
      </c>
      <c r="F1" s="180" t="s">
        <v>1222</v>
      </c>
      <c r="G1" s="180" t="s">
        <v>1223</v>
      </c>
      <c r="H1" s="180" t="s">
        <v>1224</v>
      </c>
      <c r="I1" s="180" t="s">
        <v>1225</v>
      </c>
      <c r="J1" s="180" t="s">
        <v>1226</v>
      </c>
    </row>
    <row r="2" spans="1:61" s="162" customFormat="1" ht="22.5" customHeight="1">
      <c r="A2" s="79" t="s">
        <v>19</v>
      </c>
      <c r="B2" s="80" t="s">
        <v>1049</v>
      </c>
      <c r="C2" s="95"/>
      <c r="D2" s="82" t="s">
        <v>1227</v>
      </c>
      <c r="E2" s="181" t="s">
        <v>1228</v>
      </c>
      <c r="F2" s="182" t="s">
        <v>1229</v>
      </c>
      <c r="G2" s="182" t="s">
        <v>1230</v>
      </c>
      <c r="H2" s="86" t="s">
        <v>1231</v>
      </c>
      <c r="I2" s="86" t="s">
        <v>1232</v>
      </c>
      <c r="J2" s="86" t="s">
        <v>1233</v>
      </c>
      <c r="K2"/>
      <c r="L2"/>
      <c r="M2"/>
      <c r="N2" s="15" t="s">
        <v>1234</v>
      </c>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row>
    <row r="3" spans="1:61" s="54" customFormat="1" ht="56.25" customHeight="1">
      <c r="A3" s="79" t="s">
        <v>19</v>
      </c>
      <c r="B3" s="80" t="s">
        <v>33</v>
      </c>
      <c r="C3" s="95" t="s">
        <v>32</v>
      </c>
      <c r="D3" s="82" t="s">
        <v>1235</v>
      </c>
      <c r="E3" s="82" t="s">
        <v>1236</v>
      </c>
      <c r="F3" s="182" t="s">
        <v>1237</v>
      </c>
      <c r="G3" s="182" t="s">
        <v>1238</v>
      </c>
      <c r="H3" s="86" t="s">
        <v>1239</v>
      </c>
      <c r="I3" s="137" t="s">
        <v>1240</v>
      </c>
      <c r="J3" s="86" t="s">
        <v>1241</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row>
    <row r="4" spans="1:61" s="54" customFormat="1" ht="63.75" customHeight="1">
      <c r="A4" s="79" t="s">
        <v>19</v>
      </c>
      <c r="B4" s="127" t="s">
        <v>210</v>
      </c>
      <c r="C4" s="128" t="s">
        <v>209</v>
      </c>
      <c r="D4" s="209" t="s">
        <v>1242</v>
      </c>
      <c r="E4" s="137" t="s">
        <v>1243</v>
      </c>
      <c r="F4" s="183" t="s">
        <v>1244</v>
      </c>
      <c r="G4" s="183" t="s">
        <v>1245</v>
      </c>
      <c r="H4" s="129" t="s">
        <v>1246</v>
      </c>
      <c r="I4" s="127" t="s">
        <v>1247</v>
      </c>
      <c r="J4" s="129">
        <v>7.5</v>
      </c>
    </row>
    <row r="5" spans="1:61" s="54" customFormat="1" ht="68.25" customHeight="1">
      <c r="A5" s="79" t="s">
        <v>19</v>
      </c>
      <c r="B5" s="80" t="s">
        <v>40</v>
      </c>
      <c r="C5" s="95" t="s">
        <v>39</v>
      </c>
      <c r="D5" s="82" t="s">
        <v>1248</v>
      </c>
      <c r="E5" s="82" t="s">
        <v>1249</v>
      </c>
      <c r="F5" s="182" t="s">
        <v>1250</v>
      </c>
      <c r="G5" s="182" t="s">
        <v>1251</v>
      </c>
      <c r="H5" s="86" t="s">
        <v>1246</v>
      </c>
      <c r="I5" s="137" t="s">
        <v>1240</v>
      </c>
      <c r="J5" s="86" t="s">
        <v>1252</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row>
    <row r="6" spans="1:61" customFormat="1" ht="68.25" customHeight="1">
      <c r="A6" s="79" t="s">
        <v>19</v>
      </c>
      <c r="B6" s="184" t="s">
        <v>74</v>
      </c>
      <c r="C6" s="95"/>
      <c r="D6" s="185" t="s">
        <v>1253</v>
      </c>
      <c r="E6" s="82" t="s">
        <v>1254</v>
      </c>
      <c r="F6" s="182" t="s">
        <v>1255</v>
      </c>
      <c r="G6" s="75" t="s">
        <v>1256</v>
      </c>
      <c r="H6" s="86" t="s">
        <v>1257</v>
      </c>
      <c r="I6" s="86" t="s">
        <v>1232</v>
      </c>
      <c r="J6" s="86" t="s">
        <v>1258</v>
      </c>
    </row>
    <row r="7" spans="1:61" customFormat="1">
      <c r="A7" s="186" t="s">
        <v>190</v>
      </c>
      <c r="B7" s="187" t="s">
        <v>1259</v>
      </c>
      <c r="C7" s="188" t="s">
        <v>241</v>
      </c>
      <c r="D7" s="75" t="s">
        <v>1260</v>
      </c>
      <c r="E7" s="102" t="s">
        <v>1261</v>
      </c>
      <c r="F7" s="189" t="s">
        <v>1262</v>
      </c>
      <c r="G7" s="189" t="s">
        <v>1263</v>
      </c>
      <c r="H7" s="102" t="s">
        <v>1239</v>
      </c>
      <c r="I7" s="102" t="s">
        <v>1240</v>
      </c>
      <c r="J7" s="105" t="s">
        <v>1264</v>
      </c>
    </row>
    <row r="8" spans="1:61" customFormat="1">
      <c r="A8" s="186" t="s">
        <v>190</v>
      </c>
      <c r="B8" s="190" t="s">
        <v>1089</v>
      </c>
      <c r="C8" s="188" t="s">
        <v>235</v>
      </c>
      <c r="D8" s="75" t="s">
        <v>1265</v>
      </c>
      <c r="E8" s="102" t="s">
        <v>1266</v>
      </c>
      <c r="F8" s="189" t="s">
        <v>1267</v>
      </c>
      <c r="G8" s="189" t="s">
        <v>1268</v>
      </c>
      <c r="H8" s="102" t="s">
        <v>1239</v>
      </c>
      <c r="I8" s="102" t="s">
        <v>1240</v>
      </c>
      <c r="J8" s="105" t="s">
        <v>1269</v>
      </c>
    </row>
    <row r="9" spans="1:61" customFormat="1">
      <c r="A9" s="186" t="s">
        <v>190</v>
      </c>
      <c r="B9" s="191" t="s">
        <v>1270</v>
      </c>
      <c r="C9" s="192" t="s">
        <v>250</v>
      </c>
      <c r="D9" s="82" t="s">
        <v>1271</v>
      </c>
      <c r="E9" s="98" t="s">
        <v>1272</v>
      </c>
      <c r="F9" s="193" t="s">
        <v>1273</v>
      </c>
      <c r="G9" s="193" t="s">
        <v>1274</v>
      </c>
      <c r="H9" s="98" t="s">
        <v>1239</v>
      </c>
      <c r="I9" s="98" t="s">
        <v>1240</v>
      </c>
      <c r="J9" s="108" t="s">
        <v>1269</v>
      </c>
    </row>
    <row r="10" spans="1:61" customFormat="1">
      <c r="A10" s="186" t="s">
        <v>190</v>
      </c>
      <c r="B10" s="190" t="s">
        <v>244</v>
      </c>
      <c r="C10" s="188" t="s">
        <v>243</v>
      </c>
      <c r="D10" s="92" t="s">
        <v>1275</v>
      </c>
      <c r="E10" s="102" t="s">
        <v>1276</v>
      </c>
      <c r="F10" s="189" t="s">
        <v>1277</v>
      </c>
      <c r="G10" s="189" t="s">
        <v>1278</v>
      </c>
      <c r="H10" s="102" t="s">
        <v>1239</v>
      </c>
      <c r="I10" s="102" t="s">
        <v>1240</v>
      </c>
      <c r="J10" s="105" t="s">
        <v>1279</v>
      </c>
    </row>
    <row r="11" spans="1:61" customFormat="1">
      <c r="A11" s="186" t="s">
        <v>190</v>
      </c>
      <c r="B11" s="190" t="s">
        <v>195</v>
      </c>
      <c r="C11" s="188" t="s">
        <v>194</v>
      </c>
      <c r="D11" s="75" t="s">
        <v>1280</v>
      </c>
      <c r="E11" s="102" t="s">
        <v>1281</v>
      </c>
      <c r="F11" s="189" t="s">
        <v>1282</v>
      </c>
      <c r="G11" s="189" t="s">
        <v>1283</v>
      </c>
      <c r="H11" s="102" t="s">
        <v>1231</v>
      </c>
      <c r="I11" s="194" t="s">
        <v>1232</v>
      </c>
      <c r="J11" s="105" t="s">
        <v>1258</v>
      </c>
    </row>
    <row r="12" spans="1:61" s="54" customFormat="1">
      <c r="A12" s="186" t="s">
        <v>190</v>
      </c>
      <c r="B12" s="188" t="s">
        <v>1088</v>
      </c>
      <c r="C12" s="188" t="s">
        <v>237</v>
      </c>
      <c r="D12" s="94" t="s">
        <v>1284</v>
      </c>
      <c r="E12" s="87" t="s">
        <v>1285</v>
      </c>
      <c r="F12" s="195" t="s">
        <v>1286</v>
      </c>
      <c r="G12" s="195" t="s">
        <v>1287</v>
      </c>
      <c r="H12" s="87" t="s">
        <v>1231</v>
      </c>
      <c r="I12" s="196" t="s">
        <v>1232</v>
      </c>
      <c r="J12" s="197" t="s">
        <v>1288</v>
      </c>
    </row>
    <row r="13" spans="1:61" customFormat="1">
      <c r="A13" s="186" t="s">
        <v>190</v>
      </c>
      <c r="B13" s="190" t="s">
        <v>1085</v>
      </c>
      <c r="C13" s="188" t="s">
        <v>1086</v>
      </c>
      <c r="D13" s="75" t="s">
        <v>1289</v>
      </c>
      <c r="E13" s="102" t="s">
        <v>1290</v>
      </c>
      <c r="F13" s="189" t="s">
        <v>1291</v>
      </c>
      <c r="G13" s="189" t="s">
        <v>1292</v>
      </c>
      <c r="H13" s="102" t="s">
        <v>1246</v>
      </c>
      <c r="I13" s="102" t="s">
        <v>1240</v>
      </c>
      <c r="J13" s="105" t="s">
        <v>1264</v>
      </c>
    </row>
    <row r="14" spans="1:61" customFormat="1">
      <c r="A14" s="186" t="s">
        <v>190</v>
      </c>
      <c r="B14" s="190" t="s">
        <v>197</v>
      </c>
      <c r="C14" s="188" t="s">
        <v>196</v>
      </c>
      <c r="D14" s="75" t="s">
        <v>1293</v>
      </c>
      <c r="E14" s="102" t="s">
        <v>1294</v>
      </c>
      <c r="F14" s="189" t="s">
        <v>1295</v>
      </c>
      <c r="G14" s="189" t="s">
        <v>1296</v>
      </c>
      <c r="H14" s="102" t="s">
        <v>1257</v>
      </c>
      <c r="I14" s="102" t="s">
        <v>1240</v>
      </c>
      <c r="J14" s="105" t="s">
        <v>1297</v>
      </c>
    </row>
    <row r="15" spans="1:61" customFormat="1">
      <c r="A15" s="186" t="s">
        <v>190</v>
      </c>
      <c r="B15" s="191" t="s">
        <v>1298</v>
      </c>
      <c r="C15" s="192" t="s">
        <v>215</v>
      </c>
      <c r="D15" s="82" t="s">
        <v>1299</v>
      </c>
      <c r="E15" s="98" t="s">
        <v>1300</v>
      </c>
      <c r="F15" s="193" t="s">
        <v>1301</v>
      </c>
      <c r="G15" s="193" t="s">
        <v>1302</v>
      </c>
      <c r="H15" s="98" t="s">
        <v>1257</v>
      </c>
      <c r="I15" s="98" t="s">
        <v>1240</v>
      </c>
      <c r="J15" s="108" t="s">
        <v>1269</v>
      </c>
    </row>
    <row r="16" spans="1:61" s="54" customFormat="1" ht="15.95">
      <c r="A16" s="186" t="s">
        <v>190</v>
      </c>
      <c r="B16" s="95" t="s">
        <v>191</v>
      </c>
      <c r="C16" s="95" t="s">
        <v>189</v>
      </c>
      <c r="D16" s="96" t="s">
        <v>1303</v>
      </c>
      <c r="E16" s="198" t="s">
        <v>1304</v>
      </c>
      <c r="F16" s="199" t="s">
        <v>1305</v>
      </c>
      <c r="G16" s="199" t="s">
        <v>1306</v>
      </c>
      <c r="H16" s="97" t="s">
        <v>1246</v>
      </c>
      <c r="I16" s="97" t="s">
        <v>1240</v>
      </c>
      <c r="J16" s="97" t="s">
        <v>1264</v>
      </c>
    </row>
    <row r="17" spans="1:61" s="54" customFormat="1">
      <c r="A17" s="186" t="s">
        <v>190</v>
      </c>
      <c r="B17" s="80" t="s">
        <v>1307</v>
      </c>
      <c r="C17" s="127" t="s">
        <v>239</v>
      </c>
      <c r="D17" s="137"/>
      <c r="E17" s="82" t="s">
        <v>1308</v>
      </c>
      <c r="F17" s="200" t="s">
        <v>1309</v>
      </c>
      <c r="G17" s="200" t="s">
        <v>1310</v>
      </c>
      <c r="H17" s="86" t="s">
        <v>1246</v>
      </c>
      <c r="I17" s="86" t="s">
        <v>1240</v>
      </c>
      <c r="J17" s="86" t="s">
        <v>1311</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row>
    <row r="18" spans="1:61" customFormat="1">
      <c r="A18" s="186" t="s">
        <v>190</v>
      </c>
      <c r="B18" s="12" t="s">
        <v>1033</v>
      </c>
      <c r="C18" s="148" t="s">
        <v>1032</v>
      </c>
      <c r="D18" s="70" t="s">
        <v>1312</v>
      </c>
      <c r="E18" s="70" t="s">
        <v>1313</v>
      </c>
      <c r="F18" s="201" t="s">
        <v>1314</v>
      </c>
      <c r="G18" s="201" t="s">
        <v>1315</v>
      </c>
      <c r="H18" t="s">
        <v>1316</v>
      </c>
      <c r="I18" t="s">
        <v>1240</v>
      </c>
      <c r="J18" s="61" t="s">
        <v>1269</v>
      </c>
    </row>
    <row r="19" spans="1:61" customFormat="1">
      <c r="A19" s="186" t="s">
        <v>190</v>
      </c>
      <c r="B19" s="190" t="s">
        <v>1317</v>
      </c>
      <c r="C19" s="188" t="s">
        <v>1082</v>
      </c>
      <c r="D19" s="75" t="s">
        <v>1318</v>
      </c>
      <c r="E19" s="102" t="s">
        <v>1319</v>
      </c>
      <c r="F19" s="189" t="s">
        <v>1320</v>
      </c>
      <c r="G19" s="189" t="s">
        <v>1321</v>
      </c>
      <c r="H19" s="102" t="s">
        <v>1246</v>
      </c>
      <c r="I19" s="102" t="s">
        <v>1240</v>
      </c>
      <c r="J19" s="105" t="s">
        <v>1264</v>
      </c>
    </row>
    <row r="20" spans="1:61" s="70" customFormat="1">
      <c r="A20" s="202" t="s">
        <v>190</v>
      </c>
      <c r="B20" s="145" t="s">
        <v>1322</v>
      </c>
      <c r="C20" s="149" t="s">
        <v>28</v>
      </c>
      <c r="D20" s="82" t="s">
        <v>1323</v>
      </c>
      <c r="E20" s="82" t="s">
        <v>1324</v>
      </c>
      <c r="F20" s="182" t="s">
        <v>1325</v>
      </c>
      <c r="G20" s="182" t="s">
        <v>1326</v>
      </c>
      <c r="H20" s="86" t="s">
        <v>1246</v>
      </c>
      <c r="I20" s="86" t="s">
        <v>1240</v>
      </c>
      <c r="J20" s="86" t="s">
        <v>1327</v>
      </c>
    </row>
    <row r="21" spans="1:61" customFormat="1">
      <c r="A21" s="186" t="s">
        <v>190</v>
      </c>
      <c r="B21" s="190" t="s">
        <v>246</v>
      </c>
      <c r="C21" s="188" t="s">
        <v>247</v>
      </c>
      <c r="D21" s="75" t="s">
        <v>1328</v>
      </c>
      <c r="E21" s="102" t="s">
        <v>1329</v>
      </c>
      <c r="F21" s="189" t="s">
        <v>1330</v>
      </c>
      <c r="G21" s="189" t="s">
        <v>1331</v>
      </c>
      <c r="H21" s="102" t="s">
        <v>1239</v>
      </c>
      <c r="I21" s="102" t="s">
        <v>1240</v>
      </c>
      <c r="J21" s="105" t="s">
        <v>1279</v>
      </c>
    </row>
    <row r="22" spans="1:61" customFormat="1">
      <c r="A22" s="114" t="s">
        <v>293</v>
      </c>
      <c r="B22" s="81"/>
      <c r="C22" s="95"/>
      <c r="D22" s="82" t="s">
        <v>1332</v>
      </c>
      <c r="E22" s="204" t="s">
        <v>1332</v>
      </c>
      <c r="F22" s="182" t="s">
        <v>1333</v>
      </c>
      <c r="G22" s="203" t="s">
        <v>1334</v>
      </c>
      <c r="H22" s="86" t="s">
        <v>1239</v>
      </c>
      <c r="I22" s="86" t="s">
        <v>1240</v>
      </c>
      <c r="J22" s="86" t="s">
        <v>1258</v>
      </c>
    </row>
    <row r="23" spans="1:61" customFormat="1">
      <c r="A23" s="114" t="s">
        <v>1335</v>
      </c>
      <c r="B23" s="206" t="s">
        <v>563</v>
      </c>
      <c r="C23" s="95"/>
      <c r="D23" s="82"/>
      <c r="E23" s="82" t="s">
        <v>1336</v>
      </c>
      <c r="F23" s="203" t="s">
        <v>1337</v>
      </c>
      <c r="G23" s="205" t="s">
        <v>1338</v>
      </c>
      <c r="H23" s="86" t="s">
        <v>1239</v>
      </c>
      <c r="I23" s="102" t="s">
        <v>1240</v>
      </c>
      <c r="J23" s="86" t="s">
        <v>1258</v>
      </c>
    </row>
    <row r="24" spans="1:61" customFormat="1">
      <c r="A24" s="114" t="s">
        <v>388</v>
      </c>
      <c r="B24" s="206" t="s">
        <v>1339</v>
      </c>
      <c r="C24" s="95"/>
      <c r="D24" s="82"/>
      <c r="E24" s="82" t="s">
        <v>1340</v>
      </c>
      <c r="F24" s="203" t="s">
        <v>1341</v>
      </c>
      <c r="G24" s="207" t="s">
        <v>1342</v>
      </c>
      <c r="H24" s="86" t="s">
        <v>1239</v>
      </c>
      <c r="I24" s="102" t="s">
        <v>1240</v>
      </c>
      <c r="J24" s="86" t="s">
        <v>1269</v>
      </c>
    </row>
    <row r="25" spans="1:61" customFormat="1">
      <c r="A25" s="114" t="s">
        <v>255</v>
      </c>
      <c r="B25" s="95" t="s">
        <v>1343</v>
      </c>
      <c r="C25" s="99"/>
      <c r="D25" s="82"/>
      <c r="E25" s="82" t="s">
        <v>1344</v>
      </c>
      <c r="F25" s="182" t="s">
        <v>1345</v>
      </c>
      <c r="G25" s="203" t="s">
        <v>1346</v>
      </c>
      <c r="H25" s="86" t="s">
        <v>1347</v>
      </c>
      <c r="I25" s="86" t="s">
        <v>1232</v>
      </c>
      <c r="J25" s="86" t="s">
        <v>1258</v>
      </c>
    </row>
    <row r="26" spans="1:61" customFormat="1">
      <c r="A26" s="114" t="s">
        <v>308</v>
      </c>
      <c r="B26" s="81" t="s">
        <v>1348</v>
      </c>
      <c r="C26" s="95"/>
      <c r="D26" s="82" t="s">
        <v>1349</v>
      </c>
      <c r="E26" s="82" t="s">
        <v>1350</v>
      </c>
      <c r="F26" s="182" t="s">
        <v>1351</v>
      </c>
      <c r="G26" s="205" t="s">
        <v>1352</v>
      </c>
      <c r="H26" s="86" t="s">
        <v>1353</v>
      </c>
      <c r="I26" s="86" t="s">
        <v>1232</v>
      </c>
      <c r="J26" s="86" t="s">
        <v>1258</v>
      </c>
    </row>
    <row r="27" spans="1:61" customFormat="1">
      <c r="A27" s="114" t="s">
        <v>288</v>
      </c>
      <c r="B27" s="81" t="s">
        <v>289</v>
      </c>
      <c r="C27" s="95" t="s">
        <v>287</v>
      </c>
      <c r="D27" s="82" t="s">
        <v>1354</v>
      </c>
      <c r="E27" s="75" t="s">
        <v>1355</v>
      </c>
      <c r="F27" s="182" t="s">
        <v>1356</v>
      </c>
      <c r="G27" s="182" t="s">
        <v>1357</v>
      </c>
      <c r="H27" s="86" t="s">
        <v>1353</v>
      </c>
      <c r="I27" s="86" t="s">
        <v>1232</v>
      </c>
      <c r="J27" s="86" t="s">
        <v>1269</v>
      </c>
    </row>
    <row r="28" spans="1:61" customFormat="1">
      <c r="A28" s="114" t="s">
        <v>288</v>
      </c>
      <c r="B28" s="81" t="s">
        <v>291</v>
      </c>
      <c r="C28" s="95" t="s">
        <v>290</v>
      </c>
      <c r="D28" s="82" t="s">
        <v>1358</v>
      </c>
      <c r="E28" s="82" t="s">
        <v>1359</v>
      </c>
      <c r="F28" s="182" t="s">
        <v>1360</v>
      </c>
      <c r="G28" s="182" t="s">
        <v>1361</v>
      </c>
      <c r="H28" s="86" t="s">
        <v>1353</v>
      </c>
      <c r="I28" s="86" t="s">
        <v>1232</v>
      </c>
      <c r="J28" s="86" t="s">
        <v>1362</v>
      </c>
    </row>
    <row r="29" spans="1:61" customFormat="1">
      <c r="A29" s="114" t="s">
        <v>1097</v>
      </c>
      <c r="B29" s="106" t="s">
        <v>1363</v>
      </c>
      <c r="C29" s="95"/>
      <c r="D29" s="82"/>
      <c r="E29" s="75" t="s">
        <v>1364</v>
      </c>
      <c r="F29" s="203" t="s">
        <v>1365</v>
      </c>
      <c r="G29" s="205" t="s">
        <v>1366</v>
      </c>
      <c r="H29" s="86" t="s">
        <v>1239</v>
      </c>
      <c r="I29" s="102" t="s">
        <v>1240</v>
      </c>
      <c r="J29" s="86" t="s">
        <v>1258</v>
      </c>
    </row>
    <row r="30" spans="1:61" customFormat="1">
      <c r="A30" s="114" t="s">
        <v>324</v>
      </c>
      <c r="B30" s="81" t="s">
        <v>327</v>
      </c>
      <c r="C30" s="95" t="s">
        <v>326</v>
      </c>
      <c r="D30" s="82" t="s">
        <v>1367</v>
      </c>
      <c r="E30" s="75" t="s">
        <v>1368</v>
      </c>
      <c r="F30" s="203" t="s">
        <v>1369</v>
      </c>
      <c r="G30" s="182" t="s">
        <v>1370</v>
      </c>
      <c r="H30" s="102" t="s">
        <v>1246</v>
      </c>
      <c r="I30" s="102" t="s">
        <v>1240</v>
      </c>
      <c r="J30" s="86" t="s">
        <v>1233</v>
      </c>
    </row>
    <row r="31" spans="1:61" customFormat="1">
      <c r="A31" s="208" t="s">
        <v>447</v>
      </c>
      <c r="B31" s="81"/>
      <c r="C31" s="95"/>
      <c r="D31" s="82" t="s">
        <v>1371</v>
      </c>
      <c r="E31" s="82" t="s">
        <v>1371</v>
      </c>
      <c r="F31" s="182" t="s">
        <v>1372</v>
      </c>
      <c r="G31" s="203" t="s">
        <v>1373</v>
      </c>
      <c r="H31" s="86" t="s">
        <v>1231</v>
      </c>
      <c r="I31" s="86" t="s">
        <v>1232</v>
      </c>
      <c r="J31" s="86" t="s">
        <v>1374</v>
      </c>
    </row>
    <row r="32" spans="1:61" customFormat="1">
      <c r="A32" s="115" t="s">
        <v>476</v>
      </c>
      <c r="B32" s="81" t="s">
        <v>1112</v>
      </c>
      <c r="C32" s="95" t="s">
        <v>1113</v>
      </c>
      <c r="D32" s="82" t="s">
        <v>1375</v>
      </c>
      <c r="E32" s="82" t="s">
        <v>1376</v>
      </c>
      <c r="F32" s="182" t="s">
        <v>1377</v>
      </c>
      <c r="G32" s="182" t="s">
        <v>1378</v>
      </c>
      <c r="H32" s="86" t="s">
        <v>1246</v>
      </c>
      <c r="I32" s="86" t="s">
        <v>1240</v>
      </c>
      <c r="J32" s="86" t="s">
        <v>1379</v>
      </c>
    </row>
    <row r="33" spans="1:61" customFormat="1">
      <c r="A33" s="55"/>
      <c r="B33" s="55"/>
      <c r="C33" s="156"/>
      <c r="D33" s="71"/>
      <c r="E33" s="56"/>
      <c r="F33" s="56"/>
      <c r="G33" s="56"/>
      <c r="H33" s="55"/>
      <c r="I33" s="55"/>
      <c r="J33" s="67"/>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row>
    <row r="34" spans="1:61" customFormat="1" ht="116.65">
      <c r="A34" s="116" t="s">
        <v>476</v>
      </c>
      <c r="B34" s="106" t="s">
        <v>1380</v>
      </c>
      <c r="C34" s="95"/>
      <c r="D34" s="82"/>
      <c r="E34" s="83" t="s">
        <v>1381</v>
      </c>
      <c r="F34" s="100" t="s">
        <v>1382</v>
      </c>
      <c r="G34" s="100" t="s">
        <v>1383</v>
      </c>
      <c r="H34" s="85" t="s">
        <v>1231</v>
      </c>
      <c r="I34" s="86" t="s">
        <v>1232</v>
      </c>
      <c r="J34" s="86" t="s">
        <v>1258</v>
      </c>
    </row>
    <row r="35" spans="1:61" customFormat="1" ht="102">
      <c r="A35" s="116" t="s">
        <v>476</v>
      </c>
      <c r="B35" s="106" t="s">
        <v>1384</v>
      </c>
      <c r="C35" s="99"/>
      <c r="D35" s="82"/>
      <c r="E35" s="83" t="s">
        <v>1385</v>
      </c>
      <c r="F35" s="100" t="s">
        <v>1386</v>
      </c>
      <c r="G35" s="100" t="s">
        <v>1387</v>
      </c>
      <c r="H35" s="86" t="s">
        <v>1239</v>
      </c>
      <c r="I35" s="86" t="s">
        <v>1240</v>
      </c>
      <c r="J35" s="86" t="s">
        <v>1258</v>
      </c>
    </row>
    <row r="36" spans="1:61" customFormat="1" ht="72" customHeight="1">
      <c r="A36" s="116" t="s">
        <v>501</v>
      </c>
      <c r="B36" s="107" t="s">
        <v>1388</v>
      </c>
      <c r="C36" s="95"/>
      <c r="D36" s="82" t="s">
        <v>1389</v>
      </c>
      <c r="E36" s="101" t="s">
        <v>1389</v>
      </c>
      <c r="F36" s="84" t="s">
        <v>1390</v>
      </c>
      <c r="G36" s="84" t="s">
        <v>1391</v>
      </c>
      <c r="H36" s="98" t="s">
        <v>1231</v>
      </c>
      <c r="I36" s="98" t="s">
        <v>1232</v>
      </c>
      <c r="J36" s="108" t="s">
        <v>1392</v>
      </c>
    </row>
    <row r="37" spans="1:61" customFormat="1" ht="87.75" customHeight="1">
      <c r="A37" s="116" t="s">
        <v>501</v>
      </c>
      <c r="B37" s="109" t="s">
        <v>1393</v>
      </c>
      <c r="C37" s="109"/>
      <c r="D37" s="110"/>
      <c r="E37" s="88" t="s">
        <v>1394</v>
      </c>
      <c r="F37" s="160" t="s">
        <v>1395</v>
      </c>
      <c r="G37" s="161" t="s">
        <v>1396</v>
      </c>
      <c r="H37" s="102" t="s">
        <v>1239</v>
      </c>
      <c r="I37" s="102" t="s">
        <v>1240</v>
      </c>
      <c r="J37" s="105" t="s">
        <v>1258</v>
      </c>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row>
    <row r="38" spans="1:61" customFormat="1" ht="120.75" customHeight="1">
      <c r="A38" s="116" t="s">
        <v>501</v>
      </c>
      <c r="B38" s="87" t="s">
        <v>1397</v>
      </c>
      <c r="C38" s="87"/>
      <c r="D38" s="94"/>
      <c r="E38" s="88" t="s">
        <v>1398</v>
      </c>
      <c r="F38" s="103" t="s">
        <v>1399</v>
      </c>
      <c r="G38" s="111" t="s">
        <v>1400</v>
      </c>
      <c r="H38" s="102" t="s">
        <v>1246</v>
      </c>
      <c r="I38" s="102" t="s">
        <v>1240</v>
      </c>
      <c r="J38" s="105" t="s">
        <v>1264</v>
      </c>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row>
    <row r="39" spans="1:61" customFormat="1" ht="199.5" customHeight="1">
      <c r="A39" s="116" t="s">
        <v>501</v>
      </c>
      <c r="B39" s="81" t="s">
        <v>527</v>
      </c>
      <c r="C39" s="95" t="s">
        <v>526</v>
      </c>
      <c r="D39" s="83" t="s">
        <v>1401</v>
      </c>
      <c r="E39" s="83" t="s">
        <v>1402</v>
      </c>
      <c r="F39" s="84" t="s">
        <v>1403</v>
      </c>
      <c r="G39" s="84" t="s">
        <v>1404</v>
      </c>
      <c r="H39" s="98" t="s">
        <v>1239</v>
      </c>
      <c r="I39" s="98" t="s">
        <v>1240</v>
      </c>
      <c r="J39" s="108" t="s">
        <v>1279</v>
      </c>
    </row>
    <row r="40" spans="1:61" customFormat="1" ht="95.1">
      <c r="A40" s="116" t="s">
        <v>501</v>
      </c>
      <c r="B40" s="112" t="s">
        <v>1405</v>
      </c>
      <c r="C40" s="95" t="s">
        <v>522</v>
      </c>
      <c r="D40" s="83"/>
      <c r="E40" s="113" t="s">
        <v>1406</v>
      </c>
      <c r="F40" s="84" t="s">
        <v>1407</v>
      </c>
      <c r="G40" s="84" t="s">
        <v>1408</v>
      </c>
      <c r="H40" s="98" t="s">
        <v>1246</v>
      </c>
      <c r="I40" s="98" t="s">
        <v>1240</v>
      </c>
      <c r="J40" s="108" t="s">
        <v>1264</v>
      </c>
    </row>
    <row r="41" spans="1:61" customFormat="1" ht="29.1">
      <c r="A41" s="116" t="s">
        <v>501</v>
      </c>
      <c r="B41" s="112" t="s">
        <v>1409</v>
      </c>
      <c r="C41" s="95"/>
      <c r="D41" s="83"/>
      <c r="E41" s="113"/>
      <c r="F41" s="84"/>
      <c r="G41" s="84"/>
      <c r="H41" s="98"/>
      <c r="I41" s="98"/>
      <c r="J41" s="108"/>
    </row>
    <row r="42" spans="1:61" customFormat="1" ht="189.4">
      <c r="A42" s="121" t="s">
        <v>1136</v>
      </c>
      <c r="B42" s="81"/>
      <c r="C42" s="95"/>
      <c r="D42" s="83" t="s">
        <v>1410</v>
      </c>
      <c r="E42" s="101" t="s">
        <v>1410</v>
      </c>
      <c r="F42" s="84" t="s">
        <v>1411</v>
      </c>
      <c r="G42" s="84" t="s">
        <v>1411</v>
      </c>
      <c r="H42" s="98" t="s">
        <v>1239</v>
      </c>
      <c r="I42" s="98" t="s">
        <v>1240</v>
      </c>
      <c r="J42" s="108" t="s">
        <v>1258</v>
      </c>
      <c r="K42" s="61"/>
    </row>
    <row r="43" spans="1:61" customFormat="1" ht="189.4">
      <c r="A43" s="122" t="s">
        <v>1141</v>
      </c>
      <c r="B43" s="10"/>
      <c r="C43" s="148"/>
      <c r="D43" s="14" t="s">
        <v>1412</v>
      </c>
      <c r="E43" s="14" t="s">
        <v>1412</v>
      </c>
      <c r="F43" s="13" t="s">
        <v>1413</v>
      </c>
      <c r="G43" s="13" t="s">
        <v>1414</v>
      </c>
      <c r="H43" t="s">
        <v>1239</v>
      </c>
      <c r="I43" t="s">
        <v>1240</v>
      </c>
      <c r="J43" s="61" t="s">
        <v>1258</v>
      </c>
      <c r="K43" s="61"/>
    </row>
    <row r="44" spans="1:61" customFormat="1" ht="180" customHeight="1">
      <c r="A44" s="123" t="s">
        <v>584</v>
      </c>
      <c r="B44" s="48" t="s">
        <v>1415</v>
      </c>
      <c r="C44" s="151" t="s">
        <v>1156</v>
      </c>
      <c r="D44" s="158" t="s">
        <v>1416</v>
      </c>
      <c r="E44" s="36" t="s">
        <v>1417</v>
      </c>
      <c r="F44" s="37" t="s">
        <v>1418</v>
      </c>
      <c r="G44" s="37" t="s">
        <v>1419</v>
      </c>
      <c r="H44" s="38" t="s">
        <v>1239</v>
      </c>
      <c r="I44" s="38" t="s">
        <v>1240</v>
      </c>
      <c r="J44" s="62" t="s">
        <v>1269</v>
      </c>
      <c r="K44" s="63" t="s">
        <v>1420</v>
      </c>
      <c r="L44" s="39" t="s">
        <v>1420</v>
      </c>
      <c r="M44" s="39" t="s">
        <v>1420</v>
      </c>
      <c r="N44" s="39" t="s">
        <v>1420</v>
      </c>
      <c r="O44" s="39" t="s">
        <v>1420</v>
      </c>
      <c r="P44" s="39" t="s">
        <v>1420</v>
      </c>
      <c r="Q44" s="39" t="s">
        <v>1420</v>
      </c>
      <c r="R44" s="39" t="s">
        <v>1420</v>
      </c>
      <c r="S44" s="39" t="s">
        <v>1420</v>
      </c>
      <c r="T44" s="39" t="s">
        <v>1420</v>
      </c>
      <c r="U44" s="39" t="s">
        <v>1420</v>
      </c>
      <c r="V44" s="39" t="s">
        <v>1420</v>
      </c>
      <c r="W44" s="39" t="s">
        <v>1420</v>
      </c>
      <c r="X44" s="39" t="s">
        <v>1420</v>
      </c>
      <c r="Y44" s="39" t="s">
        <v>1420</v>
      </c>
      <c r="Z44" s="39" t="s">
        <v>1420</v>
      </c>
      <c r="AA44" s="39" t="s">
        <v>1420</v>
      </c>
      <c r="AB44" s="39" t="s">
        <v>1420</v>
      </c>
      <c r="AC44" s="39" t="s">
        <v>1420</v>
      </c>
      <c r="AD44" s="39" t="s">
        <v>1420</v>
      </c>
      <c r="AE44" s="39" t="s">
        <v>1420</v>
      </c>
      <c r="AF44" s="39" t="s">
        <v>1420</v>
      </c>
      <c r="AG44" s="39" t="s">
        <v>1420</v>
      </c>
      <c r="AH44" s="39" t="s">
        <v>1420</v>
      </c>
      <c r="AI44" s="39" t="s">
        <v>1420</v>
      </c>
      <c r="AJ44" s="39" t="s">
        <v>1420</v>
      </c>
      <c r="AK44" s="39" t="s">
        <v>1420</v>
      </c>
      <c r="AL44" s="39" t="s">
        <v>1420</v>
      </c>
      <c r="AM44" s="39" t="s">
        <v>1420</v>
      </c>
      <c r="AN44" s="39" t="s">
        <v>1420</v>
      </c>
      <c r="AO44" s="39" t="s">
        <v>1420</v>
      </c>
      <c r="AP44" s="39" t="s">
        <v>1420</v>
      </c>
      <c r="AQ44" s="39" t="s">
        <v>1420</v>
      </c>
      <c r="AR44" s="39" t="s">
        <v>1420</v>
      </c>
      <c r="AS44" s="39" t="s">
        <v>1420</v>
      </c>
      <c r="AT44" s="39" t="s">
        <v>1420</v>
      </c>
      <c r="AU44" s="39" t="s">
        <v>1420</v>
      </c>
      <c r="AV44" s="39" t="s">
        <v>1420</v>
      </c>
      <c r="AW44" s="39" t="s">
        <v>1420</v>
      </c>
      <c r="AX44" s="39" t="s">
        <v>1420</v>
      </c>
      <c r="AY44" s="39" t="s">
        <v>1420</v>
      </c>
      <c r="AZ44" s="39" t="s">
        <v>1420</v>
      </c>
      <c r="BA44" s="39" t="s">
        <v>1420</v>
      </c>
      <c r="BB44" s="39" t="s">
        <v>1420</v>
      </c>
      <c r="BC44" s="39" t="s">
        <v>1420</v>
      </c>
      <c r="BD44" s="39" t="s">
        <v>1420</v>
      </c>
      <c r="BE44" s="39" t="s">
        <v>1420</v>
      </c>
      <c r="BF44" s="39" t="s">
        <v>1420</v>
      </c>
      <c r="BG44" s="39" t="s">
        <v>1420</v>
      </c>
      <c r="BH44" s="39" t="s">
        <v>1420</v>
      </c>
      <c r="BI44" s="39" t="s">
        <v>1420</v>
      </c>
    </row>
    <row r="45" spans="1:61" customFormat="1" ht="409.6">
      <c r="A45" s="124" t="s">
        <v>584</v>
      </c>
      <c r="B45" s="49" t="s">
        <v>591</v>
      </c>
      <c r="C45" s="152" t="s">
        <v>1157</v>
      </c>
      <c r="D45" s="159" t="s">
        <v>1421</v>
      </c>
      <c r="E45" s="40" t="s">
        <v>1422</v>
      </c>
      <c r="F45" s="41" t="s">
        <v>1423</v>
      </c>
      <c r="G45" s="41" t="s">
        <v>1424</v>
      </c>
      <c r="H45" s="42" t="s">
        <v>1246</v>
      </c>
      <c r="I45" s="42" t="s">
        <v>1240</v>
      </c>
      <c r="J45" s="64" t="s">
        <v>1269</v>
      </c>
      <c r="K45" s="65" t="s">
        <v>1420</v>
      </c>
      <c r="L45" s="43" t="s">
        <v>1420</v>
      </c>
      <c r="M45" s="43" t="s">
        <v>1420</v>
      </c>
      <c r="N45" s="43" t="s">
        <v>1420</v>
      </c>
      <c r="O45" s="43" t="s">
        <v>1420</v>
      </c>
      <c r="P45" s="43" t="s">
        <v>1420</v>
      </c>
      <c r="Q45" s="43" t="s">
        <v>1420</v>
      </c>
      <c r="R45" s="43" t="s">
        <v>1420</v>
      </c>
      <c r="S45" s="43" t="s">
        <v>1420</v>
      </c>
      <c r="T45" s="43" t="s">
        <v>1420</v>
      </c>
      <c r="U45" s="43" t="s">
        <v>1420</v>
      </c>
      <c r="V45" s="43" t="s">
        <v>1420</v>
      </c>
      <c r="W45" s="43" t="s">
        <v>1420</v>
      </c>
      <c r="X45" s="43" t="s">
        <v>1420</v>
      </c>
      <c r="Y45" s="43" t="s">
        <v>1420</v>
      </c>
      <c r="Z45" s="43" t="s">
        <v>1420</v>
      </c>
      <c r="AA45" s="43" t="s">
        <v>1420</v>
      </c>
      <c r="AB45" s="43" t="s">
        <v>1420</v>
      </c>
      <c r="AC45" s="43" t="s">
        <v>1420</v>
      </c>
      <c r="AD45" s="43" t="s">
        <v>1420</v>
      </c>
      <c r="AE45" s="43" t="s">
        <v>1420</v>
      </c>
      <c r="AF45" s="43" t="s">
        <v>1420</v>
      </c>
      <c r="AG45" s="43" t="s">
        <v>1420</v>
      </c>
      <c r="AH45" s="43" t="s">
        <v>1420</v>
      </c>
      <c r="AI45" s="43" t="s">
        <v>1420</v>
      </c>
      <c r="AJ45" s="43" t="s">
        <v>1420</v>
      </c>
      <c r="AK45" s="43" t="s">
        <v>1420</v>
      </c>
      <c r="AL45" s="43" t="s">
        <v>1420</v>
      </c>
      <c r="AM45" s="43" t="s">
        <v>1420</v>
      </c>
      <c r="AN45" s="43" t="s">
        <v>1420</v>
      </c>
      <c r="AO45" s="43" t="s">
        <v>1420</v>
      </c>
      <c r="AP45" s="43" t="s">
        <v>1420</v>
      </c>
      <c r="AQ45" s="43" t="s">
        <v>1420</v>
      </c>
      <c r="AR45" s="43" t="s">
        <v>1420</v>
      </c>
      <c r="AS45" s="43" t="s">
        <v>1420</v>
      </c>
      <c r="AT45" s="43" t="s">
        <v>1420</v>
      </c>
      <c r="AU45" s="43" t="s">
        <v>1420</v>
      </c>
      <c r="AV45" s="43" t="s">
        <v>1420</v>
      </c>
      <c r="AW45" s="43" t="s">
        <v>1420</v>
      </c>
      <c r="AX45" s="43" t="s">
        <v>1420</v>
      </c>
      <c r="AY45" s="43" t="s">
        <v>1420</v>
      </c>
      <c r="AZ45" s="43" t="s">
        <v>1420</v>
      </c>
      <c r="BA45" s="43" t="s">
        <v>1420</v>
      </c>
      <c r="BB45" s="43" t="s">
        <v>1420</v>
      </c>
      <c r="BC45" s="43" t="s">
        <v>1420</v>
      </c>
      <c r="BD45" s="43" t="s">
        <v>1420</v>
      </c>
      <c r="BE45" s="43" t="s">
        <v>1420</v>
      </c>
      <c r="BF45" s="43" t="s">
        <v>1420</v>
      </c>
      <c r="BG45" s="43" t="s">
        <v>1420</v>
      </c>
      <c r="BH45" s="43" t="s">
        <v>1420</v>
      </c>
      <c r="BI45" s="43" t="s">
        <v>1420</v>
      </c>
    </row>
    <row r="46" spans="1:61" customFormat="1" ht="409.6">
      <c r="A46" s="124" t="s">
        <v>584</v>
      </c>
      <c r="B46" s="49" t="s">
        <v>587</v>
      </c>
      <c r="C46" s="152" t="s">
        <v>586</v>
      </c>
      <c r="D46" s="159" t="s">
        <v>1425</v>
      </c>
      <c r="E46" s="40" t="s">
        <v>1426</v>
      </c>
      <c r="F46" s="41" t="s">
        <v>1427</v>
      </c>
      <c r="G46" s="44" t="s">
        <v>1428</v>
      </c>
      <c r="H46" s="42" t="s">
        <v>1246</v>
      </c>
      <c r="I46" s="42" t="s">
        <v>1247</v>
      </c>
      <c r="J46" s="64" t="s">
        <v>1269</v>
      </c>
      <c r="K46" s="64"/>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row>
    <row r="47" spans="1:61" customFormat="1" ht="409.6">
      <c r="A47" s="123" t="s">
        <v>560</v>
      </c>
      <c r="B47" s="51" t="s">
        <v>577</v>
      </c>
      <c r="C47" s="151" t="s">
        <v>576</v>
      </c>
      <c r="D47" s="158" t="s">
        <v>1429</v>
      </c>
      <c r="E47" s="36" t="s">
        <v>1430</v>
      </c>
      <c r="F47" s="37" t="s">
        <v>1431</v>
      </c>
      <c r="G47" s="37" t="s">
        <v>1432</v>
      </c>
      <c r="H47" s="38" t="s">
        <v>1231</v>
      </c>
      <c r="I47" s="45" t="s">
        <v>1232</v>
      </c>
      <c r="J47" s="62" t="s">
        <v>1264</v>
      </c>
      <c r="K47" s="63" t="s">
        <v>1420</v>
      </c>
      <c r="L47" s="39" t="s">
        <v>1420</v>
      </c>
      <c r="M47" s="39" t="s">
        <v>1420</v>
      </c>
      <c r="N47" s="39" t="s">
        <v>1420</v>
      </c>
      <c r="O47" s="39" t="s">
        <v>1420</v>
      </c>
      <c r="P47" s="39" t="s">
        <v>1420</v>
      </c>
      <c r="Q47" s="39" t="s">
        <v>1420</v>
      </c>
      <c r="R47" s="39" t="s">
        <v>1420</v>
      </c>
      <c r="S47" s="39" t="s">
        <v>1420</v>
      </c>
      <c r="T47" s="39" t="s">
        <v>1420</v>
      </c>
      <c r="U47" s="39" t="s">
        <v>1420</v>
      </c>
      <c r="V47" s="39" t="s">
        <v>1420</v>
      </c>
      <c r="W47" s="39" t="s">
        <v>1420</v>
      </c>
      <c r="X47" s="39" t="s">
        <v>1420</v>
      </c>
      <c r="Y47" s="39" t="s">
        <v>1420</v>
      </c>
      <c r="Z47" s="39" t="s">
        <v>1420</v>
      </c>
      <c r="AA47" s="39" t="s">
        <v>1420</v>
      </c>
      <c r="AB47" s="39" t="s">
        <v>1420</v>
      </c>
      <c r="AC47" s="39" t="s">
        <v>1420</v>
      </c>
      <c r="AD47" s="39" t="s">
        <v>1420</v>
      </c>
      <c r="AE47" s="39" t="s">
        <v>1420</v>
      </c>
      <c r="AF47" s="39" t="s">
        <v>1420</v>
      </c>
      <c r="AG47" s="39" t="s">
        <v>1420</v>
      </c>
      <c r="AH47" s="39" t="s">
        <v>1420</v>
      </c>
      <c r="AI47" s="39" t="s">
        <v>1420</v>
      </c>
      <c r="AJ47" s="39" t="s">
        <v>1420</v>
      </c>
      <c r="AK47" s="39" t="s">
        <v>1420</v>
      </c>
      <c r="AL47" s="39" t="s">
        <v>1420</v>
      </c>
      <c r="AM47" s="39" t="s">
        <v>1420</v>
      </c>
      <c r="AN47" s="39" t="s">
        <v>1420</v>
      </c>
      <c r="AO47" s="39" t="s">
        <v>1420</v>
      </c>
      <c r="AP47" s="39" t="s">
        <v>1420</v>
      </c>
      <c r="AQ47" s="39" t="s">
        <v>1420</v>
      </c>
      <c r="AR47" s="39" t="s">
        <v>1420</v>
      </c>
      <c r="AS47" s="39" t="s">
        <v>1420</v>
      </c>
      <c r="AT47" s="39" t="s">
        <v>1420</v>
      </c>
      <c r="AU47" s="39" t="s">
        <v>1420</v>
      </c>
      <c r="AV47" s="39" t="s">
        <v>1420</v>
      </c>
      <c r="AW47" s="39" t="s">
        <v>1420</v>
      </c>
      <c r="AX47" s="39" t="s">
        <v>1420</v>
      </c>
      <c r="AY47" s="39" t="s">
        <v>1420</v>
      </c>
      <c r="AZ47" s="39" t="s">
        <v>1420</v>
      </c>
      <c r="BA47" s="39" t="s">
        <v>1420</v>
      </c>
      <c r="BB47" s="39" t="s">
        <v>1420</v>
      </c>
      <c r="BC47" s="39" t="s">
        <v>1420</v>
      </c>
      <c r="BD47" s="39" t="s">
        <v>1420</v>
      </c>
      <c r="BE47" s="39" t="s">
        <v>1420</v>
      </c>
      <c r="BF47" s="39" t="s">
        <v>1420</v>
      </c>
      <c r="BG47" s="39" t="s">
        <v>1420</v>
      </c>
      <c r="BH47" s="39" t="s">
        <v>1420</v>
      </c>
      <c r="BI47" s="39" t="s">
        <v>1420</v>
      </c>
    </row>
    <row r="48" spans="1:61" customFormat="1" ht="409.6">
      <c r="A48" s="123" t="s">
        <v>545</v>
      </c>
      <c r="B48" s="51" t="s">
        <v>554</v>
      </c>
      <c r="C48" s="151" t="s">
        <v>553</v>
      </c>
      <c r="D48" s="158" t="s">
        <v>1433</v>
      </c>
      <c r="E48" s="36" t="s">
        <v>1434</v>
      </c>
      <c r="F48" s="37" t="s">
        <v>1435</v>
      </c>
      <c r="G48" s="37" t="s">
        <v>1436</v>
      </c>
      <c r="H48" s="38" t="s">
        <v>1246</v>
      </c>
      <c r="I48" s="38" t="s">
        <v>1240</v>
      </c>
      <c r="J48" s="62" t="s">
        <v>1269</v>
      </c>
      <c r="K48" s="6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row>
    <row r="49" spans="1:61" customFormat="1" ht="409.6">
      <c r="A49" s="124" t="s">
        <v>545</v>
      </c>
      <c r="B49" s="50" t="s">
        <v>1147</v>
      </c>
      <c r="C49" s="152" t="s">
        <v>1148</v>
      </c>
      <c r="D49" s="159" t="s">
        <v>1437</v>
      </c>
      <c r="E49" s="40" t="s">
        <v>1438</v>
      </c>
      <c r="F49" s="41" t="s">
        <v>1439</v>
      </c>
      <c r="G49" s="41" t="s">
        <v>1440</v>
      </c>
      <c r="H49" s="42" t="s">
        <v>1246</v>
      </c>
      <c r="I49" s="42" t="s">
        <v>1240</v>
      </c>
      <c r="J49" s="64" t="s">
        <v>1441</v>
      </c>
      <c r="K49" s="65" t="s">
        <v>1420</v>
      </c>
      <c r="L49" s="43" t="s">
        <v>1420</v>
      </c>
      <c r="M49" s="43" t="s">
        <v>1420</v>
      </c>
      <c r="N49" s="43" t="s">
        <v>1420</v>
      </c>
      <c r="O49" s="43" t="s">
        <v>1420</v>
      </c>
      <c r="P49" s="43" t="s">
        <v>1420</v>
      </c>
      <c r="Q49" s="43" t="s">
        <v>1420</v>
      </c>
      <c r="R49" s="43" t="s">
        <v>1420</v>
      </c>
      <c r="S49" s="43" t="s">
        <v>1420</v>
      </c>
      <c r="T49" s="43" t="s">
        <v>1420</v>
      </c>
      <c r="U49" s="43" t="s">
        <v>1420</v>
      </c>
      <c r="V49" s="43" t="s">
        <v>1420</v>
      </c>
      <c r="W49" s="43" t="s">
        <v>1420</v>
      </c>
      <c r="X49" s="43" t="s">
        <v>1420</v>
      </c>
      <c r="Y49" s="43" t="s">
        <v>1420</v>
      </c>
      <c r="Z49" s="43" t="s">
        <v>1420</v>
      </c>
      <c r="AA49" s="43" t="s">
        <v>1420</v>
      </c>
      <c r="AB49" s="43" t="s">
        <v>1420</v>
      </c>
      <c r="AC49" s="43" t="s">
        <v>1420</v>
      </c>
      <c r="AD49" s="43" t="s">
        <v>1420</v>
      </c>
      <c r="AE49" s="43" t="s">
        <v>1420</v>
      </c>
      <c r="AF49" s="43" t="s">
        <v>1420</v>
      </c>
      <c r="AG49" s="43" t="s">
        <v>1420</v>
      </c>
      <c r="AH49" s="43" t="s">
        <v>1420</v>
      </c>
      <c r="AI49" s="43" t="s">
        <v>1420</v>
      </c>
      <c r="AJ49" s="43" t="s">
        <v>1420</v>
      </c>
      <c r="AK49" s="43" t="s">
        <v>1420</v>
      </c>
      <c r="AL49" s="43" t="s">
        <v>1420</v>
      </c>
      <c r="AM49" s="43" t="s">
        <v>1420</v>
      </c>
      <c r="AN49" s="43" t="s">
        <v>1420</v>
      </c>
      <c r="AO49" s="43" t="s">
        <v>1420</v>
      </c>
      <c r="AP49" s="43" t="s">
        <v>1420</v>
      </c>
      <c r="AQ49" s="43" t="s">
        <v>1420</v>
      </c>
      <c r="AR49" s="43" t="s">
        <v>1420</v>
      </c>
      <c r="AS49" s="43" t="s">
        <v>1420</v>
      </c>
      <c r="AT49" s="43" t="s">
        <v>1420</v>
      </c>
      <c r="AU49" s="43" t="s">
        <v>1420</v>
      </c>
      <c r="AV49" s="43" t="s">
        <v>1420</v>
      </c>
      <c r="AW49" s="43" t="s">
        <v>1420</v>
      </c>
      <c r="AX49" s="43" t="s">
        <v>1420</v>
      </c>
      <c r="AY49" s="43" t="s">
        <v>1420</v>
      </c>
      <c r="AZ49" s="43" t="s">
        <v>1420</v>
      </c>
      <c r="BA49" s="43" t="s">
        <v>1420</v>
      </c>
      <c r="BB49" s="43" t="s">
        <v>1420</v>
      </c>
      <c r="BC49" s="43" t="s">
        <v>1420</v>
      </c>
      <c r="BD49" s="43" t="s">
        <v>1420</v>
      </c>
      <c r="BE49" s="43" t="s">
        <v>1420</v>
      </c>
      <c r="BF49" s="43" t="s">
        <v>1420</v>
      </c>
      <c r="BG49" s="43" t="s">
        <v>1420</v>
      </c>
      <c r="BH49" s="43" t="s">
        <v>1420</v>
      </c>
      <c r="BI49" s="43" t="s">
        <v>1420</v>
      </c>
    </row>
    <row r="50" spans="1:61" customFormat="1" ht="409.6">
      <c r="A50" s="123" t="s">
        <v>545</v>
      </c>
      <c r="B50" s="51" t="s">
        <v>546</v>
      </c>
      <c r="C50" s="151" t="s">
        <v>544</v>
      </c>
      <c r="D50" s="158" t="s">
        <v>1442</v>
      </c>
      <c r="E50" s="36" t="s">
        <v>1443</v>
      </c>
      <c r="F50" s="37" t="s">
        <v>1444</v>
      </c>
      <c r="G50" s="37" t="s">
        <v>1445</v>
      </c>
      <c r="H50" s="38" t="s">
        <v>1239</v>
      </c>
      <c r="I50" s="38" t="s">
        <v>1247</v>
      </c>
      <c r="J50" s="62" t="s">
        <v>1269</v>
      </c>
      <c r="K50" s="39" t="s">
        <v>1420</v>
      </c>
      <c r="L50" s="39" t="s">
        <v>1420</v>
      </c>
      <c r="M50" s="39" t="s">
        <v>1420</v>
      </c>
      <c r="N50" s="39" t="s">
        <v>1420</v>
      </c>
      <c r="O50" s="39" t="s">
        <v>1420</v>
      </c>
      <c r="P50" s="39" t="s">
        <v>1420</v>
      </c>
      <c r="Q50" s="39" t="s">
        <v>1420</v>
      </c>
      <c r="R50" s="39" t="s">
        <v>1420</v>
      </c>
      <c r="S50" s="39" t="s">
        <v>1420</v>
      </c>
      <c r="T50" s="39" t="s">
        <v>1420</v>
      </c>
      <c r="U50" s="39" t="s">
        <v>1420</v>
      </c>
      <c r="V50" s="39" t="s">
        <v>1420</v>
      </c>
      <c r="W50" s="39" t="s">
        <v>1420</v>
      </c>
      <c r="X50" s="39" t="s">
        <v>1420</v>
      </c>
      <c r="Y50" s="39" t="s">
        <v>1420</v>
      </c>
      <c r="Z50" s="39" t="s">
        <v>1420</v>
      </c>
      <c r="AA50" s="39" t="s">
        <v>1420</v>
      </c>
      <c r="AB50" s="39" t="s">
        <v>1420</v>
      </c>
      <c r="AC50" s="39" t="s">
        <v>1420</v>
      </c>
      <c r="AD50" s="39" t="s">
        <v>1420</v>
      </c>
      <c r="AE50" s="39" t="s">
        <v>1420</v>
      </c>
      <c r="AF50" s="39" t="s">
        <v>1420</v>
      </c>
      <c r="AG50" s="39" t="s">
        <v>1420</v>
      </c>
      <c r="AH50" s="39" t="s">
        <v>1420</v>
      </c>
      <c r="AI50" s="39" t="s">
        <v>1420</v>
      </c>
      <c r="AJ50" s="39" t="s">
        <v>1420</v>
      </c>
      <c r="AK50" s="39" t="s">
        <v>1420</v>
      </c>
      <c r="AL50" s="39" t="s">
        <v>1420</v>
      </c>
      <c r="AM50" s="39" t="s">
        <v>1420</v>
      </c>
      <c r="AN50" s="39" t="s">
        <v>1420</v>
      </c>
      <c r="AO50" s="39" t="s">
        <v>1420</v>
      </c>
      <c r="AP50" s="39" t="s">
        <v>1420</v>
      </c>
      <c r="AQ50" s="39" t="s">
        <v>1420</v>
      </c>
      <c r="AR50" s="39" t="s">
        <v>1420</v>
      </c>
      <c r="AS50" s="39" t="s">
        <v>1420</v>
      </c>
      <c r="AT50" s="39" t="s">
        <v>1420</v>
      </c>
      <c r="AU50" s="39" t="s">
        <v>1420</v>
      </c>
      <c r="AV50" s="39" t="s">
        <v>1420</v>
      </c>
      <c r="AW50" s="39" t="s">
        <v>1420</v>
      </c>
      <c r="AX50" s="39" t="s">
        <v>1420</v>
      </c>
      <c r="AY50" s="39" t="s">
        <v>1420</v>
      </c>
      <c r="AZ50" s="39" t="s">
        <v>1420</v>
      </c>
      <c r="BA50" s="39" t="s">
        <v>1420</v>
      </c>
      <c r="BB50" s="39" t="s">
        <v>1420</v>
      </c>
      <c r="BC50" s="39" t="s">
        <v>1420</v>
      </c>
      <c r="BD50" s="39" t="s">
        <v>1420</v>
      </c>
      <c r="BE50" s="39" t="s">
        <v>1420</v>
      </c>
      <c r="BF50" s="39" t="s">
        <v>1420</v>
      </c>
      <c r="BG50" s="39" t="s">
        <v>1420</v>
      </c>
      <c r="BH50" s="39" t="s">
        <v>1420</v>
      </c>
      <c r="BI50" s="39" t="s">
        <v>1420</v>
      </c>
    </row>
    <row r="51" spans="1:61" customFormat="1" ht="409.6">
      <c r="A51" s="123" t="s">
        <v>545</v>
      </c>
      <c r="B51" s="52" t="s">
        <v>1145</v>
      </c>
      <c r="C51" s="151" t="s">
        <v>1146</v>
      </c>
      <c r="D51" s="158" t="s">
        <v>1446</v>
      </c>
      <c r="E51" s="36" t="s">
        <v>1447</v>
      </c>
      <c r="F51" s="37" t="s">
        <v>1448</v>
      </c>
      <c r="G51" s="37" t="s">
        <v>1449</v>
      </c>
      <c r="H51" s="38" t="s">
        <v>1246</v>
      </c>
      <c r="I51" s="38" t="s">
        <v>1240</v>
      </c>
      <c r="J51" s="62" t="s">
        <v>1269</v>
      </c>
      <c r="K51" s="39" t="s">
        <v>1420</v>
      </c>
      <c r="L51" s="39" t="s">
        <v>1420</v>
      </c>
      <c r="M51" s="39" t="s">
        <v>1420</v>
      </c>
      <c r="N51" s="39" t="s">
        <v>1420</v>
      </c>
      <c r="O51" s="39" t="s">
        <v>1420</v>
      </c>
      <c r="P51" s="39" t="s">
        <v>1420</v>
      </c>
      <c r="Q51" s="39" t="s">
        <v>1420</v>
      </c>
      <c r="R51" s="39" t="s">
        <v>1420</v>
      </c>
      <c r="S51" s="39" t="s">
        <v>1420</v>
      </c>
      <c r="T51" s="39" t="s">
        <v>1420</v>
      </c>
      <c r="U51" s="39" t="s">
        <v>1420</v>
      </c>
      <c r="V51" s="39" t="s">
        <v>1420</v>
      </c>
      <c r="W51" s="39" t="s">
        <v>1420</v>
      </c>
      <c r="X51" s="39" t="s">
        <v>1420</v>
      </c>
      <c r="Y51" s="39" t="s">
        <v>1420</v>
      </c>
      <c r="Z51" s="39" t="s">
        <v>1420</v>
      </c>
      <c r="AA51" s="39" t="s">
        <v>1420</v>
      </c>
      <c r="AB51" s="39" t="s">
        <v>1420</v>
      </c>
      <c r="AC51" s="39" t="s">
        <v>1420</v>
      </c>
      <c r="AD51" s="39" t="s">
        <v>1420</v>
      </c>
      <c r="AE51" s="39" t="s">
        <v>1420</v>
      </c>
      <c r="AF51" s="39" t="s">
        <v>1420</v>
      </c>
      <c r="AG51" s="39" t="s">
        <v>1420</v>
      </c>
      <c r="AH51" s="39" t="s">
        <v>1420</v>
      </c>
      <c r="AI51" s="39" t="s">
        <v>1420</v>
      </c>
      <c r="AJ51" s="39" t="s">
        <v>1420</v>
      </c>
      <c r="AK51" s="39" t="s">
        <v>1420</v>
      </c>
      <c r="AL51" s="39" t="s">
        <v>1420</v>
      </c>
      <c r="AM51" s="39" t="s">
        <v>1420</v>
      </c>
      <c r="AN51" s="39" t="s">
        <v>1420</v>
      </c>
      <c r="AO51" s="39" t="s">
        <v>1420</v>
      </c>
      <c r="AP51" s="39" t="s">
        <v>1420</v>
      </c>
      <c r="AQ51" s="39" t="s">
        <v>1420</v>
      </c>
      <c r="AR51" s="39" t="s">
        <v>1420</v>
      </c>
      <c r="AS51" s="39" t="s">
        <v>1420</v>
      </c>
      <c r="AT51" s="39" t="s">
        <v>1420</v>
      </c>
      <c r="AU51" s="39" t="s">
        <v>1420</v>
      </c>
      <c r="AV51" s="39" t="s">
        <v>1420</v>
      </c>
      <c r="AW51" s="39" t="s">
        <v>1420</v>
      </c>
      <c r="AX51" s="39" t="s">
        <v>1420</v>
      </c>
      <c r="AY51" s="39" t="s">
        <v>1420</v>
      </c>
      <c r="AZ51" s="39" t="s">
        <v>1420</v>
      </c>
      <c r="BA51" s="39" t="s">
        <v>1420</v>
      </c>
      <c r="BB51" s="39" t="s">
        <v>1420</v>
      </c>
      <c r="BC51" s="39" t="s">
        <v>1420</v>
      </c>
      <c r="BD51" s="39" t="s">
        <v>1420</v>
      </c>
      <c r="BE51" s="39" t="s">
        <v>1420</v>
      </c>
      <c r="BF51" s="39" t="s">
        <v>1420</v>
      </c>
      <c r="BG51" s="39" t="s">
        <v>1420</v>
      </c>
      <c r="BH51" s="39" t="s">
        <v>1420</v>
      </c>
      <c r="BI51" s="39" t="s">
        <v>1420</v>
      </c>
    </row>
    <row r="52" spans="1:61" customFormat="1" ht="79.349999999999994">
      <c r="A52" s="123" t="s">
        <v>584</v>
      </c>
      <c r="B52" s="52" t="s">
        <v>589</v>
      </c>
      <c r="C52" s="151" t="s">
        <v>588</v>
      </c>
      <c r="D52" s="76" t="s">
        <v>1450</v>
      </c>
      <c r="E52" s="36" t="s">
        <v>1451</v>
      </c>
      <c r="F52" s="37" t="s">
        <v>1452</v>
      </c>
      <c r="G52" s="37" t="s">
        <v>1453</v>
      </c>
      <c r="H52" s="38" t="s">
        <v>1246</v>
      </c>
      <c r="I52" s="38" t="s">
        <v>1240</v>
      </c>
      <c r="J52" s="62" t="s">
        <v>1269</v>
      </c>
      <c r="K52" s="39" t="s">
        <v>1420</v>
      </c>
      <c r="L52" s="39" t="s">
        <v>1420</v>
      </c>
      <c r="M52" s="39" t="s">
        <v>1420</v>
      </c>
      <c r="N52" s="39" t="s">
        <v>1420</v>
      </c>
      <c r="O52" s="39" t="s">
        <v>1420</v>
      </c>
      <c r="P52" s="39" t="s">
        <v>1420</v>
      </c>
      <c r="Q52" s="39" t="s">
        <v>1420</v>
      </c>
      <c r="R52" s="39" t="s">
        <v>1420</v>
      </c>
      <c r="S52" s="39" t="s">
        <v>1420</v>
      </c>
      <c r="T52" s="39" t="s">
        <v>1420</v>
      </c>
      <c r="U52" s="39" t="s">
        <v>1420</v>
      </c>
      <c r="V52" s="39" t="s">
        <v>1420</v>
      </c>
      <c r="W52" s="39" t="s">
        <v>1420</v>
      </c>
      <c r="X52" s="39" t="s">
        <v>1420</v>
      </c>
      <c r="Y52" s="39" t="s">
        <v>1420</v>
      </c>
      <c r="Z52" s="39" t="s">
        <v>1420</v>
      </c>
      <c r="AA52" s="39" t="s">
        <v>1420</v>
      </c>
      <c r="AB52" s="39" t="s">
        <v>1420</v>
      </c>
      <c r="AC52" s="39" t="s">
        <v>1420</v>
      </c>
      <c r="AD52" s="39" t="s">
        <v>1420</v>
      </c>
      <c r="AE52" s="39" t="s">
        <v>1420</v>
      </c>
      <c r="AF52" s="39" t="s">
        <v>1420</v>
      </c>
      <c r="AG52" s="39" t="s">
        <v>1420</v>
      </c>
      <c r="AH52" s="39" t="s">
        <v>1420</v>
      </c>
      <c r="AI52" s="39" t="s">
        <v>1420</v>
      </c>
      <c r="AJ52" s="39" t="s">
        <v>1420</v>
      </c>
      <c r="AK52" s="39" t="s">
        <v>1420</v>
      </c>
      <c r="AL52" s="39" t="s">
        <v>1420</v>
      </c>
      <c r="AM52" s="39" t="s">
        <v>1420</v>
      </c>
      <c r="AN52" s="39" t="s">
        <v>1420</v>
      </c>
      <c r="AO52" s="39" t="s">
        <v>1420</v>
      </c>
      <c r="AP52" s="39" t="s">
        <v>1420</v>
      </c>
      <c r="AQ52" s="39" t="s">
        <v>1420</v>
      </c>
      <c r="AR52" s="39" t="s">
        <v>1420</v>
      </c>
      <c r="AS52" s="39" t="s">
        <v>1420</v>
      </c>
      <c r="AT52" s="39" t="s">
        <v>1420</v>
      </c>
      <c r="AU52" s="39" t="s">
        <v>1420</v>
      </c>
      <c r="AV52" s="39" t="s">
        <v>1420</v>
      </c>
      <c r="AW52" s="39" t="s">
        <v>1420</v>
      </c>
      <c r="AX52" s="39" t="s">
        <v>1420</v>
      </c>
      <c r="AY52" s="39" t="s">
        <v>1420</v>
      </c>
      <c r="AZ52" s="39" t="s">
        <v>1420</v>
      </c>
      <c r="BA52" s="39" t="s">
        <v>1420</v>
      </c>
      <c r="BB52" s="39" t="s">
        <v>1420</v>
      </c>
      <c r="BC52" s="39" t="s">
        <v>1420</v>
      </c>
      <c r="BD52" s="39" t="s">
        <v>1420</v>
      </c>
      <c r="BE52" s="39" t="s">
        <v>1420</v>
      </c>
      <c r="BF52" s="39" t="s">
        <v>1420</v>
      </c>
      <c r="BG52" s="39" t="s">
        <v>1420</v>
      </c>
      <c r="BH52" s="39" t="s">
        <v>1420</v>
      </c>
      <c r="BI52" s="39" t="s">
        <v>1420</v>
      </c>
    </row>
    <row r="53" spans="1:61" customFormat="1" ht="63.4">
      <c r="A53" s="123" t="s">
        <v>545</v>
      </c>
      <c r="B53" s="51" t="s">
        <v>548</v>
      </c>
      <c r="C53" s="151" t="s">
        <v>547</v>
      </c>
      <c r="D53" s="76" t="s">
        <v>1454</v>
      </c>
      <c r="E53" s="36" t="s">
        <v>1455</v>
      </c>
      <c r="F53" s="37" t="s">
        <v>1456</v>
      </c>
      <c r="G53" s="37" t="s">
        <v>1457</v>
      </c>
      <c r="H53" s="38" t="s">
        <v>1246</v>
      </c>
      <c r="I53" s="38" t="s">
        <v>1240</v>
      </c>
      <c r="J53" s="62" t="s">
        <v>1269</v>
      </c>
      <c r="K53" s="39" t="s">
        <v>1420</v>
      </c>
      <c r="L53" s="39" t="s">
        <v>1420</v>
      </c>
      <c r="M53" s="39" t="s">
        <v>1420</v>
      </c>
      <c r="N53" s="39" t="s">
        <v>1420</v>
      </c>
      <c r="O53" s="39" t="s">
        <v>1420</v>
      </c>
      <c r="P53" s="39" t="s">
        <v>1420</v>
      </c>
      <c r="Q53" s="39" t="s">
        <v>1420</v>
      </c>
      <c r="R53" s="39" t="s">
        <v>1420</v>
      </c>
      <c r="S53" s="39" t="s">
        <v>1420</v>
      </c>
      <c r="T53" s="39" t="s">
        <v>1420</v>
      </c>
      <c r="U53" s="39" t="s">
        <v>1420</v>
      </c>
      <c r="V53" s="39" t="s">
        <v>1420</v>
      </c>
      <c r="W53" s="39" t="s">
        <v>1420</v>
      </c>
      <c r="X53" s="39" t="s">
        <v>1420</v>
      </c>
      <c r="Y53" s="39" t="s">
        <v>1420</v>
      </c>
      <c r="Z53" s="39" t="s">
        <v>1420</v>
      </c>
      <c r="AA53" s="39" t="s">
        <v>1420</v>
      </c>
      <c r="AB53" s="39" t="s">
        <v>1420</v>
      </c>
      <c r="AC53" s="39" t="s">
        <v>1420</v>
      </c>
      <c r="AD53" s="39" t="s">
        <v>1420</v>
      </c>
      <c r="AE53" s="39" t="s">
        <v>1420</v>
      </c>
      <c r="AF53" s="39" t="s">
        <v>1420</v>
      </c>
      <c r="AG53" s="39" t="s">
        <v>1420</v>
      </c>
      <c r="AH53" s="39" t="s">
        <v>1420</v>
      </c>
      <c r="AI53" s="39" t="s">
        <v>1420</v>
      </c>
      <c r="AJ53" s="39" t="s">
        <v>1420</v>
      </c>
      <c r="AK53" s="39" t="s">
        <v>1420</v>
      </c>
      <c r="AL53" s="39" t="s">
        <v>1420</v>
      </c>
      <c r="AM53" s="39" t="s">
        <v>1420</v>
      </c>
      <c r="AN53" s="39" t="s">
        <v>1420</v>
      </c>
      <c r="AO53" s="39" t="s">
        <v>1420</v>
      </c>
      <c r="AP53" s="39" t="s">
        <v>1420</v>
      </c>
      <c r="AQ53" s="39" t="s">
        <v>1420</v>
      </c>
      <c r="AR53" s="39" t="s">
        <v>1420</v>
      </c>
      <c r="AS53" s="39" t="s">
        <v>1420</v>
      </c>
      <c r="AT53" s="39" t="s">
        <v>1420</v>
      </c>
      <c r="AU53" s="39" t="s">
        <v>1420</v>
      </c>
      <c r="AV53" s="39" t="s">
        <v>1420</v>
      </c>
      <c r="AW53" s="39" t="s">
        <v>1420</v>
      </c>
      <c r="AX53" s="39" t="s">
        <v>1420</v>
      </c>
      <c r="AY53" s="39" t="s">
        <v>1420</v>
      </c>
      <c r="AZ53" s="39" t="s">
        <v>1420</v>
      </c>
      <c r="BA53" s="39" t="s">
        <v>1420</v>
      </c>
      <c r="BB53" s="39" t="s">
        <v>1420</v>
      </c>
      <c r="BC53" s="39" t="s">
        <v>1420</v>
      </c>
      <c r="BD53" s="39" t="s">
        <v>1420</v>
      </c>
      <c r="BE53" s="39" t="s">
        <v>1420</v>
      </c>
      <c r="BF53" s="39" t="s">
        <v>1420</v>
      </c>
      <c r="BG53" s="39" t="s">
        <v>1420</v>
      </c>
      <c r="BH53" s="39" t="s">
        <v>1420</v>
      </c>
      <c r="BI53" s="39" t="s">
        <v>1420</v>
      </c>
    </row>
    <row r="54" spans="1:61" customFormat="1" ht="95.1">
      <c r="A54" s="123" t="s">
        <v>560</v>
      </c>
      <c r="B54" s="52" t="s">
        <v>565</v>
      </c>
      <c r="C54" s="151" t="s">
        <v>1153</v>
      </c>
      <c r="D54" s="76" t="s">
        <v>1458</v>
      </c>
      <c r="E54" s="36" t="s">
        <v>1459</v>
      </c>
      <c r="F54" s="37" t="s">
        <v>1460</v>
      </c>
      <c r="G54" s="37" t="s">
        <v>1461</v>
      </c>
      <c r="H54" s="38" t="s">
        <v>1231</v>
      </c>
      <c r="I54" s="45" t="s">
        <v>1232</v>
      </c>
      <c r="J54" s="62" t="s">
        <v>1264</v>
      </c>
      <c r="K54" s="39" t="s">
        <v>1420</v>
      </c>
      <c r="L54" s="39" t="s">
        <v>1420</v>
      </c>
      <c r="M54" s="39" t="s">
        <v>1420</v>
      </c>
      <c r="N54" s="39" t="s">
        <v>1420</v>
      </c>
      <c r="O54" s="39" t="s">
        <v>1420</v>
      </c>
      <c r="P54" s="39" t="s">
        <v>1420</v>
      </c>
      <c r="Q54" s="39" t="s">
        <v>1420</v>
      </c>
      <c r="R54" s="39" t="s">
        <v>1420</v>
      </c>
      <c r="S54" s="39" t="s">
        <v>1420</v>
      </c>
      <c r="T54" s="39" t="s">
        <v>1420</v>
      </c>
      <c r="U54" s="39" t="s">
        <v>1420</v>
      </c>
      <c r="V54" s="39" t="s">
        <v>1420</v>
      </c>
      <c r="W54" s="39" t="s">
        <v>1420</v>
      </c>
      <c r="X54" s="39" t="s">
        <v>1420</v>
      </c>
      <c r="Y54" s="39" t="s">
        <v>1420</v>
      </c>
      <c r="Z54" s="39" t="s">
        <v>1420</v>
      </c>
      <c r="AA54" s="39" t="s">
        <v>1420</v>
      </c>
      <c r="AB54" s="39" t="s">
        <v>1420</v>
      </c>
      <c r="AC54" s="39" t="s">
        <v>1420</v>
      </c>
      <c r="AD54" s="39" t="s">
        <v>1420</v>
      </c>
      <c r="AE54" s="39" t="s">
        <v>1420</v>
      </c>
      <c r="AF54" s="39" t="s">
        <v>1420</v>
      </c>
      <c r="AG54" s="39" t="s">
        <v>1420</v>
      </c>
      <c r="AH54" s="39" t="s">
        <v>1420</v>
      </c>
      <c r="AI54" s="39" t="s">
        <v>1420</v>
      </c>
      <c r="AJ54" s="39" t="s">
        <v>1420</v>
      </c>
      <c r="AK54" s="39" t="s">
        <v>1420</v>
      </c>
      <c r="AL54" s="39" t="s">
        <v>1420</v>
      </c>
      <c r="AM54" s="39" t="s">
        <v>1420</v>
      </c>
      <c r="AN54" s="39" t="s">
        <v>1420</v>
      </c>
      <c r="AO54" s="39" t="s">
        <v>1420</v>
      </c>
      <c r="AP54" s="39" t="s">
        <v>1420</v>
      </c>
      <c r="AQ54" s="39" t="s">
        <v>1420</v>
      </c>
      <c r="AR54" s="39" t="s">
        <v>1420</v>
      </c>
      <c r="AS54" s="39" t="s">
        <v>1420</v>
      </c>
      <c r="AT54" s="39" t="s">
        <v>1420</v>
      </c>
      <c r="AU54" s="39" t="s">
        <v>1420</v>
      </c>
      <c r="AV54" s="39" t="s">
        <v>1420</v>
      </c>
      <c r="AW54" s="39" t="s">
        <v>1420</v>
      </c>
      <c r="AX54" s="39" t="s">
        <v>1420</v>
      </c>
      <c r="AY54" s="39" t="s">
        <v>1420</v>
      </c>
      <c r="AZ54" s="39" t="s">
        <v>1420</v>
      </c>
      <c r="BA54" s="39" t="s">
        <v>1420</v>
      </c>
      <c r="BB54" s="39" t="s">
        <v>1420</v>
      </c>
      <c r="BC54" s="39" t="s">
        <v>1420</v>
      </c>
      <c r="BD54" s="39" t="s">
        <v>1420</v>
      </c>
      <c r="BE54" s="39" t="s">
        <v>1420</v>
      </c>
      <c r="BF54" s="39" t="s">
        <v>1420</v>
      </c>
      <c r="BG54" s="39" t="s">
        <v>1420</v>
      </c>
      <c r="BH54" s="39" t="s">
        <v>1420</v>
      </c>
      <c r="BI54" s="39" t="s">
        <v>1420</v>
      </c>
    </row>
    <row r="55" spans="1:61" customFormat="1" ht="58.7">
      <c r="A55" s="123" t="s">
        <v>560</v>
      </c>
      <c r="B55" s="51" t="s">
        <v>567</v>
      </c>
      <c r="C55" s="151" t="s">
        <v>1154</v>
      </c>
      <c r="D55" s="76" t="s">
        <v>1462</v>
      </c>
      <c r="E55" s="36" t="s">
        <v>1463</v>
      </c>
      <c r="F55" s="37" t="s">
        <v>1464</v>
      </c>
      <c r="G55" s="37" t="s">
        <v>1465</v>
      </c>
      <c r="H55" s="38" t="s">
        <v>1231</v>
      </c>
      <c r="I55" s="45" t="s">
        <v>1232</v>
      </c>
      <c r="J55" s="62" t="s">
        <v>1269</v>
      </c>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row>
    <row r="56" spans="1:61" customFormat="1" ht="79.349999999999994">
      <c r="A56" s="123" t="s">
        <v>560</v>
      </c>
      <c r="B56" s="51" t="s">
        <v>571</v>
      </c>
      <c r="C56" s="151" t="s">
        <v>1152</v>
      </c>
      <c r="D56" s="76" t="s">
        <v>1466</v>
      </c>
      <c r="E56" s="36" t="s">
        <v>1467</v>
      </c>
      <c r="F56" s="37" t="s">
        <v>1468</v>
      </c>
      <c r="G56" s="37" t="s">
        <v>1469</v>
      </c>
      <c r="H56" s="38" t="s">
        <v>1246</v>
      </c>
      <c r="I56" s="38" t="s">
        <v>1240</v>
      </c>
      <c r="J56" s="62" t="s">
        <v>1269</v>
      </c>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row>
    <row r="57" spans="1:61" customFormat="1" ht="63.4">
      <c r="A57" s="123" t="s">
        <v>560</v>
      </c>
      <c r="B57" s="52" t="s">
        <v>569</v>
      </c>
      <c r="C57" s="151" t="s">
        <v>568</v>
      </c>
      <c r="D57" s="76" t="s">
        <v>1470</v>
      </c>
      <c r="E57" s="36" t="s">
        <v>1471</v>
      </c>
      <c r="F57" s="37" t="s">
        <v>1472</v>
      </c>
      <c r="G57" s="37" t="s">
        <v>1473</v>
      </c>
      <c r="H57" s="38" t="s">
        <v>1246</v>
      </c>
      <c r="I57" s="38" t="s">
        <v>1240</v>
      </c>
      <c r="J57" s="62" t="s">
        <v>1269</v>
      </c>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row>
    <row r="58" spans="1:61" customFormat="1" ht="95.1">
      <c r="A58" s="123" t="s">
        <v>560</v>
      </c>
      <c r="B58" s="48" t="s">
        <v>579</v>
      </c>
      <c r="C58" s="151" t="s">
        <v>580</v>
      </c>
      <c r="D58" s="76" t="s">
        <v>1474</v>
      </c>
      <c r="E58" s="36" t="s">
        <v>1475</v>
      </c>
      <c r="F58" s="37" t="s">
        <v>1476</v>
      </c>
      <c r="G58" s="37" t="s">
        <v>1477</v>
      </c>
      <c r="H58" s="38" t="s">
        <v>1246</v>
      </c>
      <c r="I58" s="38" t="s">
        <v>1240</v>
      </c>
      <c r="J58" s="62" t="s">
        <v>1269</v>
      </c>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row>
    <row r="59" spans="1:61" customFormat="1" ht="79.349999999999994">
      <c r="A59" s="123" t="s">
        <v>560</v>
      </c>
      <c r="B59" s="51" t="s">
        <v>561</v>
      </c>
      <c r="C59" s="151" t="s">
        <v>559</v>
      </c>
      <c r="D59" s="76" t="s">
        <v>1478</v>
      </c>
      <c r="E59" s="36" t="s">
        <v>1479</v>
      </c>
      <c r="F59" s="37" t="s">
        <v>1480</v>
      </c>
      <c r="G59" s="37" t="s">
        <v>1481</v>
      </c>
      <c r="H59" s="38" t="s">
        <v>1246</v>
      </c>
      <c r="I59" s="38" t="s">
        <v>1240</v>
      </c>
      <c r="J59" s="62" t="s">
        <v>1269</v>
      </c>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row>
    <row r="60" spans="1:61" customFormat="1" ht="111">
      <c r="A60" s="123" t="s">
        <v>560</v>
      </c>
      <c r="B60" s="51" t="s">
        <v>582</v>
      </c>
      <c r="C60" s="151" t="s">
        <v>581</v>
      </c>
      <c r="D60" s="76" t="s">
        <v>1482</v>
      </c>
      <c r="E60" s="36" t="s">
        <v>1483</v>
      </c>
      <c r="F60" s="37" t="s">
        <v>1484</v>
      </c>
      <c r="G60" s="37" t="s">
        <v>1485</v>
      </c>
      <c r="H60" s="38" t="s">
        <v>1239</v>
      </c>
      <c r="I60" s="38" t="s">
        <v>1240</v>
      </c>
      <c r="J60" s="62" t="s">
        <v>1269</v>
      </c>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row>
    <row r="61" spans="1:61" customFormat="1" ht="79.349999999999994">
      <c r="A61" s="123" t="s">
        <v>560</v>
      </c>
      <c r="B61" s="48" t="s">
        <v>563</v>
      </c>
      <c r="C61" s="151" t="s">
        <v>562</v>
      </c>
      <c r="D61" s="76" t="s">
        <v>1486</v>
      </c>
      <c r="E61" s="36" t="s">
        <v>1487</v>
      </c>
      <c r="F61" s="37" t="s">
        <v>1488</v>
      </c>
      <c r="G61" s="37" t="s">
        <v>1489</v>
      </c>
      <c r="H61" s="38" t="s">
        <v>1246</v>
      </c>
      <c r="I61" s="38" t="s">
        <v>1240</v>
      </c>
      <c r="J61" s="62" t="s">
        <v>1269</v>
      </c>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row>
    <row r="62" spans="1:61" customFormat="1" ht="95.1">
      <c r="A62" s="123" t="s">
        <v>542</v>
      </c>
      <c r="B62" s="48" t="s">
        <v>543</v>
      </c>
      <c r="C62" s="151" t="s">
        <v>541</v>
      </c>
      <c r="D62" s="76" t="s">
        <v>1490</v>
      </c>
      <c r="E62" s="36" t="s">
        <v>1491</v>
      </c>
      <c r="F62" s="37" t="s">
        <v>1492</v>
      </c>
      <c r="G62" s="37" t="s">
        <v>1493</v>
      </c>
      <c r="H62" s="38" t="s">
        <v>1231</v>
      </c>
      <c r="I62" s="45" t="s">
        <v>1232</v>
      </c>
      <c r="J62" s="62" t="s">
        <v>1269</v>
      </c>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row>
    <row r="63" spans="1:61" customFormat="1" ht="79.349999999999994">
      <c r="A63" s="125" t="s">
        <v>542</v>
      </c>
      <c r="B63" s="164" t="s">
        <v>1494</v>
      </c>
      <c r="C63" s="153" t="s">
        <v>1495</v>
      </c>
      <c r="D63" s="77" t="s">
        <v>1496</v>
      </c>
      <c r="E63" s="53" t="s">
        <v>1497</v>
      </c>
      <c r="F63" s="25" t="s">
        <v>1498</v>
      </c>
      <c r="G63" s="25" t="s">
        <v>1499</v>
      </c>
      <c r="H63" s="38" t="s">
        <v>1246</v>
      </c>
      <c r="I63" s="38" t="s">
        <v>1240</v>
      </c>
      <c r="J63" s="62" t="s">
        <v>1288</v>
      </c>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row>
    <row r="64" spans="1:61" customFormat="1" ht="63.4">
      <c r="A64" s="125" t="s">
        <v>542</v>
      </c>
      <c r="B64" s="47" t="s">
        <v>1500</v>
      </c>
      <c r="C64" s="153" t="s">
        <v>1501</v>
      </c>
      <c r="D64" s="77" t="s">
        <v>1502</v>
      </c>
      <c r="E64" s="53" t="s">
        <v>1503</v>
      </c>
      <c r="F64" s="25" t="s">
        <v>1504</v>
      </c>
      <c r="G64" s="25" t="s">
        <v>1505</v>
      </c>
      <c r="H64" s="38" t="s">
        <v>1246</v>
      </c>
      <c r="I64" s="38" t="s">
        <v>1240</v>
      </c>
      <c r="J64" s="62" t="s">
        <v>1506</v>
      </c>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row>
    <row r="65" spans="1:61" customFormat="1" ht="95.1">
      <c r="A65" s="125" t="s">
        <v>542</v>
      </c>
      <c r="B65" s="35" t="s">
        <v>1507</v>
      </c>
      <c r="C65" s="154" t="s">
        <v>1508</v>
      </c>
      <c r="D65" s="78" t="s">
        <v>1509</v>
      </c>
      <c r="E65" s="53" t="s">
        <v>1510</v>
      </c>
      <c r="F65" s="25" t="s">
        <v>1511</v>
      </c>
      <c r="G65" s="25" t="s">
        <v>1512</v>
      </c>
      <c r="H65" s="38" t="s">
        <v>1246</v>
      </c>
      <c r="I65" s="38" t="s">
        <v>1240</v>
      </c>
      <c r="J65" s="62" t="s">
        <v>1506</v>
      </c>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row>
    <row r="66" spans="1:61" customFormat="1" ht="58.7">
      <c r="A66" s="125" t="s">
        <v>542</v>
      </c>
      <c r="B66" s="47" t="s">
        <v>1513</v>
      </c>
      <c r="C66" s="153" t="s">
        <v>1514</v>
      </c>
      <c r="D66" s="78" t="s">
        <v>1515</v>
      </c>
      <c r="E66" s="53" t="s">
        <v>1516</v>
      </c>
      <c r="F66" s="25" t="s">
        <v>1517</v>
      </c>
      <c r="G66" s="25" t="s">
        <v>1518</v>
      </c>
      <c r="H66" s="38" t="s">
        <v>1246</v>
      </c>
      <c r="I66" s="38" t="s">
        <v>1240</v>
      </c>
      <c r="J66" s="62" t="s">
        <v>1506</v>
      </c>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row>
    <row r="67" spans="1:61" customFormat="1" ht="102">
      <c r="A67" s="170" t="s">
        <v>623</v>
      </c>
      <c r="B67" s="24" t="s">
        <v>630</v>
      </c>
      <c r="C67" s="155" t="s">
        <v>629</v>
      </c>
      <c r="D67" s="130" t="s">
        <v>1519</v>
      </c>
      <c r="E67" s="171" t="s">
        <v>1520</v>
      </c>
      <c r="F67" s="133" t="s">
        <v>1521</v>
      </c>
      <c r="G67" s="133" t="s">
        <v>1522</v>
      </c>
      <c r="H67" s="3" t="s">
        <v>1246</v>
      </c>
      <c r="I67" s="172" t="s">
        <v>1240</v>
      </c>
      <c r="J67" s="134" t="s">
        <v>1374</v>
      </c>
    </row>
    <row r="68" spans="1:61" customFormat="1" ht="72.95">
      <c r="A68" s="170" t="s">
        <v>623</v>
      </c>
      <c r="B68" s="24" t="s">
        <v>628</v>
      </c>
      <c r="C68" s="155" t="s">
        <v>627</v>
      </c>
      <c r="D68" s="130"/>
      <c r="E68" s="173" t="s">
        <v>1523</v>
      </c>
      <c r="F68" s="133" t="s">
        <v>1524</v>
      </c>
      <c r="G68" s="133" t="s">
        <v>1525</v>
      </c>
      <c r="H68" s="174" t="s">
        <v>1353</v>
      </c>
      <c r="I68" s="3" t="s">
        <v>1232</v>
      </c>
      <c r="J68" s="134" t="s">
        <v>1374</v>
      </c>
    </row>
    <row r="69" spans="1:61" customFormat="1" ht="31.5" customHeight="1">
      <c r="A69" s="170" t="s">
        <v>623</v>
      </c>
      <c r="B69" s="24" t="s">
        <v>1159</v>
      </c>
      <c r="C69" s="155"/>
      <c r="D69" s="130" t="s">
        <v>1526</v>
      </c>
      <c r="E69" s="171" t="s">
        <v>1527</v>
      </c>
      <c r="F69" s="133" t="s">
        <v>1528</v>
      </c>
      <c r="G69" s="133" t="s">
        <v>1529</v>
      </c>
      <c r="H69" s="3" t="s">
        <v>1246</v>
      </c>
      <c r="I69" s="175" t="s">
        <v>1530</v>
      </c>
      <c r="J69" s="134" t="s">
        <v>1258</v>
      </c>
    </row>
    <row r="70" spans="1:61" customFormat="1" ht="72.75" customHeight="1">
      <c r="A70" s="170" t="s">
        <v>623</v>
      </c>
      <c r="B70" s="24" t="s">
        <v>645</v>
      </c>
      <c r="C70" s="155" t="s">
        <v>644</v>
      </c>
      <c r="D70" s="130" t="s">
        <v>1531</v>
      </c>
      <c r="E70" s="171" t="s">
        <v>1532</v>
      </c>
      <c r="F70" s="133" t="s">
        <v>1533</v>
      </c>
      <c r="G70" s="133" t="s">
        <v>1534</v>
      </c>
      <c r="H70" s="3" t="s">
        <v>1316</v>
      </c>
      <c r="I70" s="3" t="s">
        <v>1247</v>
      </c>
      <c r="J70" s="134" t="s">
        <v>1233</v>
      </c>
    </row>
    <row r="71" spans="1:61" customFormat="1" ht="120">
      <c r="A71" s="126" t="s">
        <v>693</v>
      </c>
      <c r="B71" s="146" t="s">
        <v>1535</v>
      </c>
      <c r="C71" s="148" t="s">
        <v>692</v>
      </c>
      <c r="D71" s="70" t="s">
        <v>1536</v>
      </c>
      <c r="E71" s="69" t="s">
        <v>1537</v>
      </c>
      <c r="F71" s="13" t="s">
        <v>1538</v>
      </c>
      <c r="G71" s="31" t="s">
        <v>1539</v>
      </c>
      <c r="H71" t="s">
        <v>1316</v>
      </c>
      <c r="I71" t="s">
        <v>1240</v>
      </c>
      <c r="J71" s="61" t="s">
        <v>1269</v>
      </c>
    </row>
    <row r="72" spans="1:61" customFormat="1" ht="58.35">
      <c r="A72" s="126" t="s">
        <v>649</v>
      </c>
      <c r="B72" s="147" t="s">
        <v>1540</v>
      </c>
      <c r="C72" s="148"/>
      <c r="D72" s="70"/>
      <c r="E72" s="14" t="s">
        <v>1541</v>
      </c>
      <c r="F72" s="22" t="s">
        <v>1542</v>
      </c>
      <c r="G72" s="31" t="s">
        <v>1539</v>
      </c>
      <c r="H72" t="s">
        <v>1257</v>
      </c>
      <c r="I72" t="s">
        <v>1240</v>
      </c>
      <c r="J72" s="61" t="s">
        <v>1258</v>
      </c>
    </row>
    <row r="73" spans="1:61" customFormat="1" ht="87.4">
      <c r="A73" s="126" t="s">
        <v>649</v>
      </c>
      <c r="B73" s="177" t="s">
        <v>1543</v>
      </c>
      <c r="C73" s="148"/>
      <c r="D73" s="70"/>
      <c r="E73" s="14" t="s">
        <v>1544</v>
      </c>
      <c r="F73" s="13" t="s">
        <v>1545</v>
      </c>
      <c r="G73" s="31" t="s">
        <v>1539</v>
      </c>
      <c r="H73" t="s">
        <v>1257</v>
      </c>
      <c r="I73" t="s">
        <v>1240</v>
      </c>
      <c r="J73" s="61" t="s">
        <v>1546</v>
      </c>
    </row>
    <row r="74" spans="1:61" customFormat="1" ht="68.650000000000006">
      <c r="A74" s="126" t="s">
        <v>649</v>
      </c>
      <c r="B74" s="12" t="s">
        <v>696</v>
      </c>
      <c r="C74" s="148" t="s">
        <v>695</v>
      </c>
      <c r="D74" s="70" t="s">
        <v>1547</v>
      </c>
      <c r="E74" s="32" t="s">
        <v>1548</v>
      </c>
      <c r="F74" s="13" t="s">
        <v>1549</v>
      </c>
      <c r="G74" s="31" t="s">
        <v>1539</v>
      </c>
      <c r="H74" t="s">
        <v>1316</v>
      </c>
      <c r="I74" t="s">
        <v>1240</v>
      </c>
      <c r="J74" s="61" t="s">
        <v>1233</v>
      </c>
    </row>
    <row r="75" spans="1:61" customFormat="1" ht="102">
      <c r="A75" s="126" t="s">
        <v>649</v>
      </c>
      <c r="B75" s="117" t="s">
        <v>497</v>
      </c>
      <c r="C75" s="150" t="s">
        <v>496</v>
      </c>
      <c r="D75" s="118" t="s">
        <v>1550</v>
      </c>
      <c r="E75" s="119" t="s">
        <v>1551</v>
      </c>
      <c r="F75" s="120" t="s">
        <v>1552</v>
      </c>
      <c r="G75" s="103" t="s">
        <v>1553</v>
      </c>
      <c r="H75" s="102" t="s">
        <v>1231</v>
      </c>
      <c r="I75" s="104" t="s">
        <v>1232</v>
      </c>
      <c r="J75" s="105" t="s">
        <v>1258</v>
      </c>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row>
    <row r="76" spans="1:61" customFormat="1" ht="189.4">
      <c r="A76" s="126" t="s">
        <v>674</v>
      </c>
      <c r="B76" s="24"/>
      <c r="C76" s="155"/>
      <c r="D76" s="14" t="s">
        <v>1554</v>
      </c>
      <c r="E76" s="14" t="s">
        <v>1555</v>
      </c>
      <c r="F76" s="13" t="s">
        <v>1556</v>
      </c>
      <c r="G76" s="13" t="s">
        <v>1539</v>
      </c>
      <c r="H76" t="s">
        <v>1257</v>
      </c>
      <c r="I76" t="s">
        <v>1240</v>
      </c>
      <c r="J76" s="61" t="s">
        <v>1258</v>
      </c>
    </row>
    <row r="77" spans="1:61" s="3" customFormat="1" ht="68.650000000000006">
      <c r="A77" s="135" t="s">
        <v>1196</v>
      </c>
      <c r="B77" s="24" t="s">
        <v>1197</v>
      </c>
      <c r="C77" s="155"/>
      <c r="D77" s="130" t="s">
        <v>1557</v>
      </c>
      <c r="E77" s="131" t="s">
        <v>1558</v>
      </c>
      <c r="F77" s="132" t="s">
        <v>1559</v>
      </c>
      <c r="G77" s="133" t="s">
        <v>1560</v>
      </c>
      <c r="H77" s="3" t="s">
        <v>1353</v>
      </c>
      <c r="I77" s="3" t="s">
        <v>1232</v>
      </c>
      <c r="J77" s="134" t="s">
        <v>1258</v>
      </c>
    </row>
    <row r="78" spans="1:61" customFormat="1" ht="68.650000000000006">
      <c r="A78" s="136" t="s">
        <v>809</v>
      </c>
      <c r="B78" s="12" t="s">
        <v>810</v>
      </c>
      <c r="C78" s="148" t="s">
        <v>808</v>
      </c>
      <c r="D78" s="70" t="s">
        <v>1561</v>
      </c>
      <c r="E78" s="32" t="s">
        <v>1562</v>
      </c>
      <c r="F78" s="13" t="s">
        <v>1563</v>
      </c>
      <c r="G78" s="13" t="s">
        <v>1564</v>
      </c>
      <c r="H78" t="s">
        <v>1316</v>
      </c>
      <c r="I78" t="s">
        <v>1565</v>
      </c>
      <c r="J78" s="61" t="s">
        <v>1566</v>
      </c>
    </row>
    <row r="79" spans="1:61" customFormat="1" ht="68.650000000000006">
      <c r="A79" s="136" t="s">
        <v>809</v>
      </c>
      <c r="B79" s="12" t="s">
        <v>812</v>
      </c>
      <c r="C79" s="148" t="s">
        <v>811</v>
      </c>
      <c r="D79" s="70" t="s">
        <v>1567</v>
      </c>
      <c r="E79" s="32" t="s">
        <v>1568</v>
      </c>
      <c r="F79" s="13" t="s">
        <v>1569</v>
      </c>
      <c r="G79" s="13" t="s">
        <v>1570</v>
      </c>
      <c r="H79" t="s">
        <v>1316</v>
      </c>
      <c r="I79" t="s">
        <v>1565</v>
      </c>
      <c r="J79" s="61" t="s">
        <v>1571</v>
      </c>
    </row>
    <row r="80" spans="1:61" customFormat="1" ht="68.650000000000006">
      <c r="A80" s="136" t="s">
        <v>809</v>
      </c>
      <c r="B80" s="12" t="s">
        <v>814</v>
      </c>
      <c r="C80" s="148" t="s">
        <v>813</v>
      </c>
      <c r="D80" s="70" t="s">
        <v>1572</v>
      </c>
      <c r="E80" s="32" t="s">
        <v>1573</v>
      </c>
      <c r="F80" s="13" t="s">
        <v>1574</v>
      </c>
      <c r="G80" s="31" t="s">
        <v>1575</v>
      </c>
      <c r="H80" t="s">
        <v>1316</v>
      </c>
      <c r="I80" t="s">
        <v>1565</v>
      </c>
      <c r="J80" s="61" t="s">
        <v>1571</v>
      </c>
    </row>
    <row r="81" spans="1:61" customFormat="1" ht="68.650000000000006">
      <c r="A81" s="136" t="s">
        <v>809</v>
      </c>
      <c r="B81" s="12" t="s">
        <v>816</v>
      </c>
      <c r="C81" s="148" t="s">
        <v>815</v>
      </c>
      <c r="D81" s="70" t="s">
        <v>1572</v>
      </c>
      <c r="E81" s="32" t="s">
        <v>1576</v>
      </c>
      <c r="F81" s="13" t="s">
        <v>1577</v>
      </c>
      <c r="G81" s="31" t="s">
        <v>1575</v>
      </c>
      <c r="H81" t="s">
        <v>1316</v>
      </c>
      <c r="I81" t="s">
        <v>1565</v>
      </c>
      <c r="J81" s="61" t="s">
        <v>1571</v>
      </c>
    </row>
    <row r="82" spans="1:61" customFormat="1" ht="58.35">
      <c r="A82" s="136" t="s">
        <v>809</v>
      </c>
      <c r="B82" s="12" t="s">
        <v>818</v>
      </c>
      <c r="C82" s="148" t="s">
        <v>817</v>
      </c>
      <c r="D82" s="70" t="s">
        <v>1578</v>
      </c>
      <c r="E82" s="32" t="s">
        <v>1579</v>
      </c>
      <c r="F82" s="13" t="s">
        <v>1580</v>
      </c>
      <c r="G82" s="13" t="s">
        <v>1581</v>
      </c>
      <c r="H82" t="s">
        <v>1316</v>
      </c>
      <c r="I82" t="s">
        <v>1565</v>
      </c>
      <c r="J82" s="61" t="s">
        <v>1571</v>
      </c>
    </row>
    <row r="83" spans="1:61" customFormat="1" ht="58.35">
      <c r="A83" s="136" t="s">
        <v>809</v>
      </c>
      <c r="B83" s="12" t="s">
        <v>820</v>
      </c>
      <c r="C83" s="148" t="s">
        <v>819</v>
      </c>
      <c r="D83" s="70" t="s">
        <v>1582</v>
      </c>
      <c r="E83" s="32" t="s">
        <v>1583</v>
      </c>
      <c r="F83" s="13" t="s">
        <v>1584</v>
      </c>
      <c r="G83" s="31" t="s">
        <v>1575</v>
      </c>
      <c r="H83" t="s">
        <v>1316</v>
      </c>
      <c r="I83" t="s">
        <v>1565</v>
      </c>
      <c r="J83" s="61" t="s">
        <v>1571</v>
      </c>
    </row>
    <row r="84" spans="1:61" customFormat="1" ht="68.650000000000006">
      <c r="A84" s="136" t="s">
        <v>809</v>
      </c>
      <c r="B84" s="12" t="s">
        <v>822</v>
      </c>
      <c r="C84" s="148" t="s">
        <v>821</v>
      </c>
      <c r="D84" s="70" t="s">
        <v>1585</v>
      </c>
      <c r="E84" s="32" t="s">
        <v>1586</v>
      </c>
      <c r="F84" s="13" t="s">
        <v>1587</v>
      </c>
      <c r="G84" s="13" t="s">
        <v>1588</v>
      </c>
      <c r="H84" t="s">
        <v>1316</v>
      </c>
      <c r="I84" t="s">
        <v>1565</v>
      </c>
      <c r="J84" s="61" t="s">
        <v>1571</v>
      </c>
    </row>
    <row r="85" spans="1:61" customFormat="1" ht="68.650000000000006">
      <c r="A85" s="136" t="s">
        <v>809</v>
      </c>
      <c r="B85" s="12" t="s">
        <v>824</v>
      </c>
      <c r="C85" s="148" t="s">
        <v>823</v>
      </c>
      <c r="D85" s="70" t="s">
        <v>1589</v>
      </c>
      <c r="E85" s="32" t="s">
        <v>1590</v>
      </c>
      <c r="F85" s="13" t="s">
        <v>1591</v>
      </c>
      <c r="G85" s="13" t="s">
        <v>1588</v>
      </c>
      <c r="H85" t="s">
        <v>1316</v>
      </c>
      <c r="I85" t="s">
        <v>1565</v>
      </c>
      <c r="J85" s="61" t="s">
        <v>1571</v>
      </c>
    </row>
    <row r="86" spans="1:61" customFormat="1" ht="58.35">
      <c r="A86" s="136" t="s">
        <v>809</v>
      </c>
      <c r="B86" s="12" t="s">
        <v>826</v>
      </c>
      <c r="C86" s="148" t="s">
        <v>825</v>
      </c>
      <c r="D86" s="70" t="s">
        <v>1592</v>
      </c>
      <c r="E86" s="32" t="s">
        <v>1593</v>
      </c>
      <c r="F86" s="13" t="s">
        <v>1594</v>
      </c>
      <c r="G86" s="13" t="s">
        <v>1595</v>
      </c>
      <c r="H86" t="s">
        <v>1316</v>
      </c>
      <c r="I86" t="s">
        <v>1565</v>
      </c>
      <c r="J86" s="61" t="s">
        <v>1571</v>
      </c>
    </row>
    <row r="87" spans="1:61" customFormat="1" ht="145.69999999999999">
      <c r="A87" s="138" t="s">
        <v>1199</v>
      </c>
      <c r="B87" s="12"/>
      <c r="C87" s="148"/>
      <c r="D87" s="72"/>
      <c r="E87" s="212" t="s">
        <v>1596</v>
      </c>
      <c r="F87" s="22" t="s">
        <v>1597</v>
      </c>
      <c r="G87" s="14" t="s">
        <v>1598</v>
      </c>
      <c r="H87" s="16"/>
      <c r="I87" s="16"/>
      <c r="J87" s="68"/>
    </row>
    <row r="88" spans="1:61" customFormat="1" ht="145.69999999999999">
      <c r="A88" s="139" t="s">
        <v>890</v>
      </c>
      <c r="B88" s="12"/>
      <c r="C88" s="148"/>
      <c r="D88" s="70" t="s">
        <v>1599</v>
      </c>
      <c r="E88" s="26" t="s">
        <v>1599</v>
      </c>
      <c r="F88" s="13" t="s">
        <v>1600</v>
      </c>
      <c r="G88" s="31" t="s">
        <v>1601</v>
      </c>
      <c r="H88" t="s">
        <v>1239</v>
      </c>
      <c r="I88" t="s">
        <v>1240</v>
      </c>
      <c r="J88" s="61" t="s">
        <v>1258</v>
      </c>
    </row>
    <row r="89" spans="1:61" customFormat="1" ht="58.35">
      <c r="A89" s="140" t="s">
        <v>944</v>
      </c>
      <c r="B89" s="12" t="s">
        <v>15</v>
      </c>
      <c r="C89" s="148" t="s">
        <v>13</v>
      </c>
      <c r="D89" s="70" t="s">
        <v>1602</v>
      </c>
      <c r="E89" s="32" t="s">
        <v>1603</v>
      </c>
      <c r="F89" s="13" t="s">
        <v>1604</v>
      </c>
      <c r="G89" s="13" t="s">
        <v>1605</v>
      </c>
      <c r="H89" t="s">
        <v>1231</v>
      </c>
      <c r="I89" t="s">
        <v>1232</v>
      </c>
      <c r="J89" s="61" t="s">
        <v>1288</v>
      </c>
    </row>
    <row r="90" spans="1:61" customFormat="1" ht="58.35">
      <c r="A90" s="140" t="s">
        <v>944</v>
      </c>
      <c r="B90" s="12" t="s">
        <v>946</v>
      </c>
      <c r="C90" s="148"/>
      <c r="D90" s="70" t="s">
        <v>1606</v>
      </c>
      <c r="E90" s="14" t="s">
        <v>1606</v>
      </c>
      <c r="F90" s="13" t="s">
        <v>1607</v>
      </c>
      <c r="G90" s="13" t="s">
        <v>1608</v>
      </c>
      <c r="H90" t="s">
        <v>1239</v>
      </c>
      <c r="I90" t="s">
        <v>1247</v>
      </c>
      <c r="J90" s="61" t="s">
        <v>1258</v>
      </c>
    </row>
    <row r="91" spans="1:61" customFormat="1" ht="222.75" customHeight="1">
      <c r="A91" s="141" t="s">
        <v>950</v>
      </c>
      <c r="B91" s="12" t="s">
        <v>959</v>
      </c>
      <c r="C91" s="148" t="s">
        <v>958</v>
      </c>
      <c r="D91" s="70" t="s">
        <v>1609</v>
      </c>
      <c r="E91" s="212" t="s">
        <v>1610</v>
      </c>
      <c r="F91" s="13" t="s">
        <v>1611</v>
      </c>
      <c r="G91" s="13" t="s">
        <v>1612</v>
      </c>
      <c r="H91" t="s">
        <v>1316</v>
      </c>
      <c r="I91" t="s">
        <v>1240</v>
      </c>
      <c r="J91" s="61" t="s">
        <v>1613</v>
      </c>
    </row>
    <row r="92" spans="1:61" customFormat="1" ht="85.5" customHeight="1">
      <c r="A92" s="141" t="s">
        <v>950</v>
      </c>
      <c r="B92" s="12" t="s">
        <v>963</v>
      </c>
      <c r="C92" s="148" t="s">
        <v>962</v>
      </c>
      <c r="D92" s="70" t="s">
        <v>1614</v>
      </c>
      <c r="E92" s="26" t="s">
        <v>1615</v>
      </c>
      <c r="F92" s="13" t="s">
        <v>1616</v>
      </c>
      <c r="G92" s="13" t="s">
        <v>1617</v>
      </c>
      <c r="H92" t="s">
        <v>1239</v>
      </c>
      <c r="I92" s="15" t="s">
        <v>1530</v>
      </c>
      <c r="J92" s="61" t="s">
        <v>1258</v>
      </c>
    </row>
    <row r="93" spans="1:61" customFormat="1" ht="85.5" customHeight="1">
      <c r="A93" s="141" t="s">
        <v>950</v>
      </c>
      <c r="B93" s="50" t="s">
        <v>558</v>
      </c>
      <c r="C93" s="165" t="s">
        <v>557</v>
      </c>
      <c r="D93" s="166" t="s">
        <v>1618</v>
      </c>
      <c r="E93" s="167" t="s">
        <v>1619</v>
      </c>
      <c r="F93" s="37" t="s">
        <v>1620</v>
      </c>
      <c r="G93" s="41" t="s">
        <v>1621</v>
      </c>
      <c r="H93" s="168" t="s">
        <v>1246</v>
      </c>
      <c r="I93" s="167" t="s">
        <v>1530</v>
      </c>
      <c r="J93" s="169" t="s">
        <v>1264</v>
      </c>
      <c r="K93" s="169"/>
      <c r="L93" s="168"/>
      <c r="M93" s="168"/>
      <c r="N93" s="168"/>
      <c r="O93" s="168"/>
      <c r="P93" s="168"/>
      <c r="Q93" s="168"/>
      <c r="R93" s="168"/>
      <c r="S93" s="168"/>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c r="AU93" s="168"/>
      <c r="AV93" s="168"/>
      <c r="AW93" s="168"/>
      <c r="AX93" s="168"/>
      <c r="AY93" s="168"/>
      <c r="AZ93" s="168"/>
      <c r="BA93" s="168"/>
      <c r="BB93" s="168"/>
      <c r="BC93" s="168"/>
      <c r="BD93" s="168"/>
      <c r="BE93" s="168"/>
      <c r="BF93" s="168"/>
      <c r="BG93" s="168"/>
      <c r="BH93" s="168"/>
      <c r="BI93" s="168"/>
    </row>
    <row r="94" spans="1:61" customFormat="1" ht="207.75" customHeight="1">
      <c r="A94" s="141" t="s">
        <v>950</v>
      </c>
      <c r="B94" s="12" t="s">
        <v>965</v>
      </c>
      <c r="C94" s="148" t="s">
        <v>964</v>
      </c>
      <c r="D94" s="70" t="s">
        <v>1622</v>
      </c>
      <c r="E94" s="14" t="s">
        <v>1623</v>
      </c>
      <c r="F94" s="13" t="s">
        <v>1624</v>
      </c>
      <c r="G94" s="13" t="s">
        <v>1625</v>
      </c>
      <c r="H94" t="s">
        <v>1316</v>
      </c>
      <c r="I94" t="s">
        <v>1240</v>
      </c>
      <c r="J94" s="61" t="s">
        <v>1626</v>
      </c>
    </row>
    <row r="95" spans="1:61" customFormat="1" ht="102">
      <c r="A95" s="141" t="s">
        <v>950</v>
      </c>
      <c r="B95" s="11" t="s">
        <v>1210</v>
      </c>
      <c r="C95" s="148"/>
      <c r="D95" s="70" t="s">
        <v>1627</v>
      </c>
      <c r="E95" s="14" t="s">
        <v>1627</v>
      </c>
      <c r="F95" s="13" t="s">
        <v>1628</v>
      </c>
      <c r="G95" s="22" t="s">
        <v>1629</v>
      </c>
      <c r="H95" t="s">
        <v>1239</v>
      </c>
      <c r="I95" t="s">
        <v>1240</v>
      </c>
      <c r="J95" s="61" t="s">
        <v>1258</v>
      </c>
    </row>
    <row r="96" spans="1:61" customFormat="1" ht="116.65">
      <c r="A96" s="141" t="s">
        <v>950</v>
      </c>
      <c r="B96" s="12" t="s">
        <v>1630</v>
      </c>
      <c r="C96" s="148"/>
      <c r="D96" s="73"/>
      <c r="E96" s="212" t="s">
        <v>1631</v>
      </c>
      <c r="F96" s="28" t="s">
        <v>1632</v>
      </c>
      <c r="G96" s="13" t="s">
        <v>1633</v>
      </c>
      <c r="H96" t="s">
        <v>1634</v>
      </c>
      <c r="I96" t="s">
        <v>1530</v>
      </c>
      <c r="J96" s="61" t="s">
        <v>1258</v>
      </c>
    </row>
    <row r="97" spans="1:61" customFormat="1" ht="58.35">
      <c r="A97" s="142" t="s">
        <v>1023</v>
      </c>
      <c r="B97" s="176" t="s">
        <v>1026</v>
      </c>
      <c r="C97" s="148" t="s">
        <v>1027</v>
      </c>
      <c r="D97" s="70" t="s">
        <v>1635</v>
      </c>
      <c r="E97" s="14" t="s">
        <v>1636</v>
      </c>
      <c r="F97" s="13" t="s">
        <v>1637</v>
      </c>
      <c r="G97" s="13" t="s">
        <v>1638</v>
      </c>
      <c r="H97" t="s">
        <v>1239</v>
      </c>
      <c r="I97" t="s">
        <v>1240</v>
      </c>
      <c r="J97" s="61" t="s">
        <v>1233</v>
      </c>
    </row>
    <row r="98" spans="1:61" customFormat="1" ht="72.95">
      <c r="A98" s="142" t="s">
        <v>1023</v>
      </c>
      <c r="B98" s="12" t="s">
        <v>1639</v>
      </c>
      <c r="C98" s="148" t="s">
        <v>1030</v>
      </c>
      <c r="D98" s="70" t="s">
        <v>1640</v>
      </c>
      <c r="E98" s="14" t="s">
        <v>1641</v>
      </c>
      <c r="F98" s="13" t="s">
        <v>1642</v>
      </c>
      <c r="G98" s="13" t="s">
        <v>1643</v>
      </c>
      <c r="H98" t="s">
        <v>1239</v>
      </c>
      <c r="I98" t="s">
        <v>1240</v>
      </c>
      <c r="J98" s="61" t="s">
        <v>1644</v>
      </c>
    </row>
    <row r="99" spans="1:61" customFormat="1" ht="58.35">
      <c r="A99" s="142" t="s">
        <v>1023</v>
      </c>
      <c r="B99" s="12" t="s">
        <v>1035</v>
      </c>
      <c r="C99" s="148" t="s">
        <v>1034</v>
      </c>
      <c r="D99" s="70" t="s">
        <v>1645</v>
      </c>
      <c r="E99" s="26" t="s">
        <v>1646</v>
      </c>
      <c r="F99" s="13" t="s">
        <v>1647</v>
      </c>
      <c r="G99" s="13" t="s">
        <v>1648</v>
      </c>
      <c r="H99" t="s">
        <v>1239</v>
      </c>
      <c r="I99" t="s">
        <v>1240</v>
      </c>
      <c r="J99" s="61" t="s">
        <v>1233</v>
      </c>
    </row>
    <row r="100" spans="1:61" customFormat="1" ht="87.4">
      <c r="A100" s="142" t="s">
        <v>1023</v>
      </c>
      <c r="B100" s="12" t="s">
        <v>1649</v>
      </c>
      <c r="C100" s="148" t="s">
        <v>1038</v>
      </c>
      <c r="D100" s="70" t="s">
        <v>1650</v>
      </c>
      <c r="E100" s="212" t="s">
        <v>1651</v>
      </c>
      <c r="F100" s="13" t="s">
        <v>1652</v>
      </c>
      <c r="G100" s="13" t="s">
        <v>1653</v>
      </c>
      <c r="H100" t="s">
        <v>1654</v>
      </c>
      <c r="I100" t="s">
        <v>1655</v>
      </c>
      <c r="J100" s="61" t="s">
        <v>1656</v>
      </c>
    </row>
    <row r="101" spans="1:61" ht="72.95">
      <c r="A101" s="115" t="s">
        <v>476</v>
      </c>
      <c r="B101" s="143" t="s">
        <v>1657</v>
      </c>
      <c r="C101" s="99"/>
      <c r="D101" s="83"/>
      <c r="E101" s="83" t="s">
        <v>1658</v>
      </c>
      <c r="F101" s="84" t="s">
        <v>1659</v>
      </c>
      <c r="G101" s="84" t="s">
        <v>1660</v>
      </c>
      <c r="H101" s="86" t="s">
        <v>1257</v>
      </c>
      <c r="I101" s="86" t="s">
        <v>1240</v>
      </c>
      <c r="J101" s="86" t="s">
        <v>1258</v>
      </c>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row>
    <row r="102" spans="1:61" ht="87.4">
      <c r="A102" s="163" t="s">
        <v>501</v>
      </c>
      <c r="B102" s="144" t="s">
        <v>1661</v>
      </c>
      <c r="C102" s="93" t="s">
        <v>1084</v>
      </c>
      <c r="D102" s="75" t="s">
        <v>1662</v>
      </c>
      <c r="E102" s="60" t="s">
        <v>1663</v>
      </c>
      <c r="F102" s="25" t="s">
        <v>1664</v>
      </c>
      <c r="G102" s="89" t="s">
        <v>1665</v>
      </c>
      <c r="H102" s="60" t="s">
        <v>1239</v>
      </c>
      <c r="I102" s="60" t="s">
        <v>1247</v>
      </c>
      <c r="J102" s="90" t="s">
        <v>1269</v>
      </c>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row>
    <row r="103" spans="1:61" ht="58.35">
      <c r="A103" s="163" t="s">
        <v>501</v>
      </c>
      <c r="B103" s="91" t="s">
        <v>1666</v>
      </c>
      <c r="C103" s="179" t="s">
        <v>227</v>
      </c>
      <c r="D103" s="75"/>
      <c r="E103" s="83" t="s">
        <v>1667</v>
      </c>
      <c r="F103" s="25" t="s">
        <v>1668</v>
      </c>
      <c r="G103" s="25" t="s">
        <v>1669</v>
      </c>
      <c r="H103" s="213" t="s">
        <v>1670</v>
      </c>
      <c r="I103" s="60" t="s">
        <v>1247</v>
      </c>
      <c r="J103" s="90">
        <v>3.5</v>
      </c>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row>
    <row r="104" spans="1:61">
      <c r="H104" s="213"/>
    </row>
    <row r="105" spans="1:61">
      <c r="H105" s="178"/>
    </row>
  </sheetData>
  <autoFilter ref="A1:H103" xr:uid="{55F89D49-820D-4E1C-A547-F3AEFA893759}"/>
  <hyperlinks>
    <hyperlink ref="F3" r:id="rId1" location="/users/@self/catalogues/34288630/coursetemplates/108489565/description" xr:uid="{E551E250-EB85-47AA-9E40-1B4245DB2654}"/>
    <hyperlink ref="F2" r:id="rId2" display="https://eulearn.europa.eu/ilp/pages/catalogsearch.jsf?catalogId=0&amp;sidebarExpanded=true&amp;q=%7B!q.op%3DAND%7D%20%7B!q.op%3DAND%7D%20How%20to%20Develop%20Professionally&amp;rows=4&amp;fq=%7B!tag%3DclassificationIds_41370794%7D%20classificationIds_41370794:(1%2F41370794%2F41374272%2F)" xr:uid="{D1054606-29C9-448B-94E1-685CC4D90D92}"/>
    <hyperlink ref="F5" r:id="rId3" location="/users/@self/catalogues/34290075/coursetemplates/106732671/description" xr:uid="{3DF15A02-4C54-46FE-B617-043394D67F2C}"/>
    <hyperlink ref="F101" r:id="rId4" xr:uid="{DCFB593A-3F00-45C6-8A22-869A548B7CEF}"/>
    <hyperlink ref="F6" r:id="rId5" xr:uid="{5D44819D-7F2E-46F2-ABE4-9497BA3C0087}"/>
    <hyperlink ref="F16" r:id="rId6" location="/users/@self/catalogues/34288630/coursetemplates/106634610/description" xr:uid="{97C685FD-0FF7-44DF-93F1-22781236F671}"/>
    <hyperlink ref="F27" r:id="rId7" location="/users/@self/catalogues/35771560/coursetemplates/106312511/description" xr:uid="{3D7EE454-4FCB-4F58-826C-54BCDFCA82E4}"/>
    <hyperlink ref="F22" r:id="rId8" display="https://eulearn.europa.eu/ilp/pages/catalogsearch.jsf?catalogId=115172&amp;fq%2B=subTreeIds:%221%2F0%2F115172%2F%22&amp;fq=%7B!tag%3DsubTreeIds%7D%20subTreeIds:(2%2F0%2F115172%2F34288577%2F)&amp;fq=%7B!tag%3DsubTreeIdsDirect%7D%20subTreeIdsDirect:(3%2F0%2F115172%2F34286060%2F80327107%2F)&amp;sidebarExpanded=true&amp;q=%7B!q.op%3DAND%7D%20*:*&amp;rows=10" xr:uid="{F55FBA58-EF28-4DC3-925C-193F0F3BE5B5}"/>
    <hyperlink ref="F28" r:id="rId9" location="/users/@self/catalogues/35771560/coursetemplates/98757260/description" xr:uid="{0B083ACB-7815-4A6A-B833-E0FF9DEA8BA8}"/>
    <hyperlink ref="F26" r:id="rId10" display="https://eulearn.europa.eu/ilp/pages/catalogsearch.jsf?catalogId=115172&amp;fq%2B=subTreeIds:%221%2F0%2F115172%2F%22&amp;fq=%7B!tag%3DsubTreeIds%7D%20subTreeIds:(2%2F0%2F115172%2F34288577%2F)&amp;fq=%7B!tag%3DsubTreeIdsDirect%7D%20subTreeIdsDirect:(3%2F0%2F115172%2F34286060%2F36000577%2F)&amp;sidebarExpanded=true&amp;q=%7B!q.op%3DAND%7D%20*:*&amp;rows=3" xr:uid="{91A7918E-B88A-4023-B2D0-520ADE41CE64}"/>
    <hyperlink ref="F31" r:id="rId11" xr:uid="{1C1F8C25-4260-4F02-854C-B3CD21D12279}"/>
    <hyperlink ref="F32" r:id="rId12" location="/users/@self/catalogues/100658061/coursetemplates/109778704/description" xr:uid="{46EC4A9E-F669-425B-ABB7-661DA2355998}"/>
    <hyperlink ref="F39" r:id="rId13" location="/users/@self/catalogues/34290065/coursetemplates/105839915/description" xr:uid="{F4D4B91A-33AA-445D-AC39-76548A89016A}"/>
    <hyperlink ref="F42" r:id="rId14" xr:uid="{604941BC-F0CC-4C38-8EE4-ACDE31595A0B}"/>
    <hyperlink ref="F43" r:id="rId15" xr:uid="{A9ADDBBB-5256-4D45-B435-F80FA5A23A1C}"/>
    <hyperlink ref="F67" r:id="rId16" location="/users/@self/coursetemplates/89803040/description" xr:uid="{C9BC3A44-DD1D-490C-89E1-1755E614DD3C}"/>
    <hyperlink ref="F68" r:id="rId17" location="/users/@self/catalogues/41097359/courses/90371898/description" xr:uid="{6468B114-A3C5-4B78-A5F8-687442701C8D}"/>
    <hyperlink ref="F69" r:id="rId18" xr:uid="{BBEBC919-958E-4395-9B9D-719EB891269B}"/>
    <hyperlink ref="F70" r:id="rId19" location="/users/@self/catalogues/34290065/coursetemplates/110382976/description" xr:uid="{EB6FF912-F28A-449A-ADD8-724061C1168A}"/>
    <hyperlink ref="F76" r:id="rId20" display="https://eulearn.europa.eu/ilp/pages/catalogsearch.jsf?catalogId=115172&amp;fq%2B=subTreeIds:%221%2F0%2F115172%2F%22&amp;fq=%7B!tag%3DsubTreeIds%7D%20subTreeIds:(2%2F0%2F115172%2F34288577%2F)&amp;fq=%7B!tag%3DsubTreeIdsDirect%7D%20subTreeIdsDirect:(3%2F0%2F115172%2F34288781%2F34288788%2F)&amp;sidebarExpanded=true&amp;q=%7B!q.op%3DAND%7D%20*:*&amp;rows=9" xr:uid="{EC9A9442-20E7-4BE6-A64C-8B712AF3A130}"/>
    <hyperlink ref="F78" r:id="rId21" location="/users/@self/catalogues/56512543/coursetemplates/104559512/description" xr:uid="{B3CF8E17-8E97-444D-9453-A6DA3EECAD9D}"/>
    <hyperlink ref="F79" r:id="rId22" location="/users/@self/catalogues/56512543/coursetemplates/104559557/description" xr:uid="{B0BC6C6E-CDFE-4FFC-98B3-1272AB594E06}"/>
    <hyperlink ref="F80" r:id="rId23" location="/users/@self/catalogues/56512543/coursetemplates/104559589/description" xr:uid="{48E0DEAA-C73F-4827-A955-2F4436A61F41}"/>
    <hyperlink ref="F81" r:id="rId24" location="/users/@self/catalogues/56512543/coursetemplates/104559622/description" xr:uid="{B6AB43FF-429A-45EF-9195-073B31EC5C01}"/>
    <hyperlink ref="F82" r:id="rId25" location="/users/@self/catalogues/56512543/coursetemplates/104559662/description" xr:uid="{5703C790-6170-4513-A1F4-9FBCE55EC1EA}"/>
    <hyperlink ref="F83" r:id="rId26" location="/users/@self/catalogues/56512543/coursetemplates/104559715/description" xr:uid="{5B9C50B9-A1A8-4842-9BEC-2048EB57DC8A}"/>
    <hyperlink ref="F84" r:id="rId27" location="/users/@self/catalogues/56512543/coursetemplates/104559756/description" xr:uid="{877B175F-CB74-4839-B5EB-B88BA0C2C705}"/>
    <hyperlink ref="F85" r:id="rId28" location="/users/@self/catalogues/56512543/coursetemplates/104559792/description" xr:uid="{86B5338B-D9AE-459A-9EC9-2BD421F1FA33}"/>
    <hyperlink ref="F86" r:id="rId29" location="/users/@self/catalogues/56512543/coursetemplates/110802987/description" xr:uid="{13A40847-BF6E-4810-ABCC-0C7E047D4375}"/>
    <hyperlink ref="F88" r:id="rId30" display="https://eulearn.europa.eu/ilp/pages/catalogsearch.jsf?catalogId=115172&amp;fq%2B=subTreeIds:%221%2F0%2F115172%2F%22&amp;fq=%7B!tag%3DsubTreeIds%7D%20subTreeIds:(2%2F0%2F115172%2F34288577%2F)&amp;fq=%7B!tag%3DsubTreeIdsDirect%7D%20subTreeIdsDirect:(2%2F0%2F115172%2F34288717%2F)&amp;sidebarExpanded=true&amp;q=*:*&amp;rows=10" xr:uid="{74088F35-E950-4878-BA9B-FA5B207E1E9E}"/>
    <hyperlink ref="F91" r:id="rId31" location="/users/@self/catalogues/34288815/coursetemplates/107790754/description" xr:uid="{C25ACF00-5C6D-4014-8A46-308DEA9D3C99}"/>
    <hyperlink ref="F92" r:id="rId32" location="/users/@self/catalogues/34288815/programmes/78416429/description" xr:uid="{9EB5A552-8503-49F7-9875-9D6F1598425F}"/>
    <hyperlink ref="F94" r:id="rId33" location="/users/@self/catalogues/34288815/coursetemplates/106541544/description" xr:uid="{DC90C195-12E2-43EA-8BDD-2F678068919A}"/>
    <hyperlink ref="F95" r:id="rId34" xr:uid="{A8204B37-CECC-4BAA-AF2C-1C9DD71B22BB}"/>
    <hyperlink ref="F97" r:id="rId35" location="/users/@self/catalogues/100536427/coursetemplates/107499903/description" xr:uid="{BDF0796E-5AC3-418C-BA7F-CAD24D7D6982}"/>
    <hyperlink ref="F98" r:id="rId36" location="/users/@self/catalogues/100536427/coursetemplates/108642690/description" xr:uid="{66FDAFD1-0C78-47C6-B98F-51E353724830}"/>
    <hyperlink ref="F100" r:id="rId37" location="/users/@self/catalogues/100536427/coursetemplates/106452796/description" xr:uid="{771E7BD0-B292-4517-8419-CA7444D084C8}"/>
    <hyperlink ref="G3" r:id="rId38" xr:uid="{026C578B-F935-41A1-BD6F-82784AE46EEF}"/>
    <hyperlink ref="G5" r:id="rId39" xr:uid="{0F290772-5CA1-4A67-9E34-B18784E95449}"/>
    <hyperlink ref="G101" r:id="rId40" xr:uid="{AE291397-8D90-47BB-B13E-9899491F5687}"/>
    <hyperlink ref="G16" r:id="rId41" xr:uid="{863176B3-83A1-46E3-8520-7E76820F0568}"/>
    <hyperlink ref="G27" r:id="rId42" xr:uid="{9EC4670E-4245-41A8-8E7C-C16F7E2F2874}"/>
    <hyperlink ref="G28" r:id="rId43" xr:uid="{59A62513-B460-4AF7-BD9C-9C5FD9FF4A21}"/>
    <hyperlink ref="F30" r:id="rId44" location="/users/@self/catalogues/34288659/coursetemplates/106312215/description" xr:uid="{0AD17598-6172-43E3-BC6A-0CF7F680FE4D}"/>
    <hyperlink ref="G30" r:id="rId45" xr:uid="{1A30A34B-5C41-41F0-9A90-DD01870AE348}"/>
    <hyperlink ref="G32" r:id="rId46" xr:uid="{EB41D9F3-0C85-42BA-9A93-E688219266AF}"/>
    <hyperlink ref="F36" r:id="rId47" display="https://eulearn.europa.eu/ilp/pages/catalogsearch.jsf?catalogId=115172&amp;fq%2B=subTreeIds:%221%2F0%2F115172%2F%22&amp;fq=%7B!tag%3DsubTreeIds%7D%20subTreeIds:(2%2F0%2F115172%2F34288577%2F)&amp;fq=%7B!tag%3DsubTreeIdsDirect%7D%20subTreeIdsDirect:(3%2F0%2F115172%2F34288813%2F34290065%2F)&amp;fq=%7B!tag%3DlocationIds%7D%20locationIds:(0%2F115631%2F)&amp;sidebarExpanded=true&amp;q=%7B!q.op%3DAND%7D%20all%20clear&amp;rows=2" xr:uid="{2CB33DEB-17CC-4773-A02C-4FC551434480}"/>
    <hyperlink ref="G36" r:id="rId48" xr:uid="{A84AFFB3-2F2A-4B0A-8880-5E76E30DEF26}"/>
    <hyperlink ref="F40" r:id="rId49" location="/users/@self/catalogues/34290065/coursetemplates/110383065/description" xr:uid="{50EB743B-A735-42B6-8D4D-44334F132F44}"/>
    <hyperlink ref="G42" r:id="rId50" xr:uid="{FCBDDBD1-7D35-4CFD-900E-9F4DD4B01142}"/>
    <hyperlink ref="G43" r:id="rId51" xr:uid="{224C2AB8-E9AC-4401-BB8D-47B580F448AB}"/>
    <hyperlink ref="G67" r:id="rId52" xr:uid="{C85F5C35-C13D-45D1-919E-ADFCE4763AF3}"/>
    <hyperlink ref="G69" r:id="rId53" xr:uid="{6A14C3D9-DA76-444D-B6BF-565010BE3280}"/>
    <hyperlink ref="G70" r:id="rId54" xr:uid="{BAF4D2D5-50E3-4679-A5B2-E7267D4200DE}"/>
    <hyperlink ref="G76" r:id="rId55" xr:uid="{4DF044CE-441C-45E4-B7BD-7750B6056282}"/>
    <hyperlink ref="F77" r:id="rId56" xr:uid="{73104049-3B58-453A-9D7C-9D01B41274C8}"/>
    <hyperlink ref="G77" r:id="rId57" xr:uid="{2FBA3A87-49A7-4554-94D8-D0A2853CC571}"/>
    <hyperlink ref="G78" r:id="rId58" xr:uid="{09CBD042-FF4B-4035-B4CD-A2C70AF7285B}"/>
    <hyperlink ref="G79" r:id="rId59" xr:uid="{39FD11A8-05E2-42B9-A815-916F3B78E88C}"/>
    <hyperlink ref="G82" r:id="rId60" xr:uid="{A4E86409-0397-4A0F-947C-43DDFD6F6558}"/>
    <hyperlink ref="G84" r:id="rId61" xr:uid="{459A56DA-75D3-4AD2-9722-79C1DE110672}"/>
    <hyperlink ref="G86" r:id="rId62" xr:uid="{56E4AF8D-E3A4-4B68-8D75-A6176B450C58}"/>
    <hyperlink ref="F87" r:id="rId63" display="https://eulearn.europa.eu/ilp/pages/catalogsearch.jsf?catalogId=115172&amp;fq%2B=subTreeIds:%221%2F0%2F115172%2F%22&amp;fq=%7B!tag%3DsubTreeIds%7D%20subTreeIds:(2%2F0%2F115172%2F34288577%2F)&amp;fq=%7B!tag%3DsubTreeIdsDirect%7D%20subTreeIdsDirect:(2%2F0%2F115172%2F34288470%2F)&amp;sidebarExpanded=true&amp;q=*:*&amp;rows=25" xr:uid="{37F2A437-486F-48B2-B509-8760C46DFA09}"/>
    <hyperlink ref="F89" r:id="rId64" location="/users/@self/catalogues/115172/courses/85294573/description" xr:uid="{3E97B282-B773-4EFD-87F8-076930A0F7DB}"/>
    <hyperlink ref="G89" r:id="rId65" xr:uid="{4D536B16-1B34-4633-AA24-43F63757537B}"/>
    <hyperlink ref="F90" r:id="rId66" xr:uid="{EDBDCAEB-6C5C-446A-AF62-F114E9FCCF4E}"/>
    <hyperlink ref="G90" r:id="rId67" xr:uid="{3A52F398-58DD-4162-9559-7C6E5FE007CF}"/>
    <hyperlink ref="G91" r:id="rId68" xr:uid="{5BD04E3A-8CB8-4C7C-8A5A-BA5A33FA0058}"/>
    <hyperlink ref="G92" r:id="rId69" xr:uid="{CC38B9B1-DAF1-451C-B48F-1D8CCAB6FA4C}"/>
    <hyperlink ref="G94" r:id="rId70" xr:uid="{BF12C35D-6456-4CC6-8F00-4DAC56741D15}"/>
    <hyperlink ref="G97" r:id="rId71" xr:uid="{1564A848-07A0-4320-B592-599AF914ED31}"/>
    <hyperlink ref="G98" r:id="rId72" xr:uid="{2A1E4AA4-8772-400A-BCCD-43A7ABB62ACB}"/>
    <hyperlink ref="G100" r:id="rId73" xr:uid="{6E3AB980-F5C7-4BB3-AE23-E358AD0E056C}"/>
    <hyperlink ref="F99" r:id="rId74" location="/users/@self/catalogues/100536427/coursetemplates/108168801/description" xr:uid="{B7EF171E-C8D8-448F-806D-B1944660E2A2}"/>
    <hyperlink ref="G99" r:id="rId75" xr:uid="{15698787-4C4A-4F5B-8DA2-00F30F02AEE7}"/>
    <hyperlink ref="G68" r:id="rId76" xr:uid="{138F42AC-BEBA-4A5B-85D3-89D34DFFBEB4}"/>
    <hyperlink ref="G22" r:id="rId77" xr:uid="{E735AE0A-2BD2-4D86-8F65-B1A83386BA77}"/>
    <hyperlink ref="G31" r:id="rId78" xr:uid="{CFDF4538-DCBC-48F3-B0D9-ED625767E3D0}"/>
    <hyperlink ref="F34" r:id="rId79" xr:uid="{D796E0D4-2F6C-4725-8AF6-96DAFB6A193E}"/>
    <hyperlink ref="G34" r:id="rId80" xr:uid="{D2BDAEB7-C8C5-490A-ACF3-8B2F8ECB77C9}"/>
    <hyperlink ref="F29" r:id="rId81" xr:uid="{74ACBEE8-3B17-45CF-8A36-343550E69061}"/>
    <hyperlink ref="F23" r:id="rId82" xr:uid="{F69F3B66-7FBB-408F-A2F1-842D41C11984}"/>
    <hyperlink ref="F24" r:id="rId83" xr:uid="{27EA8DE8-77C3-468A-A931-00795A4290EF}"/>
    <hyperlink ref="F96" r:id="rId84" xr:uid="{4A8A6F38-FC5A-4606-9243-18A53FF8B053}"/>
    <hyperlink ref="G96" r:id="rId85" xr:uid="{0DDD1B3C-C712-4170-84BD-3A5775CA1EA4}"/>
    <hyperlink ref="G95" r:id="rId86" xr:uid="{1E0F4543-464A-4DF2-B184-AD30715E0DB9}"/>
    <hyperlink ref="G40" r:id="rId87" xr:uid="{A48A8F30-CEBF-4B47-B3CB-DB2C015E8ED0}"/>
    <hyperlink ref="G39" r:id="rId88" xr:uid="{C903C4F4-8F09-4E4F-A4BF-C1E8746E1458}"/>
    <hyperlink ref="G72" r:id="rId89" xr:uid="{8DA968D8-A6B3-4641-8042-7C33D2269879}"/>
    <hyperlink ref="G24" r:id="rId90" xr:uid="{631E7D1F-05E0-4856-996C-960C1B2B5A19}"/>
    <hyperlink ref="G73" r:id="rId91" xr:uid="{372C2AF6-BD94-4F05-BBD7-0409CE745F40}"/>
    <hyperlink ref="G85" r:id="rId92" xr:uid="{AF14F7C4-5A8E-42BA-B647-AE6DE238883A}"/>
    <hyperlink ref="G80" r:id="rId93" xr:uid="{0E7E3D65-1578-4260-A0F2-C87270EFCA2C}"/>
    <hyperlink ref="G81" r:id="rId94" xr:uid="{DC7ACC8B-7018-4709-8E54-175C70E5C023}"/>
    <hyperlink ref="G83" r:id="rId95" xr:uid="{495C8176-7CA9-4A6C-B487-0FD9BBB523A3}"/>
    <hyperlink ref="G88" r:id="rId96" display="https://eulearn.europa.eu/ils/data/course/Cultivating_sustainable_motivation_650x365_94628048.png" xr:uid="{5A4C7E5F-F919-4299-821D-AD9D71992F6F}"/>
    <hyperlink ref="F72" r:id="rId97" location="/users/@self/catalogues/34288805/programmes/111813936" xr:uid="{93755676-F93D-48E7-A57B-693DBB1C9D63}"/>
    <hyperlink ref="F73" r:id="rId98" location="/users/@self/catalogues/34288805/programmes/111818914" xr:uid="{07539DF3-8823-49CD-92BE-B84BE8C63FDC}"/>
    <hyperlink ref="F44" r:id="rId99" location="/users/@self/catalogues/34288590/coursetemplates/90705434/description" xr:uid="{D2F318E4-D04B-4478-BCF2-6FE6F1378B9C}"/>
    <hyperlink ref="G44" r:id="rId100" xr:uid="{F1E653E3-D095-47D2-AD04-5E54A3381965}"/>
    <hyperlink ref="F45" r:id="rId101" location="/users/@self/catalogues/34288590/coursetemplates/106405244/description" xr:uid="{53AC592B-B107-4EE0-9DFA-FBEC69A7ABFE}"/>
    <hyperlink ref="G45" r:id="rId102" xr:uid="{F9B67214-58FF-4F10-BE50-42E6509202BD}"/>
    <hyperlink ref="F46" r:id="rId103" location="/users/@self/catalogues/34288590/coursetemplates/106404238/description" xr:uid="{B1257E6F-B273-4CCC-8DA6-40739854BFE6}"/>
    <hyperlink ref="G46" r:id="rId104" xr:uid="{937E1A59-74C9-4FE9-ACAE-86CD3B0F4BE6}"/>
    <hyperlink ref="F93" r:id="rId105" location="/users/@self/catalogues/34290099/coursetemplates/107772627/description" xr:uid="{46C60D42-B8DC-4F8E-8D2C-4109426D45A0}"/>
    <hyperlink ref="G93" r:id="rId106" xr:uid="{144EF872-DFC3-4155-87E8-9E84B6C96FA3}"/>
    <hyperlink ref="F47" r:id="rId107" location="/users/@self/catalogues/34290094/coursetemplates/109416347/description" xr:uid="{153FA7B0-6416-4B22-8CB9-8EDE76E61537}"/>
    <hyperlink ref="G47" r:id="rId108" xr:uid="{4F73BE18-CA8A-4DDC-9166-24875821B986}"/>
    <hyperlink ref="F48" r:id="rId109" location="/users/@self/catalogues/34290099/coursetemplates/106415851/description" xr:uid="{769495D7-4B10-4CE0-81EC-6DEC9E3C9A80}"/>
    <hyperlink ref="G48" r:id="rId110" xr:uid="{B839B014-A9D8-4E9C-81E6-46154C2A95C9}"/>
    <hyperlink ref="F49" r:id="rId111" location="/users/@self/catalogues/34290099/coursetemplates/107616957/description" xr:uid="{B38947BD-3924-4C0C-A0A7-479ADCA4948C}"/>
    <hyperlink ref="G49" r:id="rId112" xr:uid="{7805B472-E24E-4C5B-A65E-E8840132016B}"/>
    <hyperlink ref="F50" r:id="rId113" location="/users/@self/catalogues/34290099/coursetemplates/106415546/description" xr:uid="{14D9D5B0-DA97-4F7A-9F90-313B9945E829}"/>
    <hyperlink ref="G50" r:id="rId114" xr:uid="{DBD3705E-2999-4FC2-B49D-F663E8CBC07E}"/>
    <hyperlink ref="F51" r:id="rId115" location="/users/@self/catalogues/34290099/coursetemplates/107617073/description" xr:uid="{816A680C-0200-4D6F-905B-04B41361C3B6}"/>
    <hyperlink ref="G51" r:id="rId116" xr:uid="{6D3B9D2A-D036-4958-BEC0-1EE0760192E6}"/>
    <hyperlink ref="F52" r:id="rId117" location="/users/@self/catalogues/34288590/coursetemplates/106450760/description" xr:uid="{DB942556-1E93-4AE7-BB5B-3905B57508DE}"/>
    <hyperlink ref="G52" r:id="rId118" xr:uid="{648F753A-3610-4A6F-9F26-CAAB9EBE981D}"/>
    <hyperlink ref="F53" r:id="rId119" location="/users/@self/catalogues/34290099/coursetemplates/106446302/description" xr:uid="{7860ADDD-CBFF-4950-B1C6-AEF2B93CE709}"/>
    <hyperlink ref="G53" r:id="rId120" xr:uid="{32C24D11-7B9A-4705-B335-B7F8200F1DE6}"/>
    <hyperlink ref="F54" r:id="rId121" location="/users/@self/catalogues/34290094/coursetemplates/106470113/description" xr:uid="{3D1AE515-1CD2-4F4C-96A2-F499D795F17D}"/>
    <hyperlink ref="G54" r:id="rId122" xr:uid="{BC6115C7-84F3-4170-AD82-674F96322A78}"/>
    <hyperlink ref="F55" r:id="rId123" location="/users/@self/catalogues/34290094/coursetemplates/106481501/description" xr:uid="{58573760-1916-4592-A7C3-E6B9E23FBC10}"/>
    <hyperlink ref="G55" r:id="rId124" xr:uid="{94D5472C-6D0E-47E4-8A16-1E0E4D790F59}"/>
    <hyperlink ref="F56" r:id="rId125" location="/users/@self/catalogues/34290094/coursetemplates/106451080/description" xr:uid="{8F9E9107-49DB-4292-B775-4E98BF608A3D}"/>
    <hyperlink ref="G56" r:id="rId126" xr:uid="{46CFA574-5270-4D78-A310-D91479E88AB3}"/>
    <hyperlink ref="F57" r:id="rId127" location="/users/@self/catalogues/34290094/coursetemplates/106481557/description" xr:uid="{BC831AF0-8FB5-40A4-A647-BD3BEBFFBB1D}"/>
    <hyperlink ref="G57" r:id="rId128" xr:uid="{3BF7160A-0695-4FAF-AF56-998513A42063}"/>
    <hyperlink ref="F58" r:id="rId129" location="/users/@self/catalogues/34290094/coursetemplates/106406595/description" xr:uid="{A600A988-92FA-4AC2-82C3-522FB3F6E119}"/>
    <hyperlink ref="G58" r:id="rId130" xr:uid="{4C74C98A-4AEB-491B-94BB-7447085B7F5A}"/>
    <hyperlink ref="F59" r:id="rId131" location="/users/@self/catalogues/34290094/coursetemplates/109628618/description" xr:uid="{CA51BAFB-354A-4922-BB63-F21FAB773BAF}"/>
    <hyperlink ref="G59" r:id="rId132" xr:uid="{896FE70B-3EE0-4E96-870A-2E22B7FEB623}"/>
    <hyperlink ref="F60" r:id="rId133" location="/users/@self/catalogues/34290094/coursetemplates/106406264/description" xr:uid="{623470C6-6910-4B7C-943B-BE64B14F869F}"/>
    <hyperlink ref="G60" r:id="rId134" xr:uid="{532D505C-6E7B-4FF9-A4EE-7D92BCAEED7F}"/>
    <hyperlink ref="F61" r:id="rId135" location="/users/@self/catalogues/34290094/coursetemplates/106408215/description" xr:uid="{801EE3BC-7A3A-47A2-A1DD-4D5ED582E1E3}"/>
    <hyperlink ref="G61" r:id="rId136" xr:uid="{FA9B3B76-1F64-4C43-AC2D-39D6487D7D4E}"/>
    <hyperlink ref="F62" r:id="rId137" location="/users/@self/catalogues/34288577/coursetemplates/106405751/description" xr:uid="{E411CB09-8BFC-432C-841B-BBA043E86A09}"/>
    <hyperlink ref="G62" r:id="rId138" xr:uid="{021D3B3B-2706-420D-9D65-1ECC07117E17}"/>
    <hyperlink ref="F66" r:id="rId139" location="/users/@self/catalogues/34290094/coursetemplates/112113840/description" xr:uid="{90C9B04E-485F-490C-9FF2-810F09977940}"/>
    <hyperlink ref="G66" r:id="rId140" xr:uid="{CF3D1F65-4976-4BEB-A793-D56D1072FE86}"/>
    <hyperlink ref="F4" r:id="rId141" location="/users/@self/catalogues/34290075/coursetemplates/110236842/description" xr:uid="{49577503-A389-4449-AF6A-A8CEB216B0B3}"/>
    <hyperlink ref="G4" r:id="rId142" xr:uid="{789A2017-DC4C-4E8C-A925-7A89D6569D1D}"/>
    <hyperlink ref="F7" r:id="rId143" location="/users/@self/catalogues/34288630/coursetemplates/106321378/description" xr:uid="{B2C1C0D6-529D-4664-9796-8083AC4150B0}"/>
    <hyperlink ref="G7" r:id="rId144" xr:uid="{9B9A8811-E61A-4B1B-B03B-C22B691C83BD}"/>
    <hyperlink ref="F8" r:id="rId145" location="/users/@self/catalogues/34288630/coursetemplates/106481527/description" xr:uid="{3E582159-B82B-4579-90F7-39F8EC6CC043}"/>
    <hyperlink ref="G8" r:id="rId146" xr:uid="{B804FE57-3743-481A-BC30-7C35C1E0C80D}"/>
    <hyperlink ref="F9" r:id="rId147" location="/users/@self/catalogues/34288630/coursetemplates/106322483/description" xr:uid="{DBBAAAF0-9736-428C-A230-024E10BDBD4E}"/>
    <hyperlink ref="G9" r:id="rId148" xr:uid="{4B483C27-40EA-4320-BBBB-B2ECB437C69A}"/>
    <hyperlink ref="F102" r:id="rId149" location="/users/@self/catalogues/34288630/coursetemplates/109378527/description" xr:uid="{DCC33C4E-85CB-4348-966D-0721B6A7C524}"/>
    <hyperlink ref="G102" r:id="rId150" xr:uid="{6239F5C9-1B1E-45AB-B672-93F85FE9B9D8}"/>
    <hyperlink ref="F10" r:id="rId151" location="/users/@self/catalogues/34288630/coursetemplates/106321632/description" xr:uid="{B29CB486-B4D1-48BE-90FD-BEE8CDBBE27F}"/>
    <hyperlink ref="G10" r:id="rId152" xr:uid="{1662066C-109D-4D21-916A-05D2EFCAF69F}"/>
    <hyperlink ref="F11" r:id="rId153" location="/users/@self/catalogues/34288630/coursetemplates/93851499/description" xr:uid="{92C70EFC-EC94-4F21-8A60-722EF62B372C}"/>
    <hyperlink ref="G11" r:id="rId154" xr:uid="{4C386A46-6C99-44D1-A9FA-59845E18B48A}"/>
    <hyperlink ref="F12" r:id="rId155" location="/users/@self/catalogues/34288630/coursetemplates/95998135/description" xr:uid="{7AE50EB7-7014-47F6-9D9A-E91BB8E68EEF}"/>
    <hyperlink ref="G12" r:id="rId156" xr:uid="{2E2CE4EB-908E-450E-889A-F6BDE9BDB3DD}"/>
    <hyperlink ref="F13" r:id="rId157" location="/users/@self/catalogues/34288630/coursetemplates/107223032/description" xr:uid="{7046CCF8-65E0-4F91-AB83-95EA598C5503}"/>
    <hyperlink ref="G13" r:id="rId158" xr:uid="{E613DDE7-FEAB-40D9-86D6-C2DB40F07ADF}"/>
    <hyperlink ref="F14" r:id="rId159" location="/users/@self/catalogues/34288630/coursetemplates/104685091/description" xr:uid="{368697C4-4147-490A-9FC7-1C2CDA907145}"/>
    <hyperlink ref="G14" r:id="rId160" xr:uid="{88EEB374-3A35-4B5F-A7D0-CF58FD7E4D18}"/>
    <hyperlink ref="F15" r:id="rId161" location="/users/@self/catalogues/34288630/coursetemplates/106317255/description" xr:uid="{87629441-AF19-4430-B5B8-7AC13B9F19FC}"/>
    <hyperlink ref="G15" r:id="rId162" xr:uid="{DA69203E-D4E9-4EC1-A228-2895CBCADC9D}"/>
    <hyperlink ref="F19" r:id="rId163" location="/users/@self/catalogues/34288630/coursetemplates/109611791/description" xr:uid="{4DCCC00D-C0FA-459E-92B8-ACF2E501DFBD}"/>
    <hyperlink ref="G19" r:id="rId164" xr:uid="{1C1419CF-91EE-4D39-8691-AD745077A13E}"/>
    <hyperlink ref="F21" r:id="rId165" location="/users/@self/catalogues/34288630/coursetemplates/106321897/description" xr:uid="{8BEDCE10-F3BC-4DE0-950D-EA7CF1EB6B91}"/>
    <hyperlink ref="G21" r:id="rId166" xr:uid="{B957A33B-4C1A-402A-AA0D-B08B869C7C02}"/>
    <hyperlink ref="F35" r:id="rId167" xr:uid="{653DDD19-F548-4CF2-900B-4375C9ABDE00}"/>
    <hyperlink ref="G35" r:id="rId168" xr:uid="{8FD56529-1F1E-4695-9566-7B316120D52A}"/>
    <hyperlink ref="F75" r:id="rId169" location="/users/@self/catalogues/34290081/programmes/105461556/description" xr:uid="{6A2C0210-BAE1-4DD9-97EF-DF077E2B237C}"/>
    <hyperlink ref="G75" r:id="rId170" xr:uid="{C6FC9DA6-D48D-425B-82CC-D596A8245276}"/>
    <hyperlink ref="F37" r:id="rId171" xr:uid="{281B128D-0C1F-4467-B208-3DF3B5802122}"/>
    <hyperlink ref="G37" r:id="rId172" xr:uid="{B49E7148-E240-4DBC-A453-3C93685BF4CE}"/>
    <hyperlink ref="F38" r:id="rId173" location="/users/@self/catalogues/34290065/coursetemplates/111894952/description" xr:uid="{A6EA71AA-3499-4C94-8493-2709611F7EED}"/>
    <hyperlink ref="F17" r:id="rId174" location="/users/@self/catalogues/34288630/coursetemplates/112115541/coursesessions" xr:uid="{F7B26400-C8EB-4C03-8868-0C967F1A1C56}"/>
    <hyperlink ref="G17" r:id="rId175" xr:uid="{8C4AE757-3200-4DFA-972E-E32621DFCB7E}"/>
    <hyperlink ref="F71" r:id="rId176" location="/users/@self/catalogues/34288805/coursetemplates/108085694/description" xr:uid="{4F86A2CA-90FF-4EBF-8348-92001F7E58FB}"/>
    <hyperlink ref="G71" r:id="rId177" xr:uid="{D672C5E0-BAFC-466F-9DB0-16D5E889816A}"/>
    <hyperlink ref="F74" r:id="rId178" location="/users/@self/catalogues/34288805/coursetemplates/106677642/description" xr:uid="{1B0C9E45-1AB9-491D-A746-95342EB6CBE9}"/>
    <hyperlink ref="G74" r:id="rId179" xr:uid="{06D5B411-B69A-4D58-A8CD-261EE1FAAE91}"/>
    <hyperlink ref="F18" r:id="rId180" location="/users/@self/catalogues/100536427/coursetemplates/106774919/description" xr:uid="{3D77D9B5-62D0-4CD1-A18D-58E2710EDA9A}"/>
    <hyperlink ref="G18" r:id="rId181" xr:uid="{455BBF0D-CD19-4344-B5C4-40EE72C551C7}"/>
    <hyperlink ref="F20" r:id="rId182" location="/users/@self/catalogues/34290075/coursetemplates/106712243/description" xr:uid="{B23626A5-85BB-43C9-8F78-229AC75CC6CE}"/>
    <hyperlink ref="G20" r:id="rId183" xr:uid="{5A616E27-8BDD-4328-B242-C0820F2DFB25}"/>
    <hyperlink ref="F103" r:id="rId184" location="/users/@self/catalogues/34288630/coursetemplates/108272983/description" xr:uid="{DE253EA5-6532-4E68-800B-FBA23DF59CFF}"/>
    <hyperlink ref="G103" r:id="rId185" xr:uid="{95D60D1A-5049-4D49-8D59-3C4E74234C89}"/>
    <hyperlink ref="G25" r:id="rId186" xr:uid="{34557D4E-5B67-4564-9DA1-6598694D05E7}"/>
    <hyperlink ref="F25" r:id="rId187" location="/users/@self/catalogues/71037089/programmes/111113376/description" xr:uid="{EA4785C7-DF18-4FED-BD51-0F50DB059C99}"/>
    <hyperlink ref="F63" r:id="rId188" location="/users/@self/catalogues/34290094/coursetemplates/109590132/description" xr:uid="{5476D490-3EC1-4EB2-8BCA-DC1F6A67C3F0}"/>
    <hyperlink ref="G63" r:id="rId189" xr:uid="{71C318B9-766E-4304-8798-A6CBA0A4F4E8}"/>
    <hyperlink ref="F64" r:id="rId190" location="/users/@self/catalogues/34288577/coursetemplates/110043801/description" xr:uid="{86A1380C-C950-4C41-AA33-0ED8FE28C57A}"/>
    <hyperlink ref="G64" r:id="rId191" xr:uid="{74B350B2-A10F-43B4-9C9A-AA6B836CBBC0}"/>
    <hyperlink ref="F65" r:id="rId192" location="/users/@self/catalogues/34290094/coursetemplates/108093602/description" xr:uid="{BBD2A41E-3A5C-49EA-8626-FB518533EB74}"/>
    <hyperlink ref="G65" r:id="rId193" xr:uid="{6B8998C5-C756-4EAD-BC8B-E4FA72030093}"/>
  </hyperlinks>
  <pageMargins left="0.7" right="0.7" top="0.75" bottom="0.75" header="0.3" footer="0.3"/>
  <legacyDrawing r:id="rId19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80B84-18BF-4BEE-B2A1-761BE8F27BA6}">
  <dimension ref="A1:B17"/>
  <sheetViews>
    <sheetView topLeftCell="A13" workbookViewId="0">
      <selection activeCell="A14" sqref="A14:XFD14"/>
    </sheetView>
  </sheetViews>
  <sheetFormatPr defaultRowHeight="14.65"/>
  <cols>
    <col min="1" max="1" width="98.140625" customWidth="1"/>
    <col min="2" max="2" width="115.85546875" bestFit="1" customWidth="1"/>
  </cols>
  <sheetData>
    <row r="1" spans="1:2">
      <c r="A1" s="14" t="s">
        <v>1220</v>
      </c>
      <c r="B1" t="s">
        <v>1671</v>
      </c>
    </row>
    <row r="2" spans="1:2" ht="72.95">
      <c r="A2" s="14" t="s">
        <v>1547</v>
      </c>
      <c r="B2" s="29" t="s">
        <v>1672</v>
      </c>
    </row>
    <row r="3" spans="1:2" ht="43.7">
      <c r="A3" s="14" t="s">
        <v>1557</v>
      </c>
      <c r="B3" s="29" t="s">
        <v>1673</v>
      </c>
    </row>
    <row r="4" spans="1:2" ht="43.7">
      <c r="A4" s="14" t="s">
        <v>1561</v>
      </c>
      <c r="B4" s="29" t="s">
        <v>1674</v>
      </c>
    </row>
    <row r="5" spans="1:2" ht="87.4">
      <c r="A5" s="14" t="s">
        <v>1567</v>
      </c>
      <c r="B5" s="29" t="s">
        <v>1675</v>
      </c>
    </row>
    <row r="6" spans="1:2" ht="43.7">
      <c r="A6" s="14" t="s">
        <v>1572</v>
      </c>
      <c r="B6" s="29" t="s">
        <v>1676</v>
      </c>
    </row>
    <row r="7" spans="1:2" ht="43.7">
      <c r="A7" s="17" t="s">
        <v>1572</v>
      </c>
      <c r="B7" s="30" t="s">
        <v>1677</v>
      </c>
    </row>
    <row r="8" spans="1:2" ht="43.7">
      <c r="A8" s="14" t="s">
        <v>1578</v>
      </c>
      <c r="B8" s="29" t="s">
        <v>1678</v>
      </c>
    </row>
    <row r="9" spans="1:2" ht="29.1">
      <c r="A9" s="14" t="s">
        <v>1582</v>
      </c>
      <c r="B9" s="29" t="s">
        <v>1679</v>
      </c>
    </row>
    <row r="10" spans="1:2" ht="29.1">
      <c r="A10" s="14" t="s">
        <v>1585</v>
      </c>
      <c r="B10" s="29" t="s">
        <v>1680</v>
      </c>
    </row>
    <row r="11" spans="1:2" ht="43.7">
      <c r="A11" s="14" t="s">
        <v>1589</v>
      </c>
      <c r="B11" s="29" t="s">
        <v>1681</v>
      </c>
    </row>
    <row r="12" spans="1:2" ht="29.1">
      <c r="A12" s="14" t="s">
        <v>1592</v>
      </c>
      <c r="B12" s="29" t="s">
        <v>1682</v>
      </c>
    </row>
    <row r="13" spans="1:2" ht="180.75" customHeight="1">
      <c r="A13" s="14" t="s">
        <v>1602</v>
      </c>
      <c r="B13" s="29" t="s">
        <v>1603</v>
      </c>
    </row>
    <row r="14" spans="1:2" ht="163.5" customHeight="1">
      <c r="A14" s="14" t="s">
        <v>1614</v>
      </c>
      <c r="B14" s="29" t="s">
        <v>1683</v>
      </c>
    </row>
    <row r="15" spans="1:2" ht="144" customHeight="1">
      <c r="A15" s="27" t="s">
        <v>1645</v>
      </c>
      <c r="B15" s="29" t="s">
        <v>1684</v>
      </c>
    </row>
    <row r="16" spans="1:2" ht="176.1">
      <c r="A16" s="15" t="s">
        <v>1367</v>
      </c>
      <c r="B16" s="29" t="s">
        <v>1685</v>
      </c>
    </row>
    <row r="17" spans="1:2" ht="58.35">
      <c r="A17" s="27" t="s">
        <v>1536</v>
      </c>
      <c r="B17" s="29" t="s">
        <v>1686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B6945-61EE-467F-A354-2EE62541FDD4}">
  <dimension ref="A1:P1095"/>
  <sheetViews>
    <sheetView topLeftCell="A27" workbookViewId="0">
      <selection activeCell="N18" sqref="N18"/>
    </sheetView>
  </sheetViews>
  <sheetFormatPr defaultRowHeight="14.65"/>
  <cols>
    <col min="1" max="1" width="45.85546875" customWidth="1"/>
    <col min="2" max="2" width="48.5703125" customWidth="1"/>
    <col min="3" max="3" width="26.140625" customWidth="1"/>
    <col min="4" max="4" width="13.42578125" hidden="1" customWidth="1"/>
    <col min="5" max="5" width="13.7109375" hidden="1" customWidth="1"/>
    <col min="6" max="6" width="23.85546875" hidden="1" customWidth="1"/>
    <col min="7" max="7" width="24.42578125" hidden="1" customWidth="1"/>
    <col min="8" max="8" width="23.85546875" hidden="1" customWidth="1"/>
    <col min="9" max="9" width="22.140625" hidden="1" customWidth="1"/>
    <col min="10" max="10" width="42.140625" hidden="1" customWidth="1"/>
    <col min="11" max="11" width="30.5703125" hidden="1" customWidth="1"/>
  </cols>
  <sheetData>
    <row r="1" spans="1:11">
      <c r="A1" t="s">
        <v>1687</v>
      </c>
    </row>
    <row r="2" spans="1:11">
      <c r="A2" t="s">
        <v>1688</v>
      </c>
    </row>
    <row r="3" spans="1:11">
      <c r="A3" t="s">
        <v>1689</v>
      </c>
    </row>
    <row r="6" spans="1:11">
      <c r="A6" t="s">
        <v>1690</v>
      </c>
    </row>
    <row r="8" spans="1:11">
      <c r="A8" t="s">
        <v>1691</v>
      </c>
    </row>
    <row r="9" spans="1:11">
      <c r="A9" t="s">
        <v>1692</v>
      </c>
      <c r="B9" t="s">
        <v>1693</v>
      </c>
    </row>
    <row r="12" spans="1:11">
      <c r="A12" t="s">
        <v>3</v>
      </c>
      <c r="B12" t="s">
        <v>4</v>
      </c>
      <c r="C12" t="s">
        <v>0</v>
      </c>
      <c r="D12" t="s">
        <v>5</v>
      </c>
      <c r="E12" t="s">
        <v>6</v>
      </c>
      <c r="F12" t="s">
        <v>7</v>
      </c>
      <c r="G12" t="s">
        <v>8</v>
      </c>
      <c r="H12" t="s">
        <v>9</v>
      </c>
      <c r="I12" t="s">
        <v>10</v>
      </c>
      <c r="J12" t="s">
        <v>1694</v>
      </c>
      <c r="K12" t="s">
        <v>1695</v>
      </c>
    </row>
    <row r="13" spans="1:11">
      <c r="A13" t="s">
        <v>19</v>
      </c>
      <c r="B13" t="s">
        <v>1696</v>
      </c>
      <c r="C13" t="s">
        <v>1697</v>
      </c>
      <c r="D13" t="s">
        <v>21</v>
      </c>
      <c r="E13" t="s">
        <v>25</v>
      </c>
      <c r="G13" s="2">
        <v>46203.375</v>
      </c>
      <c r="H13" s="2">
        <v>46203.541666666664</v>
      </c>
      <c r="I13" s="1">
        <v>46163</v>
      </c>
      <c r="J13" t="s">
        <v>1698</v>
      </c>
      <c r="K13" t="s">
        <v>19</v>
      </c>
    </row>
    <row r="14" spans="1:11">
      <c r="A14" t="s">
        <v>19</v>
      </c>
      <c r="B14" t="s">
        <v>20</v>
      </c>
      <c r="C14" t="s">
        <v>18</v>
      </c>
      <c r="D14" t="s">
        <v>21</v>
      </c>
      <c r="E14" t="s">
        <v>22</v>
      </c>
      <c r="F14">
        <v>26</v>
      </c>
      <c r="G14" s="2">
        <v>45923.375</v>
      </c>
      <c r="H14" s="2">
        <v>45923.541666666664</v>
      </c>
      <c r="I14" s="1">
        <v>46150</v>
      </c>
      <c r="J14" t="s">
        <v>1698</v>
      </c>
      <c r="K14" t="s">
        <v>19</v>
      </c>
    </row>
    <row r="15" spans="1:11">
      <c r="A15" t="s">
        <v>19</v>
      </c>
      <c r="B15" t="s">
        <v>29</v>
      </c>
      <c r="C15" t="s">
        <v>28</v>
      </c>
      <c r="D15" t="s">
        <v>21</v>
      </c>
      <c r="E15" t="s">
        <v>22</v>
      </c>
      <c r="F15">
        <v>48</v>
      </c>
      <c r="G15" s="2">
        <v>46343.375</v>
      </c>
      <c r="H15" s="2">
        <v>46345.708333333336</v>
      </c>
      <c r="I15" s="1">
        <v>46148</v>
      </c>
      <c r="J15" t="s">
        <v>1698</v>
      </c>
      <c r="K15" t="s">
        <v>19</v>
      </c>
    </row>
    <row r="16" spans="1:11">
      <c r="A16" t="s">
        <v>19</v>
      </c>
      <c r="B16" t="s">
        <v>35</v>
      </c>
      <c r="C16" t="s">
        <v>34</v>
      </c>
      <c r="D16" t="s">
        <v>21</v>
      </c>
      <c r="E16" t="s">
        <v>22</v>
      </c>
      <c r="F16">
        <v>65</v>
      </c>
      <c r="G16" s="2">
        <v>46027.333333333336</v>
      </c>
      <c r="H16" s="2">
        <v>46387.75</v>
      </c>
      <c r="I16" s="1">
        <v>46163</v>
      </c>
      <c r="J16" t="s">
        <v>1698</v>
      </c>
      <c r="K16" t="s">
        <v>19</v>
      </c>
    </row>
    <row r="17" spans="1:11">
      <c r="A17" t="s">
        <v>19</v>
      </c>
      <c r="B17" t="s">
        <v>40</v>
      </c>
      <c r="C17" t="s">
        <v>39</v>
      </c>
      <c r="D17" t="s">
        <v>21</v>
      </c>
      <c r="E17" t="s">
        <v>22</v>
      </c>
      <c r="F17">
        <v>57</v>
      </c>
      <c r="G17" s="2">
        <v>46351.395833333336</v>
      </c>
      <c r="H17" s="2">
        <v>46351.708333333336</v>
      </c>
      <c r="I17" s="1">
        <v>46162</v>
      </c>
      <c r="J17" t="s">
        <v>1698</v>
      </c>
      <c r="K17" t="s">
        <v>19</v>
      </c>
    </row>
    <row r="18" spans="1:11">
      <c r="A18" t="s">
        <v>19</v>
      </c>
      <c r="B18" t="s">
        <v>42</v>
      </c>
      <c r="C18" t="s">
        <v>41</v>
      </c>
      <c r="D18" t="s">
        <v>21</v>
      </c>
      <c r="E18" t="s">
        <v>22</v>
      </c>
      <c r="F18">
        <v>98</v>
      </c>
      <c r="G18" s="2">
        <v>46337.395833333336</v>
      </c>
      <c r="H18" s="2">
        <v>46337.520833333336</v>
      </c>
      <c r="I18" s="1">
        <v>46149</v>
      </c>
      <c r="J18" t="s">
        <v>1698</v>
      </c>
      <c r="K18" t="s">
        <v>19</v>
      </c>
    </row>
    <row r="19" spans="1:11">
      <c r="A19" t="s">
        <v>19</v>
      </c>
      <c r="B19" t="s">
        <v>1699</v>
      </c>
      <c r="C19" t="s">
        <v>43</v>
      </c>
      <c r="D19" t="s">
        <v>21</v>
      </c>
      <c r="E19" t="s">
        <v>22</v>
      </c>
      <c r="F19">
        <v>46</v>
      </c>
      <c r="G19" s="2">
        <v>46345.395833333336</v>
      </c>
      <c r="H19" s="2">
        <v>46345.520833333336</v>
      </c>
      <c r="I19" s="1">
        <v>46162</v>
      </c>
      <c r="J19" t="s">
        <v>1698</v>
      </c>
      <c r="K19" t="s">
        <v>19</v>
      </c>
    </row>
    <row r="20" spans="1:11">
      <c r="A20" t="s">
        <v>19</v>
      </c>
      <c r="B20" t="s">
        <v>46</v>
      </c>
      <c r="C20" t="s">
        <v>45</v>
      </c>
      <c r="D20" t="s">
        <v>21</v>
      </c>
      <c r="E20" t="s">
        <v>22</v>
      </c>
      <c r="F20">
        <v>39</v>
      </c>
      <c r="G20" s="2">
        <v>46346.395833333336</v>
      </c>
      <c r="H20" s="2">
        <v>46346.520833333336</v>
      </c>
      <c r="I20" s="1">
        <v>46162</v>
      </c>
      <c r="J20" t="s">
        <v>1698</v>
      </c>
      <c r="K20" t="s">
        <v>19</v>
      </c>
    </row>
    <row r="21" spans="1:11">
      <c r="A21" t="s">
        <v>19</v>
      </c>
      <c r="B21" t="s">
        <v>48</v>
      </c>
      <c r="C21" t="s">
        <v>47</v>
      </c>
      <c r="D21" t="s">
        <v>21</v>
      </c>
      <c r="E21" t="s">
        <v>22</v>
      </c>
      <c r="F21">
        <v>29</v>
      </c>
      <c r="G21" s="2">
        <v>46357.395833333336</v>
      </c>
      <c r="H21" s="2">
        <v>46357.520833333336</v>
      </c>
      <c r="I21" s="1">
        <v>46163</v>
      </c>
      <c r="J21" t="s">
        <v>1698</v>
      </c>
      <c r="K21" t="s">
        <v>19</v>
      </c>
    </row>
    <row r="22" spans="1:11">
      <c r="A22" t="s">
        <v>19</v>
      </c>
      <c r="B22" t="s">
        <v>1700</v>
      </c>
      <c r="C22" t="s">
        <v>1701</v>
      </c>
      <c r="D22" t="s">
        <v>38</v>
      </c>
      <c r="I22" s="1">
        <v>46155</v>
      </c>
      <c r="K22" t="s">
        <v>19</v>
      </c>
    </row>
    <row r="23" spans="1:11">
      <c r="A23" t="s">
        <v>54</v>
      </c>
      <c r="B23" t="s">
        <v>63</v>
      </c>
      <c r="C23" t="s">
        <v>1052</v>
      </c>
      <c r="D23" t="s">
        <v>16</v>
      </c>
      <c r="G23" t="s">
        <v>17</v>
      </c>
      <c r="I23" s="1">
        <v>46162</v>
      </c>
      <c r="J23" t="s">
        <v>1698</v>
      </c>
      <c r="K23" t="s">
        <v>19</v>
      </c>
    </row>
    <row r="24" spans="1:11">
      <c r="A24" t="s">
        <v>54</v>
      </c>
      <c r="B24" t="s">
        <v>1053</v>
      </c>
      <c r="C24" t="s">
        <v>1054</v>
      </c>
      <c r="D24" t="s">
        <v>21</v>
      </c>
      <c r="E24" t="s">
        <v>25</v>
      </c>
      <c r="G24" s="2">
        <v>46072.333333333336</v>
      </c>
      <c r="H24" s="2">
        <v>47168.333333333336</v>
      </c>
      <c r="I24" t="s">
        <v>198</v>
      </c>
      <c r="J24" t="s">
        <v>1698</v>
      </c>
      <c r="K24" t="s">
        <v>19</v>
      </c>
    </row>
    <row r="25" spans="1:11">
      <c r="A25" t="s">
        <v>54</v>
      </c>
      <c r="B25" t="s">
        <v>65</v>
      </c>
      <c r="C25" t="s">
        <v>1056</v>
      </c>
      <c r="D25" t="s">
        <v>21</v>
      </c>
      <c r="E25" t="s">
        <v>25</v>
      </c>
      <c r="G25" s="2">
        <v>46072.333333333336</v>
      </c>
      <c r="H25" s="2">
        <v>47168.333333333336</v>
      </c>
      <c r="I25" t="s">
        <v>198</v>
      </c>
      <c r="J25" t="s">
        <v>1698</v>
      </c>
      <c r="K25" t="s">
        <v>19</v>
      </c>
    </row>
    <row r="26" spans="1:11">
      <c r="A26" t="s">
        <v>54</v>
      </c>
      <c r="B26" t="s">
        <v>1057</v>
      </c>
      <c r="C26" t="s">
        <v>60</v>
      </c>
      <c r="D26" t="s">
        <v>21</v>
      </c>
      <c r="E26" t="s">
        <v>22</v>
      </c>
      <c r="F26">
        <v>19</v>
      </c>
      <c r="G26" s="2">
        <v>46175.427083333336</v>
      </c>
      <c r="H26" s="2">
        <v>46175.479166666664</v>
      </c>
      <c r="I26" s="1">
        <v>46162</v>
      </c>
      <c r="J26" t="s">
        <v>1698</v>
      </c>
      <c r="K26" t="s">
        <v>19</v>
      </c>
    </row>
    <row r="27" spans="1:11">
      <c r="A27" t="s">
        <v>54</v>
      </c>
      <c r="B27" t="s">
        <v>1058</v>
      </c>
      <c r="C27" t="s">
        <v>56</v>
      </c>
      <c r="D27" t="s">
        <v>21</v>
      </c>
      <c r="E27" t="s">
        <v>22</v>
      </c>
      <c r="F27">
        <v>32</v>
      </c>
      <c r="I27" s="1">
        <v>46120</v>
      </c>
      <c r="J27" t="s">
        <v>1698</v>
      </c>
      <c r="K27" t="s">
        <v>19</v>
      </c>
    </row>
    <row r="28" spans="1:11">
      <c r="A28" t="s">
        <v>54</v>
      </c>
      <c r="B28" t="s">
        <v>1702</v>
      </c>
      <c r="C28" t="s">
        <v>53</v>
      </c>
      <c r="D28" t="s">
        <v>21</v>
      </c>
      <c r="E28" t="s">
        <v>22</v>
      </c>
      <c r="F28">
        <v>22</v>
      </c>
      <c r="G28" s="2">
        <v>46163.4375</v>
      </c>
      <c r="H28" s="2">
        <v>46163.479166666664</v>
      </c>
      <c r="I28" s="1">
        <v>46162</v>
      </c>
      <c r="J28" t="s">
        <v>1698</v>
      </c>
      <c r="K28" t="s">
        <v>19</v>
      </c>
    </row>
    <row r="29" spans="1:11">
      <c r="A29" t="s">
        <v>54</v>
      </c>
      <c r="B29" t="s">
        <v>68</v>
      </c>
      <c r="C29" t="s">
        <v>1059</v>
      </c>
      <c r="D29" t="s">
        <v>21</v>
      </c>
      <c r="E29" t="s">
        <v>25</v>
      </c>
      <c r="G29" s="2">
        <v>46072.333333333336</v>
      </c>
      <c r="H29" s="2">
        <v>47177.333333333336</v>
      </c>
      <c r="I29" t="s">
        <v>198</v>
      </c>
      <c r="J29" t="s">
        <v>1698</v>
      </c>
      <c r="K29" t="s">
        <v>19</v>
      </c>
    </row>
    <row r="30" spans="1:11">
      <c r="A30" t="s">
        <v>72</v>
      </c>
      <c r="B30" t="s">
        <v>73</v>
      </c>
      <c r="C30" t="s">
        <v>71</v>
      </c>
      <c r="D30" t="s">
        <v>21</v>
      </c>
      <c r="E30" t="s">
        <v>22</v>
      </c>
      <c r="F30">
        <v>29</v>
      </c>
      <c r="G30" s="2">
        <v>46023.333333333336</v>
      </c>
      <c r="H30" s="2">
        <v>46387.75</v>
      </c>
      <c r="I30" s="1">
        <v>46162</v>
      </c>
      <c r="J30" t="s">
        <v>1698</v>
      </c>
      <c r="K30" t="s">
        <v>72</v>
      </c>
    </row>
    <row r="31" spans="1:11">
      <c r="A31" t="s">
        <v>72</v>
      </c>
      <c r="B31" t="s">
        <v>35</v>
      </c>
      <c r="C31" t="s">
        <v>34</v>
      </c>
      <c r="D31" t="s">
        <v>21</v>
      </c>
      <c r="E31" t="s">
        <v>22</v>
      </c>
      <c r="F31">
        <v>65</v>
      </c>
      <c r="G31" s="2">
        <v>46027.333333333336</v>
      </c>
      <c r="H31" s="2">
        <v>46387.75</v>
      </c>
      <c r="I31" s="1">
        <v>46163</v>
      </c>
      <c r="J31" t="s">
        <v>1698</v>
      </c>
      <c r="K31" t="s">
        <v>72</v>
      </c>
    </row>
    <row r="32" spans="1:11">
      <c r="A32" t="s">
        <v>74</v>
      </c>
      <c r="B32" t="s">
        <v>75</v>
      </c>
      <c r="D32" t="s">
        <v>76</v>
      </c>
      <c r="K32" t="s">
        <v>74</v>
      </c>
    </row>
    <row r="33" spans="1:11">
      <c r="A33" t="s">
        <v>1703</v>
      </c>
      <c r="B33" t="s">
        <v>1704</v>
      </c>
      <c r="C33" t="s">
        <v>1705</v>
      </c>
      <c r="D33" t="s">
        <v>38</v>
      </c>
      <c r="I33" s="1">
        <v>46162</v>
      </c>
      <c r="K33" t="s">
        <v>74</v>
      </c>
    </row>
    <row r="34" spans="1:11">
      <c r="A34" t="s">
        <v>1703</v>
      </c>
      <c r="B34" t="s">
        <v>1706</v>
      </c>
      <c r="C34" t="s">
        <v>1707</v>
      </c>
      <c r="D34" t="s">
        <v>38</v>
      </c>
      <c r="K34" t="s">
        <v>74</v>
      </c>
    </row>
    <row r="35" spans="1:11">
      <c r="A35" t="s">
        <v>1703</v>
      </c>
      <c r="B35" t="s">
        <v>1708</v>
      </c>
      <c r="C35" t="s">
        <v>1709</v>
      </c>
      <c r="D35" t="s">
        <v>38</v>
      </c>
      <c r="I35" s="1">
        <v>46130</v>
      </c>
      <c r="K35" t="s">
        <v>74</v>
      </c>
    </row>
    <row r="36" spans="1:11">
      <c r="A36" t="s">
        <v>1703</v>
      </c>
      <c r="B36" t="s">
        <v>1710</v>
      </c>
      <c r="C36" t="s">
        <v>1711</v>
      </c>
      <c r="D36" t="s">
        <v>38</v>
      </c>
      <c r="I36" s="1">
        <v>46162</v>
      </c>
      <c r="K36" t="s">
        <v>74</v>
      </c>
    </row>
    <row r="37" spans="1:11">
      <c r="A37" t="s">
        <v>1703</v>
      </c>
      <c r="B37" t="s">
        <v>1712</v>
      </c>
      <c r="C37" t="s">
        <v>1713</v>
      </c>
      <c r="D37" t="s">
        <v>38</v>
      </c>
      <c r="I37" s="1">
        <v>46162</v>
      </c>
      <c r="K37" t="s">
        <v>74</v>
      </c>
    </row>
    <row r="38" spans="1:11">
      <c r="A38" t="s">
        <v>1062</v>
      </c>
      <c r="B38" t="s">
        <v>82</v>
      </c>
      <c r="C38" t="s">
        <v>80</v>
      </c>
      <c r="D38" t="s">
        <v>38</v>
      </c>
      <c r="I38" s="1">
        <v>46148</v>
      </c>
      <c r="K38" t="s">
        <v>74</v>
      </c>
    </row>
    <row r="39" spans="1:11">
      <c r="A39" t="s">
        <v>1062</v>
      </c>
      <c r="B39" t="s">
        <v>84</v>
      </c>
      <c r="C39" t="s">
        <v>83</v>
      </c>
      <c r="D39" t="s">
        <v>38</v>
      </c>
      <c r="I39" s="1">
        <v>46154</v>
      </c>
      <c r="K39" t="s">
        <v>74</v>
      </c>
    </row>
    <row r="40" spans="1:11">
      <c r="A40" t="s">
        <v>1062</v>
      </c>
      <c r="B40" t="s">
        <v>86</v>
      </c>
      <c r="C40" t="s">
        <v>85</v>
      </c>
      <c r="D40" t="s">
        <v>38</v>
      </c>
      <c r="I40" s="1">
        <v>45688</v>
      </c>
      <c r="K40" t="s">
        <v>74</v>
      </c>
    </row>
    <row r="41" spans="1:11">
      <c r="A41" t="s">
        <v>1062</v>
      </c>
      <c r="B41" t="s">
        <v>88</v>
      </c>
      <c r="C41" t="s">
        <v>87</v>
      </c>
      <c r="D41" t="s">
        <v>38</v>
      </c>
      <c r="I41" s="1">
        <v>46107</v>
      </c>
      <c r="K41" t="s">
        <v>74</v>
      </c>
    </row>
    <row r="42" spans="1:11">
      <c r="A42" t="s">
        <v>1062</v>
      </c>
      <c r="B42" t="s">
        <v>90</v>
      </c>
      <c r="C42" t="s">
        <v>89</v>
      </c>
      <c r="D42" t="s">
        <v>38</v>
      </c>
      <c r="I42" s="1">
        <v>46052</v>
      </c>
      <c r="K42" t="s">
        <v>74</v>
      </c>
    </row>
    <row r="43" spans="1:11">
      <c r="A43" t="s">
        <v>1062</v>
      </c>
      <c r="B43" t="s">
        <v>92</v>
      </c>
      <c r="C43" t="s">
        <v>91</v>
      </c>
      <c r="D43" t="s">
        <v>38</v>
      </c>
      <c r="I43" s="1">
        <v>46133</v>
      </c>
      <c r="K43" t="s">
        <v>74</v>
      </c>
    </row>
    <row r="44" spans="1:11">
      <c r="A44" t="s">
        <v>1062</v>
      </c>
      <c r="B44" t="s">
        <v>94</v>
      </c>
      <c r="C44" t="s">
        <v>93</v>
      </c>
      <c r="D44" t="s">
        <v>38</v>
      </c>
      <c r="I44" s="1">
        <v>46079</v>
      </c>
      <c r="K44" t="s">
        <v>74</v>
      </c>
    </row>
    <row r="45" spans="1:11">
      <c r="A45" t="s">
        <v>1062</v>
      </c>
      <c r="B45" t="s">
        <v>96</v>
      </c>
      <c r="C45" t="s">
        <v>95</v>
      </c>
      <c r="D45" t="s">
        <v>38</v>
      </c>
      <c r="I45" s="1">
        <v>46129</v>
      </c>
      <c r="K45" t="s">
        <v>74</v>
      </c>
    </row>
    <row r="46" spans="1:11">
      <c r="A46" t="s">
        <v>1062</v>
      </c>
      <c r="B46" t="s">
        <v>98</v>
      </c>
      <c r="C46" t="s">
        <v>97</v>
      </c>
      <c r="D46" t="s">
        <v>38</v>
      </c>
      <c r="I46" s="1">
        <v>46108</v>
      </c>
      <c r="K46" t="s">
        <v>74</v>
      </c>
    </row>
    <row r="47" spans="1:11">
      <c r="A47" t="s">
        <v>1063</v>
      </c>
      <c r="B47" t="s">
        <v>101</v>
      </c>
      <c r="C47" t="s">
        <v>99</v>
      </c>
      <c r="D47" t="s">
        <v>38</v>
      </c>
      <c r="I47" s="1">
        <v>45569</v>
      </c>
      <c r="K47" t="s">
        <v>74</v>
      </c>
    </row>
    <row r="48" spans="1:11">
      <c r="A48" t="s">
        <v>1063</v>
      </c>
      <c r="B48" t="s">
        <v>103</v>
      </c>
      <c r="C48" t="s">
        <v>102</v>
      </c>
      <c r="D48" t="s">
        <v>38</v>
      </c>
      <c r="I48" s="1">
        <v>45512</v>
      </c>
      <c r="K48" t="s">
        <v>74</v>
      </c>
    </row>
    <row r="49" spans="1:11">
      <c r="A49" t="s">
        <v>1063</v>
      </c>
      <c r="B49" t="s">
        <v>105</v>
      </c>
      <c r="C49" t="s">
        <v>104</v>
      </c>
      <c r="D49" t="s">
        <v>38</v>
      </c>
      <c r="I49" s="1">
        <v>45964</v>
      </c>
      <c r="K49" t="s">
        <v>74</v>
      </c>
    </row>
    <row r="50" spans="1:11">
      <c r="A50" t="s">
        <v>1064</v>
      </c>
      <c r="B50" t="s">
        <v>1065</v>
      </c>
      <c r="C50" t="s">
        <v>1066</v>
      </c>
      <c r="D50" t="s">
        <v>38</v>
      </c>
      <c r="I50" s="1">
        <v>46153</v>
      </c>
      <c r="K50" t="s">
        <v>74</v>
      </c>
    </row>
    <row r="51" spans="1:11">
      <c r="A51" t="s">
        <v>1064</v>
      </c>
      <c r="B51" t="s">
        <v>1067</v>
      </c>
      <c r="C51" t="s">
        <v>1068</v>
      </c>
      <c r="D51" t="s">
        <v>38</v>
      </c>
      <c r="I51" s="1">
        <v>46149</v>
      </c>
      <c r="K51" t="s">
        <v>74</v>
      </c>
    </row>
    <row r="52" spans="1:11">
      <c r="A52" t="s">
        <v>1064</v>
      </c>
      <c r="B52" t="s">
        <v>1071</v>
      </c>
      <c r="C52" t="s">
        <v>1072</v>
      </c>
      <c r="D52" t="s">
        <v>38</v>
      </c>
      <c r="I52" s="1">
        <v>46154</v>
      </c>
      <c r="K52" t="s">
        <v>74</v>
      </c>
    </row>
    <row r="53" spans="1:11">
      <c r="A53" t="s">
        <v>1064</v>
      </c>
      <c r="B53" t="s">
        <v>1069</v>
      </c>
      <c r="C53" t="s">
        <v>1070</v>
      </c>
      <c r="D53" t="s">
        <v>38</v>
      </c>
      <c r="I53" s="1">
        <v>46146</v>
      </c>
      <c r="K53" t="s">
        <v>74</v>
      </c>
    </row>
    <row r="54" spans="1:11">
      <c r="A54" t="s">
        <v>1064</v>
      </c>
      <c r="B54" t="s">
        <v>1073</v>
      </c>
      <c r="C54" t="s">
        <v>1074</v>
      </c>
      <c r="D54" t="s">
        <v>38</v>
      </c>
      <c r="I54" s="1">
        <v>46154</v>
      </c>
      <c r="K54" t="s">
        <v>74</v>
      </c>
    </row>
    <row r="55" spans="1:11">
      <c r="A55" t="s">
        <v>1064</v>
      </c>
      <c r="B55" t="s">
        <v>1075</v>
      </c>
      <c r="C55" t="s">
        <v>1076</v>
      </c>
      <c r="D55" t="s">
        <v>38</v>
      </c>
      <c r="I55" s="1">
        <v>46154</v>
      </c>
      <c r="K55" t="s">
        <v>74</v>
      </c>
    </row>
    <row r="56" spans="1:11">
      <c r="A56" t="s">
        <v>1064</v>
      </c>
      <c r="B56" t="s">
        <v>79</v>
      </c>
      <c r="C56" t="s">
        <v>77</v>
      </c>
      <c r="D56" t="s">
        <v>38</v>
      </c>
      <c r="I56" s="1">
        <v>46099</v>
      </c>
      <c r="K56" t="s">
        <v>74</v>
      </c>
    </row>
    <row r="57" spans="1:11">
      <c r="A57" t="s">
        <v>1064</v>
      </c>
      <c r="B57" t="s">
        <v>1077</v>
      </c>
      <c r="C57" t="s">
        <v>1078</v>
      </c>
      <c r="D57" t="s">
        <v>38</v>
      </c>
      <c r="I57" s="1">
        <v>46105</v>
      </c>
      <c r="K57" t="s">
        <v>74</v>
      </c>
    </row>
    <row r="58" spans="1:11">
      <c r="A58" t="s">
        <v>1064</v>
      </c>
      <c r="B58" t="s">
        <v>1079</v>
      </c>
      <c r="C58" t="s">
        <v>1080</v>
      </c>
      <c r="D58" t="s">
        <v>38</v>
      </c>
      <c r="I58" s="1">
        <v>46146</v>
      </c>
      <c r="K58" t="s">
        <v>74</v>
      </c>
    </row>
    <row r="59" spans="1:11">
      <c r="A59" t="s">
        <v>129</v>
      </c>
      <c r="B59" t="s">
        <v>130</v>
      </c>
      <c r="C59" t="s">
        <v>128</v>
      </c>
      <c r="D59" t="s">
        <v>38</v>
      </c>
      <c r="I59" s="1">
        <v>46126</v>
      </c>
      <c r="K59" t="s">
        <v>74</v>
      </c>
    </row>
    <row r="60" spans="1:11">
      <c r="A60" t="s">
        <v>129</v>
      </c>
      <c r="B60" t="s">
        <v>132</v>
      </c>
      <c r="C60" t="s">
        <v>131</v>
      </c>
      <c r="D60" t="s">
        <v>38</v>
      </c>
      <c r="I60" s="1">
        <v>46132</v>
      </c>
      <c r="K60" t="s">
        <v>74</v>
      </c>
    </row>
    <row r="61" spans="1:11">
      <c r="A61" t="s">
        <v>129</v>
      </c>
      <c r="B61" t="s">
        <v>134</v>
      </c>
      <c r="C61" t="s">
        <v>133</v>
      </c>
      <c r="D61" t="s">
        <v>38</v>
      </c>
      <c r="I61" s="1">
        <v>45894</v>
      </c>
      <c r="K61" t="s">
        <v>74</v>
      </c>
    </row>
    <row r="62" spans="1:11">
      <c r="A62" t="s">
        <v>129</v>
      </c>
      <c r="B62" t="s">
        <v>136</v>
      </c>
      <c r="C62" t="s">
        <v>135</v>
      </c>
      <c r="D62" t="s">
        <v>38</v>
      </c>
      <c r="I62" s="1">
        <v>45894</v>
      </c>
      <c r="K62" t="s">
        <v>74</v>
      </c>
    </row>
    <row r="63" spans="1:11">
      <c r="A63" t="s">
        <v>129</v>
      </c>
      <c r="B63" t="s">
        <v>138</v>
      </c>
      <c r="C63" t="s">
        <v>137</v>
      </c>
      <c r="D63" t="s">
        <v>38</v>
      </c>
      <c r="I63" s="1">
        <v>45894</v>
      </c>
      <c r="K63" t="s">
        <v>74</v>
      </c>
    </row>
    <row r="64" spans="1:11">
      <c r="A64" t="s">
        <v>140</v>
      </c>
      <c r="B64" t="s">
        <v>141</v>
      </c>
      <c r="C64" t="s">
        <v>139</v>
      </c>
      <c r="D64" t="s">
        <v>38</v>
      </c>
      <c r="I64" s="1">
        <v>46127</v>
      </c>
      <c r="K64" t="s">
        <v>74</v>
      </c>
    </row>
    <row r="65" spans="1:11">
      <c r="A65" t="s">
        <v>140</v>
      </c>
      <c r="B65" t="s">
        <v>143</v>
      </c>
      <c r="C65" t="s">
        <v>142</v>
      </c>
      <c r="D65" t="s">
        <v>38</v>
      </c>
      <c r="I65" s="1">
        <v>46066</v>
      </c>
      <c r="K65" t="s">
        <v>74</v>
      </c>
    </row>
    <row r="66" spans="1:11">
      <c r="A66" t="s">
        <v>140</v>
      </c>
      <c r="B66" t="s">
        <v>145</v>
      </c>
      <c r="C66" t="s">
        <v>144</v>
      </c>
      <c r="D66" t="s">
        <v>38</v>
      </c>
      <c r="I66" s="1">
        <v>45533</v>
      </c>
      <c r="K66" t="s">
        <v>74</v>
      </c>
    </row>
    <row r="67" spans="1:11">
      <c r="A67" t="s">
        <v>140</v>
      </c>
      <c r="B67" t="s">
        <v>147</v>
      </c>
      <c r="C67" t="s">
        <v>146</v>
      </c>
      <c r="D67" t="s">
        <v>38</v>
      </c>
      <c r="I67" s="1">
        <v>45915</v>
      </c>
      <c r="K67" t="s">
        <v>74</v>
      </c>
    </row>
    <row r="68" spans="1:11">
      <c r="A68" t="s">
        <v>149</v>
      </c>
      <c r="B68" t="s">
        <v>150</v>
      </c>
      <c r="C68" t="s">
        <v>148</v>
      </c>
      <c r="D68" t="s">
        <v>38</v>
      </c>
      <c r="I68" s="1">
        <v>46107</v>
      </c>
      <c r="K68" t="s">
        <v>74</v>
      </c>
    </row>
    <row r="69" spans="1:11">
      <c r="A69" t="s">
        <v>149</v>
      </c>
      <c r="B69" t="s">
        <v>152</v>
      </c>
      <c r="C69" t="s">
        <v>151</v>
      </c>
      <c r="D69" t="s">
        <v>38</v>
      </c>
      <c r="I69" s="1">
        <v>46139</v>
      </c>
      <c r="K69" t="s">
        <v>74</v>
      </c>
    </row>
    <row r="70" spans="1:11">
      <c r="A70" t="s">
        <v>149</v>
      </c>
      <c r="B70" t="s">
        <v>154</v>
      </c>
      <c r="C70" t="s">
        <v>153</v>
      </c>
      <c r="D70" t="s">
        <v>38</v>
      </c>
      <c r="I70" s="1">
        <v>46136</v>
      </c>
      <c r="K70" t="s">
        <v>74</v>
      </c>
    </row>
    <row r="71" spans="1:11">
      <c r="A71" t="s">
        <v>149</v>
      </c>
      <c r="B71" t="s">
        <v>156</v>
      </c>
      <c r="C71" t="s">
        <v>155</v>
      </c>
      <c r="D71" t="s">
        <v>38</v>
      </c>
      <c r="I71" s="1">
        <v>46056</v>
      </c>
      <c r="K71" t="s">
        <v>74</v>
      </c>
    </row>
    <row r="72" spans="1:11">
      <c r="A72" t="s">
        <v>149</v>
      </c>
      <c r="B72" t="s">
        <v>158</v>
      </c>
      <c r="C72" t="s">
        <v>157</v>
      </c>
      <c r="D72" t="s">
        <v>38</v>
      </c>
      <c r="I72" s="1">
        <v>46094</v>
      </c>
      <c r="K72" t="s">
        <v>74</v>
      </c>
    </row>
    <row r="73" spans="1:11">
      <c r="A73" t="s">
        <v>149</v>
      </c>
      <c r="B73" t="s">
        <v>160</v>
      </c>
      <c r="C73" t="s">
        <v>159</v>
      </c>
      <c r="D73" t="s">
        <v>38</v>
      </c>
      <c r="I73" s="1">
        <v>45771</v>
      </c>
      <c r="K73" t="s">
        <v>74</v>
      </c>
    </row>
    <row r="74" spans="1:11">
      <c r="A74" t="s">
        <v>162</v>
      </c>
      <c r="B74" t="s">
        <v>163</v>
      </c>
      <c r="C74" t="s">
        <v>161</v>
      </c>
      <c r="D74" t="s">
        <v>38</v>
      </c>
      <c r="I74" s="1">
        <v>46129</v>
      </c>
      <c r="K74" t="s">
        <v>74</v>
      </c>
    </row>
    <row r="75" spans="1:11">
      <c r="A75" t="s">
        <v>162</v>
      </c>
      <c r="B75" t="s">
        <v>165</v>
      </c>
      <c r="C75" t="s">
        <v>164</v>
      </c>
      <c r="D75" t="s">
        <v>38</v>
      </c>
      <c r="I75" s="1">
        <v>46132</v>
      </c>
      <c r="K75" t="s">
        <v>74</v>
      </c>
    </row>
    <row r="76" spans="1:11">
      <c r="A76" t="s">
        <v>162</v>
      </c>
      <c r="B76" t="s">
        <v>167</v>
      </c>
      <c r="C76" t="s">
        <v>166</v>
      </c>
      <c r="D76" t="s">
        <v>38</v>
      </c>
      <c r="I76" s="1">
        <v>46157</v>
      </c>
      <c r="K76" t="s">
        <v>74</v>
      </c>
    </row>
    <row r="77" spans="1:11">
      <c r="A77" t="s">
        <v>162</v>
      </c>
      <c r="B77" t="s">
        <v>169</v>
      </c>
      <c r="C77" t="s">
        <v>168</v>
      </c>
      <c r="D77" t="s">
        <v>38</v>
      </c>
      <c r="I77" s="1">
        <v>46092</v>
      </c>
      <c r="K77" t="s">
        <v>74</v>
      </c>
    </row>
    <row r="78" spans="1:11">
      <c r="A78" t="s">
        <v>162</v>
      </c>
      <c r="B78" t="s">
        <v>171</v>
      </c>
      <c r="C78" t="s">
        <v>170</v>
      </c>
      <c r="D78" t="s">
        <v>38</v>
      </c>
      <c r="I78" s="1">
        <v>46142</v>
      </c>
      <c r="K78" t="s">
        <v>74</v>
      </c>
    </row>
    <row r="79" spans="1:11">
      <c r="A79" t="s">
        <v>173</v>
      </c>
      <c r="B79" t="s">
        <v>174</v>
      </c>
      <c r="C79" t="s">
        <v>172</v>
      </c>
      <c r="D79" t="s">
        <v>38</v>
      </c>
      <c r="I79" s="1">
        <v>46092</v>
      </c>
      <c r="K79" t="s">
        <v>74</v>
      </c>
    </row>
    <row r="80" spans="1:11">
      <c r="A80" t="s">
        <v>173</v>
      </c>
      <c r="B80" t="s">
        <v>176</v>
      </c>
      <c r="C80" t="s">
        <v>175</v>
      </c>
      <c r="D80" t="s">
        <v>38</v>
      </c>
      <c r="I80" s="1">
        <v>46098</v>
      </c>
      <c r="K80" t="s">
        <v>74</v>
      </c>
    </row>
    <row r="81" spans="1:11">
      <c r="A81" t="s">
        <v>173</v>
      </c>
      <c r="B81" t="s">
        <v>178</v>
      </c>
      <c r="C81" t="s">
        <v>177</v>
      </c>
      <c r="D81" t="s">
        <v>38</v>
      </c>
      <c r="I81" s="1">
        <v>46133</v>
      </c>
      <c r="K81" t="s">
        <v>74</v>
      </c>
    </row>
    <row r="82" spans="1:11">
      <c r="A82" t="s">
        <v>173</v>
      </c>
      <c r="B82" t="s">
        <v>180</v>
      </c>
      <c r="C82" t="s">
        <v>179</v>
      </c>
      <c r="D82" t="s">
        <v>38</v>
      </c>
      <c r="I82" s="1">
        <v>46057</v>
      </c>
      <c r="K82" t="s">
        <v>74</v>
      </c>
    </row>
    <row r="83" spans="1:11">
      <c r="A83" t="s">
        <v>173</v>
      </c>
      <c r="B83" t="s">
        <v>182</v>
      </c>
      <c r="C83" t="s">
        <v>181</v>
      </c>
      <c r="D83" t="s">
        <v>38</v>
      </c>
      <c r="I83" s="1">
        <v>45985</v>
      </c>
      <c r="K83" t="s">
        <v>74</v>
      </c>
    </row>
    <row r="84" spans="1:11">
      <c r="A84" t="s">
        <v>173</v>
      </c>
      <c r="B84" t="s">
        <v>184</v>
      </c>
      <c r="C84" t="s">
        <v>183</v>
      </c>
      <c r="D84" t="s">
        <v>38</v>
      </c>
      <c r="I84" s="1">
        <v>46148</v>
      </c>
      <c r="K84" t="s">
        <v>74</v>
      </c>
    </row>
    <row r="85" spans="1:11">
      <c r="A85" t="s">
        <v>173</v>
      </c>
      <c r="B85" t="s">
        <v>186</v>
      </c>
      <c r="C85" t="s">
        <v>185</v>
      </c>
      <c r="D85" t="s">
        <v>38</v>
      </c>
      <c r="I85" s="1">
        <v>46066</v>
      </c>
      <c r="K85" t="s">
        <v>74</v>
      </c>
    </row>
    <row r="86" spans="1:11">
      <c r="A86" t="s">
        <v>173</v>
      </c>
      <c r="B86" t="s">
        <v>188</v>
      </c>
      <c r="C86" t="s">
        <v>187</v>
      </c>
      <c r="D86" t="s">
        <v>38</v>
      </c>
      <c r="I86" s="1">
        <v>45839</v>
      </c>
      <c r="K86" t="s">
        <v>74</v>
      </c>
    </row>
    <row r="87" spans="1:11">
      <c r="A87" t="s">
        <v>190</v>
      </c>
      <c r="B87" t="s">
        <v>1714</v>
      </c>
      <c r="C87" t="s">
        <v>189</v>
      </c>
      <c r="D87" t="s">
        <v>21</v>
      </c>
      <c r="E87" t="s">
        <v>22</v>
      </c>
      <c r="F87">
        <v>46</v>
      </c>
      <c r="G87" s="2">
        <v>46357.375</v>
      </c>
      <c r="H87" s="2">
        <v>46357.541666666664</v>
      </c>
      <c r="I87" s="1">
        <v>46162</v>
      </c>
      <c r="J87" t="s">
        <v>1698</v>
      </c>
      <c r="K87" t="s">
        <v>190</v>
      </c>
    </row>
    <row r="88" spans="1:11">
      <c r="A88" t="s">
        <v>190</v>
      </c>
      <c r="B88" t="s">
        <v>1081</v>
      </c>
      <c r="C88" t="s">
        <v>1082</v>
      </c>
      <c r="D88" t="s">
        <v>21</v>
      </c>
      <c r="E88" t="s">
        <v>22</v>
      </c>
      <c r="F88">
        <v>10</v>
      </c>
      <c r="G88" s="2">
        <v>46310.375</v>
      </c>
      <c r="H88" s="2">
        <v>46310.520833333336</v>
      </c>
      <c r="I88" s="1">
        <v>46163</v>
      </c>
      <c r="J88" t="s">
        <v>1698</v>
      </c>
      <c r="K88" t="s">
        <v>190</v>
      </c>
    </row>
    <row r="89" spans="1:11">
      <c r="A89" t="s">
        <v>190</v>
      </c>
      <c r="B89" t="s">
        <v>195</v>
      </c>
      <c r="C89" t="s">
        <v>194</v>
      </c>
      <c r="D89" t="s">
        <v>21</v>
      </c>
      <c r="E89" t="s">
        <v>25</v>
      </c>
      <c r="G89" s="2">
        <v>45667.333333333336</v>
      </c>
      <c r="H89" s="2">
        <v>47312.333333333336</v>
      </c>
      <c r="I89" s="1">
        <v>46052</v>
      </c>
      <c r="J89" t="s">
        <v>1698</v>
      </c>
      <c r="K89" t="s">
        <v>190</v>
      </c>
    </row>
    <row r="90" spans="1:11">
      <c r="A90" t="s">
        <v>190</v>
      </c>
      <c r="B90" t="s">
        <v>197</v>
      </c>
      <c r="C90" t="s">
        <v>196</v>
      </c>
      <c r="D90" t="s">
        <v>21</v>
      </c>
      <c r="E90" t="s">
        <v>25</v>
      </c>
      <c r="G90" s="2">
        <v>45686.333333333336</v>
      </c>
      <c r="H90" s="2">
        <v>47330.333333333336</v>
      </c>
      <c r="I90" t="s">
        <v>198</v>
      </c>
      <c r="J90" t="s">
        <v>1698</v>
      </c>
      <c r="K90" t="s">
        <v>190</v>
      </c>
    </row>
    <row r="91" spans="1:11">
      <c r="A91" t="s">
        <v>190</v>
      </c>
      <c r="B91" t="s">
        <v>1715</v>
      </c>
      <c r="C91" t="s">
        <v>1716</v>
      </c>
      <c r="D91" t="s">
        <v>21</v>
      </c>
      <c r="E91" t="s">
        <v>22</v>
      </c>
      <c r="F91">
        <v>0</v>
      </c>
      <c r="G91" s="2">
        <v>46150.416666666664</v>
      </c>
      <c r="H91" s="2">
        <v>46150.520833333336</v>
      </c>
      <c r="I91" s="1">
        <v>46153</v>
      </c>
      <c r="J91" t="s">
        <v>1698</v>
      </c>
      <c r="K91" t="s">
        <v>190</v>
      </c>
    </row>
    <row r="92" spans="1:11">
      <c r="A92" t="s">
        <v>190</v>
      </c>
      <c r="B92" t="s">
        <v>204</v>
      </c>
      <c r="C92" t="s">
        <v>1083</v>
      </c>
      <c r="D92" t="s">
        <v>21</v>
      </c>
      <c r="E92" t="s">
        <v>22</v>
      </c>
      <c r="F92">
        <v>86</v>
      </c>
      <c r="G92" s="2">
        <v>45805.395833333336</v>
      </c>
      <c r="H92" s="2">
        <v>45805.729166666664</v>
      </c>
      <c r="I92" s="1">
        <v>46162</v>
      </c>
      <c r="J92" t="s">
        <v>1698</v>
      </c>
      <c r="K92" t="s">
        <v>190</v>
      </c>
    </row>
    <row r="93" spans="1:11">
      <c r="A93" t="s">
        <v>190</v>
      </c>
      <c r="B93" t="s">
        <v>1085</v>
      </c>
      <c r="C93" t="s">
        <v>1086</v>
      </c>
      <c r="D93" t="s">
        <v>21</v>
      </c>
      <c r="E93" t="s">
        <v>22</v>
      </c>
      <c r="F93">
        <v>7</v>
      </c>
      <c r="G93" s="2">
        <v>46295.583333333336</v>
      </c>
      <c r="H93" s="2">
        <v>46295.729166666664</v>
      </c>
      <c r="I93" s="1">
        <v>46163</v>
      </c>
      <c r="J93" t="s">
        <v>1698</v>
      </c>
      <c r="K93" t="s">
        <v>190</v>
      </c>
    </row>
    <row r="94" spans="1:11">
      <c r="A94" t="s">
        <v>190</v>
      </c>
      <c r="B94" t="s">
        <v>1298</v>
      </c>
      <c r="C94" t="s">
        <v>215</v>
      </c>
      <c r="D94" t="s">
        <v>21</v>
      </c>
      <c r="E94" t="s">
        <v>25</v>
      </c>
      <c r="G94" s="2">
        <v>45729.333333333336</v>
      </c>
      <c r="H94" s="2">
        <v>47330.333333333336</v>
      </c>
      <c r="I94" t="s">
        <v>198</v>
      </c>
      <c r="J94" t="s">
        <v>1698</v>
      </c>
      <c r="K94" t="s">
        <v>190</v>
      </c>
    </row>
    <row r="95" spans="1:11">
      <c r="A95" t="s">
        <v>190</v>
      </c>
      <c r="B95" t="s">
        <v>218</v>
      </c>
      <c r="C95" t="s">
        <v>217</v>
      </c>
      <c r="D95" t="s">
        <v>21</v>
      </c>
      <c r="E95" t="s">
        <v>22</v>
      </c>
      <c r="F95">
        <v>20</v>
      </c>
      <c r="G95" s="2">
        <v>46175.625</v>
      </c>
      <c r="H95" s="2">
        <v>46175.65625</v>
      </c>
      <c r="I95" s="1">
        <v>46160</v>
      </c>
      <c r="J95" t="s">
        <v>1698</v>
      </c>
      <c r="K95" t="s">
        <v>190</v>
      </c>
    </row>
    <row r="96" spans="1:11">
      <c r="A96" t="s">
        <v>190</v>
      </c>
      <c r="B96" t="s">
        <v>1088</v>
      </c>
      <c r="C96" t="s">
        <v>237</v>
      </c>
      <c r="D96" t="s">
        <v>21</v>
      </c>
      <c r="E96" t="s">
        <v>22</v>
      </c>
      <c r="F96">
        <v>4</v>
      </c>
      <c r="G96" s="2">
        <v>46223.395833333336</v>
      </c>
      <c r="H96" s="2">
        <v>46223.479166666664</v>
      </c>
      <c r="I96" s="1">
        <v>46162</v>
      </c>
      <c r="J96" t="s">
        <v>1698</v>
      </c>
      <c r="K96" t="s">
        <v>190</v>
      </c>
    </row>
    <row r="97" spans="1:11">
      <c r="A97" t="s">
        <v>190</v>
      </c>
      <c r="B97" t="s">
        <v>33</v>
      </c>
      <c r="C97" t="s">
        <v>1717</v>
      </c>
      <c r="D97" t="s">
        <v>21</v>
      </c>
      <c r="E97" t="s">
        <v>25</v>
      </c>
      <c r="G97" s="2">
        <v>45489.333333333336</v>
      </c>
      <c r="H97" s="2">
        <v>47325.333333333336</v>
      </c>
      <c r="I97" t="s">
        <v>198</v>
      </c>
      <c r="J97" t="s">
        <v>1698</v>
      </c>
      <c r="K97" t="s">
        <v>190</v>
      </c>
    </row>
    <row r="98" spans="1:11">
      <c r="A98" t="s">
        <v>190</v>
      </c>
      <c r="B98" t="s">
        <v>228</v>
      </c>
      <c r="C98" t="s">
        <v>227</v>
      </c>
      <c r="D98" t="s">
        <v>21</v>
      </c>
      <c r="E98" t="s">
        <v>22</v>
      </c>
      <c r="F98">
        <v>23</v>
      </c>
      <c r="G98" s="2">
        <v>46335.5625</v>
      </c>
      <c r="H98" s="2">
        <v>46335.708333333336</v>
      </c>
      <c r="I98" s="1">
        <v>46159</v>
      </c>
      <c r="J98" t="s">
        <v>1698</v>
      </c>
      <c r="K98" t="s">
        <v>190</v>
      </c>
    </row>
    <row r="99" spans="1:11">
      <c r="A99" t="s">
        <v>190</v>
      </c>
      <c r="B99" t="s">
        <v>232</v>
      </c>
      <c r="C99" t="s">
        <v>231</v>
      </c>
      <c r="D99" t="s">
        <v>38</v>
      </c>
      <c r="I99" s="1">
        <v>46162</v>
      </c>
      <c r="K99" t="s">
        <v>190</v>
      </c>
    </row>
    <row r="100" spans="1:11">
      <c r="A100" t="s">
        <v>190</v>
      </c>
      <c r="B100" t="s">
        <v>236</v>
      </c>
      <c r="C100" t="s">
        <v>235</v>
      </c>
      <c r="D100" t="s">
        <v>21</v>
      </c>
      <c r="E100" t="s">
        <v>25</v>
      </c>
      <c r="G100" s="2">
        <v>45729.333333333336</v>
      </c>
      <c r="H100" s="2">
        <v>47330.333333333336</v>
      </c>
      <c r="I100" t="s">
        <v>198</v>
      </c>
      <c r="J100" t="s">
        <v>1698</v>
      </c>
      <c r="K100" t="s">
        <v>190</v>
      </c>
    </row>
    <row r="101" spans="1:11">
      <c r="A101" t="s">
        <v>190</v>
      </c>
      <c r="B101" t="s">
        <v>240</v>
      </c>
      <c r="C101" t="s">
        <v>239</v>
      </c>
      <c r="D101" t="s">
        <v>21</v>
      </c>
      <c r="E101" t="s">
        <v>22</v>
      </c>
      <c r="F101">
        <v>36</v>
      </c>
      <c r="G101" s="2">
        <v>45985.395833333336</v>
      </c>
      <c r="H101" s="2">
        <v>45985.708333333336</v>
      </c>
      <c r="I101" s="1">
        <v>46162</v>
      </c>
      <c r="J101" t="s">
        <v>1698</v>
      </c>
      <c r="K101" t="s">
        <v>190</v>
      </c>
    </row>
    <row r="102" spans="1:11">
      <c r="A102" t="s">
        <v>190</v>
      </c>
      <c r="B102" t="s">
        <v>1718</v>
      </c>
      <c r="C102" t="s">
        <v>1719</v>
      </c>
      <c r="D102" t="s">
        <v>21</v>
      </c>
      <c r="E102" t="s">
        <v>25</v>
      </c>
      <c r="G102" s="2">
        <v>45489.333333333336</v>
      </c>
      <c r="H102" s="2">
        <v>47325.333333333336</v>
      </c>
      <c r="I102" t="s">
        <v>198</v>
      </c>
      <c r="J102" t="s">
        <v>1698</v>
      </c>
      <c r="K102" t="s">
        <v>190</v>
      </c>
    </row>
    <row r="103" spans="1:11">
      <c r="A103" t="s">
        <v>190</v>
      </c>
      <c r="B103" t="s">
        <v>242</v>
      </c>
      <c r="C103" t="s">
        <v>241</v>
      </c>
      <c r="D103" t="s">
        <v>21</v>
      </c>
      <c r="E103" t="s">
        <v>22</v>
      </c>
      <c r="F103">
        <v>25</v>
      </c>
      <c r="G103" s="2">
        <v>46356.583333333336</v>
      </c>
      <c r="H103" s="2">
        <v>46356.729166666664</v>
      </c>
      <c r="I103" s="1">
        <v>46163</v>
      </c>
      <c r="J103" t="s">
        <v>1698</v>
      </c>
      <c r="K103" t="s">
        <v>190</v>
      </c>
    </row>
    <row r="104" spans="1:11">
      <c r="A104" t="s">
        <v>190</v>
      </c>
      <c r="B104" t="s">
        <v>244</v>
      </c>
      <c r="C104" t="s">
        <v>243</v>
      </c>
      <c r="D104" t="s">
        <v>21</v>
      </c>
      <c r="E104" t="s">
        <v>22</v>
      </c>
      <c r="F104">
        <v>40</v>
      </c>
      <c r="G104" s="2">
        <v>46272.583333333336</v>
      </c>
      <c r="H104" s="2">
        <v>46272.75</v>
      </c>
      <c r="I104" s="1">
        <v>46163</v>
      </c>
      <c r="J104" t="s">
        <v>1698</v>
      </c>
      <c r="K104" t="s">
        <v>190</v>
      </c>
    </row>
    <row r="105" spans="1:11">
      <c r="A105" t="s">
        <v>190</v>
      </c>
      <c r="B105" t="s">
        <v>246</v>
      </c>
      <c r="C105" t="s">
        <v>245</v>
      </c>
      <c r="D105" t="s">
        <v>21</v>
      </c>
      <c r="E105" t="s">
        <v>22</v>
      </c>
      <c r="F105">
        <v>19</v>
      </c>
      <c r="G105" s="2">
        <v>46202.395833333336</v>
      </c>
      <c r="H105" s="2">
        <v>46202.729166666664</v>
      </c>
      <c r="I105" s="1">
        <v>46153</v>
      </c>
      <c r="J105" t="s">
        <v>1698</v>
      </c>
      <c r="K105" t="s">
        <v>190</v>
      </c>
    </row>
    <row r="106" spans="1:11">
      <c r="A106" t="s">
        <v>190</v>
      </c>
      <c r="B106" t="s">
        <v>246</v>
      </c>
      <c r="C106" t="s">
        <v>247</v>
      </c>
      <c r="D106" t="s">
        <v>21</v>
      </c>
      <c r="E106" t="s">
        <v>25</v>
      </c>
      <c r="G106" s="2">
        <v>46324.375</v>
      </c>
      <c r="H106" s="2">
        <v>46324.708333333336</v>
      </c>
      <c r="I106" t="s">
        <v>198</v>
      </c>
      <c r="J106" t="s">
        <v>1698</v>
      </c>
      <c r="K106" t="s">
        <v>190</v>
      </c>
    </row>
    <row r="107" spans="1:11">
      <c r="A107" t="s">
        <v>190</v>
      </c>
      <c r="B107" t="s">
        <v>251</v>
      </c>
      <c r="C107" t="s">
        <v>250</v>
      </c>
      <c r="D107" t="s">
        <v>21</v>
      </c>
      <c r="E107" t="s">
        <v>22</v>
      </c>
      <c r="F107">
        <v>24</v>
      </c>
      <c r="G107" s="2">
        <v>46344.375</v>
      </c>
      <c r="H107" s="2">
        <v>46344.708333333336</v>
      </c>
      <c r="I107" s="1">
        <v>46163</v>
      </c>
      <c r="J107" t="s">
        <v>1698</v>
      </c>
      <c r="K107" t="s">
        <v>190</v>
      </c>
    </row>
    <row r="108" spans="1:11">
      <c r="A108" t="s">
        <v>255</v>
      </c>
      <c r="B108" t="s">
        <v>1093</v>
      </c>
      <c r="C108" t="s">
        <v>1094</v>
      </c>
      <c r="D108" t="s">
        <v>21</v>
      </c>
      <c r="E108" t="s">
        <v>22</v>
      </c>
      <c r="F108">
        <v>13</v>
      </c>
      <c r="G108" s="2">
        <v>46197.458333333336</v>
      </c>
      <c r="H108" s="2">
        <v>46197.5</v>
      </c>
      <c r="I108" s="1">
        <v>46163</v>
      </c>
      <c r="J108" t="s">
        <v>1698</v>
      </c>
      <c r="K108" t="s">
        <v>1720</v>
      </c>
    </row>
    <row r="109" spans="1:11">
      <c r="A109" t="s">
        <v>255</v>
      </c>
      <c r="B109" t="s">
        <v>256</v>
      </c>
      <c r="C109" t="s">
        <v>254</v>
      </c>
      <c r="D109" t="s">
        <v>21</v>
      </c>
      <c r="E109" t="s">
        <v>22</v>
      </c>
      <c r="F109">
        <v>8</v>
      </c>
      <c r="G109" s="2">
        <v>45826.375</v>
      </c>
      <c r="H109" s="2">
        <v>45826.520833333336</v>
      </c>
      <c r="I109" s="1">
        <v>46162</v>
      </c>
      <c r="J109" t="s">
        <v>1698</v>
      </c>
      <c r="K109" t="s">
        <v>1720</v>
      </c>
    </row>
    <row r="110" spans="1:11">
      <c r="A110" t="s">
        <v>255</v>
      </c>
      <c r="B110" t="s">
        <v>258</v>
      </c>
      <c r="C110" t="s">
        <v>257</v>
      </c>
      <c r="D110" t="s">
        <v>21</v>
      </c>
      <c r="E110" t="s">
        <v>22</v>
      </c>
      <c r="F110">
        <v>5</v>
      </c>
      <c r="G110" s="2">
        <v>45912.375</v>
      </c>
      <c r="H110" s="2">
        <v>45912.520833333336</v>
      </c>
      <c r="I110" s="1">
        <v>46147</v>
      </c>
      <c r="J110" t="s">
        <v>1698</v>
      </c>
      <c r="K110" t="s">
        <v>1720</v>
      </c>
    </row>
    <row r="111" spans="1:11">
      <c r="A111" t="s">
        <v>255</v>
      </c>
      <c r="B111" t="s">
        <v>260</v>
      </c>
      <c r="C111" t="s">
        <v>259</v>
      </c>
      <c r="D111" t="s">
        <v>21</v>
      </c>
      <c r="E111" t="s">
        <v>22</v>
      </c>
      <c r="F111">
        <v>11</v>
      </c>
      <c r="G111" s="2">
        <v>45915.375</v>
      </c>
      <c r="H111" s="2">
        <v>45915.520833333336</v>
      </c>
      <c r="I111" s="1">
        <v>46162</v>
      </c>
      <c r="J111" t="s">
        <v>1698</v>
      </c>
      <c r="K111" t="s">
        <v>1720</v>
      </c>
    </row>
    <row r="112" spans="1:11">
      <c r="A112" t="s">
        <v>255</v>
      </c>
      <c r="B112" t="s">
        <v>262</v>
      </c>
      <c r="C112" t="s">
        <v>261</v>
      </c>
      <c r="D112" t="s">
        <v>21</v>
      </c>
      <c r="E112" t="s">
        <v>22</v>
      </c>
      <c r="F112">
        <v>31</v>
      </c>
      <c r="G112" s="2">
        <v>45911.375</v>
      </c>
      <c r="H112" s="2">
        <v>45911.520833333336</v>
      </c>
      <c r="I112" s="1">
        <v>46147</v>
      </c>
      <c r="J112" t="s">
        <v>1698</v>
      </c>
      <c r="K112" t="s">
        <v>1720</v>
      </c>
    </row>
    <row r="113" spans="1:11">
      <c r="A113" t="s">
        <v>255</v>
      </c>
      <c r="B113" t="s">
        <v>1721</v>
      </c>
      <c r="C113" t="s">
        <v>263</v>
      </c>
      <c r="D113" t="s">
        <v>21</v>
      </c>
      <c r="E113" t="s">
        <v>22</v>
      </c>
      <c r="F113">
        <v>32</v>
      </c>
      <c r="G113" s="2">
        <v>45908.375</v>
      </c>
      <c r="H113" s="2">
        <v>45908.520833333336</v>
      </c>
      <c r="I113" s="1">
        <v>46104</v>
      </c>
      <c r="J113" t="s">
        <v>1698</v>
      </c>
      <c r="K113" t="s">
        <v>1720</v>
      </c>
    </row>
    <row r="114" spans="1:11">
      <c r="A114" t="s">
        <v>255</v>
      </c>
      <c r="B114" t="s">
        <v>1722</v>
      </c>
      <c r="C114" t="s">
        <v>265</v>
      </c>
      <c r="D114" t="s">
        <v>21</v>
      </c>
      <c r="E114" t="s">
        <v>22</v>
      </c>
      <c r="F114">
        <v>15</v>
      </c>
      <c r="G114" s="2">
        <v>45909.375</v>
      </c>
      <c r="H114" s="2">
        <v>45909.520833333336</v>
      </c>
      <c r="I114" s="1">
        <v>46146</v>
      </c>
      <c r="J114" t="s">
        <v>1698</v>
      </c>
      <c r="K114" t="s">
        <v>1720</v>
      </c>
    </row>
    <row r="115" spans="1:11">
      <c r="A115" t="s">
        <v>255</v>
      </c>
      <c r="B115" t="s">
        <v>268</v>
      </c>
      <c r="C115" t="s">
        <v>267</v>
      </c>
      <c r="D115" t="s">
        <v>21</v>
      </c>
      <c r="E115" t="s">
        <v>22</v>
      </c>
      <c r="F115">
        <v>32</v>
      </c>
      <c r="G115" s="2">
        <v>45905.375</v>
      </c>
      <c r="H115" s="2">
        <v>45905.520833333336</v>
      </c>
      <c r="I115" s="1">
        <v>46134</v>
      </c>
      <c r="J115" t="s">
        <v>1698</v>
      </c>
      <c r="K115" t="s">
        <v>1720</v>
      </c>
    </row>
    <row r="116" spans="1:11">
      <c r="A116" t="s">
        <v>255</v>
      </c>
      <c r="B116" t="s">
        <v>270</v>
      </c>
      <c r="C116" t="s">
        <v>269</v>
      </c>
      <c r="D116" t="s">
        <v>21</v>
      </c>
      <c r="E116" t="s">
        <v>22</v>
      </c>
      <c r="F116">
        <v>46</v>
      </c>
      <c r="G116" s="2">
        <v>45903.375</v>
      </c>
      <c r="H116" s="2">
        <v>45903.520833333336</v>
      </c>
      <c r="I116" s="1">
        <v>46147</v>
      </c>
      <c r="J116" t="s">
        <v>1698</v>
      </c>
      <c r="K116" t="s">
        <v>1720</v>
      </c>
    </row>
    <row r="117" spans="1:11">
      <c r="A117" t="s">
        <v>255</v>
      </c>
      <c r="B117" t="s">
        <v>272</v>
      </c>
      <c r="C117" t="s">
        <v>271</v>
      </c>
      <c r="D117" t="s">
        <v>21</v>
      </c>
      <c r="E117" t="s">
        <v>22</v>
      </c>
      <c r="F117">
        <v>107</v>
      </c>
      <c r="G117" s="2">
        <v>46185.416666666664</v>
      </c>
      <c r="H117" s="2">
        <v>46185.479166666664</v>
      </c>
      <c r="I117" s="1">
        <v>46162</v>
      </c>
      <c r="J117" t="s">
        <v>1698</v>
      </c>
      <c r="K117" t="s">
        <v>1720</v>
      </c>
    </row>
    <row r="118" spans="1:11">
      <c r="A118" t="s">
        <v>255</v>
      </c>
      <c r="B118" t="s">
        <v>274</v>
      </c>
      <c r="C118" t="s">
        <v>273</v>
      </c>
      <c r="D118" t="s">
        <v>21</v>
      </c>
      <c r="E118" t="s">
        <v>22</v>
      </c>
      <c r="F118">
        <v>77</v>
      </c>
      <c r="G118" s="2">
        <v>46308.416666666664</v>
      </c>
      <c r="H118" s="2">
        <v>46308.479166666664</v>
      </c>
      <c r="I118" s="1">
        <v>46161</v>
      </c>
      <c r="J118" t="s">
        <v>1698</v>
      </c>
      <c r="K118" t="s">
        <v>1720</v>
      </c>
    </row>
    <row r="119" spans="1:11">
      <c r="A119" t="s">
        <v>255</v>
      </c>
      <c r="B119" t="s">
        <v>276</v>
      </c>
      <c r="C119" t="s">
        <v>275</v>
      </c>
      <c r="D119" t="s">
        <v>21</v>
      </c>
      <c r="E119" t="s">
        <v>22</v>
      </c>
      <c r="F119">
        <v>63</v>
      </c>
      <c r="G119" s="2">
        <v>46315.416666666664</v>
      </c>
      <c r="H119" s="2">
        <v>46315.479166666664</v>
      </c>
      <c r="I119" s="1">
        <v>46149</v>
      </c>
      <c r="J119" t="s">
        <v>1698</v>
      </c>
      <c r="K119" t="s">
        <v>1720</v>
      </c>
    </row>
    <row r="120" spans="1:11">
      <c r="A120" t="s">
        <v>255</v>
      </c>
      <c r="B120" t="s">
        <v>278</v>
      </c>
      <c r="C120" t="s">
        <v>277</v>
      </c>
      <c r="D120" t="s">
        <v>21</v>
      </c>
      <c r="E120" t="s">
        <v>22</v>
      </c>
      <c r="F120">
        <v>54</v>
      </c>
      <c r="G120" s="2">
        <v>46336.416666666664</v>
      </c>
      <c r="H120" s="2">
        <v>46336.479166666664</v>
      </c>
      <c r="I120" s="1">
        <v>46163</v>
      </c>
      <c r="J120" t="s">
        <v>1698</v>
      </c>
      <c r="K120" t="s">
        <v>1720</v>
      </c>
    </row>
    <row r="121" spans="1:11">
      <c r="A121" t="s">
        <v>255</v>
      </c>
      <c r="B121" t="s">
        <v>280</v>
      </c>
      <c r="C121" t="s">
        <v>279</v>
      </c>
      <c r="D121" t="s">
        <v>38</v>
      </c>
      <c r="I121" s="1">
        <v>46161</v>
      </c>
      <c r="K121" t="s">
        <v>1720</v>
      </c>
    </row>
    <row r="122" spans="1:11">
      <c r="A122" t="s">
        <v>255</v>
      </c>
      <c r="B122" t="s">
        <v>282</v>
      </c>
      <c r="C122" t="s">
        <v>281</v>
      </c>
      <c r="D122" t="s">
        <v>21</v>
      </c>
      <c r="E122" t="s">
        <v>22</v>
      </c>
      <c r="F122">
        <v>126</v>
      </c>
      <c r="G122" s="2">
        <v>45896.375</v>
      </c>
      <c r="H122" s="2">
        <v>45896.520833333336</v>
      </c>
      <c r="I122" s="1">
        <v>46161</v>
      </c>
      <c r="J122" t="s">
        <v>1698</v>
      </c>
      <c r="K122" t="s">
        <v>1720</v>
      </c>
    </row>
    <row r="123" spans="1:11">
      <c r="A123" t="s">
        <v>255</v>
      </c>
      <c r="B123" t="s">
        <v>284</v>
      </c>
      <c r="C123" t="s">
        <v>283</v>
      </c>
      <c r="D123" t="s">
        <v>21</v>
      </c>
      <c r="E123" t="s">
        <v>22</v>
      </c>
      <c r="F123">
        <v>13</v>
      </c>
      <c r="G123" s="2">
        <v>45904.458333333336</v>
      </c>
      <c r="H123" s="2">
        <v>45904.5</v>
      </c>
      <c r="I123" s="1">
        <v>46007</v>
      </c>
      <c r="J123" t="s">
        <v>1698</v>
      </c>
      <c r="K123" t="s">
        <v>1720</v>
      </c>
    </row>
    <row r="124" spans="1:11">
      <c r="A124" t="s">
        <v>255</v>
      </c>
      <c r="B124" t="s">
        <v>286</v>
      </c>
      <c r="C124" t="s">
        <v>285</v>
      </c>
      <c r="D124" t="s">
        <v>21</v>
      </c>
      <c r="E124" t="s">
        <v>22</v>
      </c>
      <c r="F124">
        <v>50</v>
      </c>
      <c r="G124" s="2">
        <v>45898.375</v>
      </c>
      <c r="H124" s="2">
        <v>45898.520833333336</v>
      </c>
      <c r="I124" s="1">
        <v>46104</v>
      </c>
      <c r="J124" t="s">
        <v>1698</v>
      </c>
      <c r="K124" t="s">
        <v>1720</v>
      </c>
    </row>
    <row r="125" spans="1:11">
      <c r="A125" t="s">
        <v>288</v>
      </c>
      <c r="B125" t="s">
        <v>289</v>
      </c>
      <c r="C125" t="s">
        <v>287</v>
      </c>
      <c r="D125" t="s">
        <v>21</v>
      </c>
      <c r="E125" t="s">
        <v>22</v>
      </c>
      <c r="F125">
        <v>47</v>
      </c>
      <c r="G125" s="2">
        <v>46202.375</v>
      </c>
      <c r="H125" s="2">
        <v>46202.708333333336</v>
      </c>
      <c r="I125" s="1">
        <v>46162</v>
      </c>
      <c r="J125" t="s">
        <v>1698</v>
      </c>
      <c r="K125" t="s">
        <v>1720</v>
      </c>
    </row>
    <row r="126" spans="1:11">
      <c r="A126" t="s">
        <v>288</v>
      </c>
      <c r="B126" t="s">
        <v>291</v>
      </c>
      <c r="C126" t="s">
        <v>290</v>
      </c>
      <c r="D126" t="s">
        <v>21</v>
      </c>
      <c r="E126" t="s">
        <v>22</v>
      </c>
      <c r="F126">
        <v>12</v>
      </c>
      <c r="G126" s="2">
        <v>46203.375</v>
      </c>
      <c r="H126" s="2">
        <v>46205.708333333336</v>
      </c>
      <c r="I126" s="1">
        <v>46160</v>
      </c>
      <c r="J126" t="s">
        <v>1698</v>
      </c>
      <c r="K126" t="s">
        <v>1720</v>
      </c>
    </row>
    <row r="127" spans="1:11">
      <c r="A127" t="s">
        <v>293</v>
      </c>
      <c r="B127" t="s">
        <v>300</v>
      </c>
      <c r="C127" t="s">
        <v>299</v>
      </c>
      <c r="D127" t="s">
        <v>16</v>
      </c>
      <c r="G127" t="s">
        <v>17</v>
      </c>
      <c r="I127" s="1">
        <v>46161</v>
      </c>
      <c r="J127" t="s">
        <v>1698</v>
      </c>
      <c r="K127" t="s">
        <v>1720</v>
      </c>
    </row>
    <row r="128" spans="1:11">
      <c r="A128" t="s">
        <v>293</v>
      </c>
      <c r="B128" t="s">
        <v>302</v>
      </c>
      <c r="C128" t="s">
        <v>301</v>
      </c>
      <c r="D128" t="s">
        <v>16</v>
      </c>
      <c r="G128" t="s">
        <v>17</v>
      </c>
      <c r="I128" s="1">
        <v>46094</v>
      </c>
      <c r="J128" t="s">
        <v>1698</v>
      </c>
      <c r="K128" t="s">
        <v>1720</v>
      </c>
    </row>
    <row r="129" spans="1:11">
      <c r="A129" t="s">
        <v>293</v>
      </c>
      <c r="B129" t="s">
        <v>306</v>
      </c>
      <c r="C129" t="s">
        <v>305</v>
      </c>
      <c r="D129" t="s">
        <v>16</v>
      </c>
      <c r="G129" t="s">
        <v>17</v>
      </c>
      <c r="I129" s="1">
        <v>46162</v>
      </c>
      <c r="J129" t="s">
        <v>1698</v>
      </c>
      <c r="K129" t="s">
        <v>1720</v>
      </c>
    </row>
    <row r="130" spans="1:11">
      <c r="A130" t="s">
        <v>293</v>
      </c>
      <c r="B130" t="s">
        <v>294</v>
      </c>
      <c r="C130" t="s">
        <v>292</v>
      </c>
      <c r="D130" t="s">
        <v>21</v>
      </c>
      <c r="E130" t="s">
        <v>22</v>
      </c>
      <c r="F130">
        <v>21</v>
      </c>
      <c r="G130" s="2">
        <v>46184.458333333336</v>
      </c>
      <c r="H130" s="2">
        <v>46184.5</v>
      </c>
      <c r="I130" s="1">
        <v>46163</v>
      </c>
      <c r="J130" t="s">
        <v>1698</v>
      </c>
      <c r="K130" t="s">
        <v>1720</v>
      </c>
    </row>
    <row r="131" spans="1:11">
      <c r="A131" t="s">
        <v>293</v>
      </c>
      <c r="B131" t="s">
        <v>296</v>
      </c>
      <c r="C131" t="s">
        <v>295</v>
      </c>
      <c r="D131" t="s">
        <v>21</v>
      </c>
      <c r="E131" t="s">
        <v>25</v>
      </c>
      <c r="I131" s="1">
        <v>46161</v>
      </c>
      <c r="J131" t="s">
        <v>1698</v>
      </c>
      <c r="K131" t="s">
        <v>1720</v>
      </c>
    </row>
    <row r="132" spans="1:11">
      <c r="A132" t="s">
        <v>293</v>
      </c>
      <c r="B132" t="s">
        <v>298</v>
      </c>
      <c r="C132" t="s">
        <v>297</v>
      </c>
      <c r="D132" t="s">
        <v>38</v>
      </c>
      <c r="I132" s="1">
        <v>46162</v>
      </c>
      <c r="K132" t="s">
        <v>1720</v>
      </c>
    </row>
    <row r="133" spans="1:11">
      <c r="A133" t="s">
        <v>293</v>
      </c>
      <c r="B133" t="s">
        <v>1723</v>
      </c>
      <c r="C133" t="s">
        <v>1724</v>
      </c>
      <c r="D133" t="s">
        <v>21</v>
      </c>
      <c r="E133" t="s">
        <v>22</v>
      </c>
      <c r="F133">
        <v>0</v>
      </c>
      <c r="G133" s="2">
        <v>46149.416666666664</v>
      </c>
      <c r="H133" s="2">
        <v>46149.5</v>
      </c>
      <c r="I133" s="1">
        <v>46149</v>
      </c>
      <c r="J133" t="s">
        <v>1698</v>
      </c>
      <c r="K133" t="s">
        <v>1720</v>
      </c>
    </row>
    <row r="134" spans="1:11">
      <c r="A134" t="s">
        <v>293</v>
      </c>
      <c r="B134" t="s">
        <v>1725</v>
      </c>
      <c r="C134" t="s">
        <v>1726</v>
      </c>
      <c r="D134" t="s">
        <v>21</v>
      </c>
      <c r="E134" t="s">
        <v>22</v>
      </c>
      <c r="F134">
        <v>1</v>
      </c>
      <c r="I134" s="1">
        <v>46163</v>
      </c>
      <c r="J134" t="s">
        <v>1698</v>
      </c>
      <c r="K134" t="s">
        <v>1720</v>
      </c>
    </row>
    <row r="135" spans="1:11">
      <c r="A135" t="s">
        <v>293</v>
      </c>
      <c r="B135" t="s">
        <v>304</v>
      </c>
      <c r="C135" t="s">
        <v>303</v>
      </c>
      <c r="D135" t="s">
        <v>21</v>
      </c>
      <c r="E135" t="s">
        <v>22</v>
      </c>
      <c r="F135">
        <v>99</v>
      </c>
      <c r="G135" s="2">
        <v>46190.5625</v>
      </c>
      <c r="H135" s="2">
        <v>46191.5</v>
      </c>
      <c r="I135" s="1">
        <v>46163</v>
      </c>
      <c r="J135" t="s">
        <v>1698</v>
      </c>
      <c r="K135" t="s">
        <v>1720</v>
      </c>
    </row>
    <row r="136" spans="1:11">
      <c r="A136" t="s">
        <v>293</v>
      </c>
      <c r="B136" t="s">
        <v>1727</v>
      </c>
      <c r="C136" t="s">
        <v>1728</v>
      </c>
      <c r="D136" t="s">
        <v>21</v>
      </c>
      <c r="E136" t="s">
        <v>22</v>
      </c>
      <c r="F136">
        <v>2</v>
      </c>
      <c r="G136" s="2">
        <v>46135.416666666664</v>
      </c>
      <c r="H136" s="2">
        <v>46135.5</v>
      </c>
      <c r="I136" s="1">
        <v>46142</v>
      </c>
      <c r="J136" t="s">
        <v>1698</v>
      </c>
      <c r="K136" t="s">
        <v>1720</v>
      </c>
    </row>
    <row r="137" spans="1:11">
      <c r="A137" t="s">
        <v>308</v>
      </c>
      <c r="B137" t="s">
        <v>309</v>
      </c>
      <c r="C137" t="s">
        <v>307</v>
      </c>
      <c r="D137" t="s">
        <v>21</v>
      </c>
      <c r="E137" t="s">
        <v>22</v>
      </c>
      <c r="F137">
        <v>5</v>
      </c>
      <c r="G137" s="2">
        <v>46203.375</v>
      </c>
      <c r="H137" s="2">
        <v>46203.541666666664</v>
      </c>
      <c r="I137" s="1">
        <v>46152</v>
      </c>
      <c r="J137" t="s">
        <v>1698</v>
      </c>
      <c r="K137" t="s">
        <v>1720</v>
      </c>
    </row>
    <row r="138" spans="1:11">
      <c r="A138" t="s">
        <v>313</v>
      </c>
      <c r="B138" t="s">
        <v>316</v>
      </c>
      <c r="C138" t="s">
        <v>315</v>
      </c>
      <c r="D138" t="s">
        <v>16</v>
      </c>
      <c r="G138" t="s">
        <v>17</v>
      </c>
      <c r="I138" s="1">
        <v>46155</v>
      </c>
      <c r="J138" t="s">
        <v>1698</v>
      </c>
      <c r="K138" t="s">
        <v>1720</v>
      </c>
    </row>
    <row r="139" spans="1:11">
      <c r="A139" t="s">
        <v>322</v>
      </c>
      <c r="B139" t="s">
        <v>323</v>
      </c>
      <c r="C139" t="s">
        <v>321</v>
      </c>
      <c r="D139" t="s">
        <v>21</v>
      </c>
      <c r="E139" t="s">
        <v>22</v>
      </c>
      <c r="F139">
        <v>57</v>
      </c>
      <c r="G139" s="2">
        <v>45679.375</v>
      </c>
      <c r="H139" s="2">
        <v>45679.708333333336</v>
      </c>
      <c r="I139" s="1">
        <v>46079</v>
      </c>
      <c r="J139" t="s">
        <v>1729</v>
      </c>
      <c r="K139" t="s">
        <v>1720</v>
      </c>
    </row>
    <row r="140" spans="1:11">
      <c r="A140" t="s">
        <v>324</v>
      </c>
      <c r="B140" t="s">
        <v>337</v>
      </c>
      <c r="C140" t="s">
        <v>336</v>
      </c>
      <c r="D140" t="s">
        <v>16</v>
      </c>
      <c r="G140" t="s">
        <v>17</v>
      </c>
      <c r="I140" s="1">
        <v>46163</v>
      </c>
      <c r="J140" t="s">
        <v>1698</v>
      </c>
      <c r="K140" t="s">
        <v>1720</v>
      </c>
    </row>
    <row r="141" spans="1:11">
      <c r="A141" t="s">
        <v>324</v>
      </c>
      <c r="B141" t="s">
        <v>325</v>
      </c>
      <c r="D141" t="s">
        <v>76</v>
      </c>
      <c r="K141" t="s">
        <v>1720</v>
      </c>
    </row>
    <row r="142" spans="1:11">
      <c r="A142" t="s">
        <v>324</v>
      </c>
      <c r="B142" t="s">
        <v>327</v>
      </c>
      <c r="C142" t="s">
        <v>326</v>
      </c>
      <c r="D142" t="s">
        <v>21</v>
      </c>
      <c r="E142" t="s">
        <v>22</v>
      </c>
      <c r="F142">
        <v>20</v>
      </c>
      <c r="G142" s="2">
        <v>46126.395833333336</v>
      </c>
      <c r="H142" s="2">
        <v>46126.458333333336</v>
      </c>
      <c r="I142" s="1">
        <v>46163</v>
      </c>
      <c r="J142" t="s">
        <v>1698</v>
      </c>
      <c r="K142" t="s">
        <v>1720</v>
      </c>
    </row>
    <row r="143" spans="1:11">
      <c r="A143" t="s">
        <v>324</v>
      </c>
      <c r="B143" t="s">
        <v>329</v>
      </c>
      <c r="C143" t="s">
        <v>328</v>
      </c>
      <c r="D143" t="s">
        <v>38</v>
      </c>
      <c r="I143" s="1">
        <v>46155</v>
      </c>
      <c r="K143" t="s">
        <v>1720</v>
      </c>
    </row>
    <row r="144" spans="1:11">
      <c r="A144" t="s">
        <v>324</v>
      </c>
      <c r="B144" t="s">
        <v>330</v>
      </c>
      <c r="D144" t="s">
        <v>76</v>
      </c>
      <c r="K144" t="s">
        <v>1720</v>
      </c>
    </row>
    <row r="145" spans="1:11">
      <c r="A145" t="s">
        <v>324</v>
      </c>
      <c r="B145" t="s">
        <v>332</v>
      </c>
      <c r="C145" t="s">
        <v>331</v>
      </c>
      <c r="D145" t="s">
        <v>21</v>
      </c>
      <c r="E145" t="s">
        <v>22</v>
      </c>
      <c r="F145">
        <v>43</v>
      </c>
      <c r="G145" s="2">
        <v>46253.395833333336</v>
      </c>
      <c r="H145" s="2">
        <v>46253.489583333336</v>
      </c>
      <c r="I145" s="1">
        <v>46162</v>
      </c>
      <c r="J145" t="s">
        <v>1698</v>
      </c>
      <c r="K145" t="s">
        <v>1720</v>
      </c>
    </row>
    <row r="146" spans="1:11">
      <c r="A146" t="s">
        <v>324</v>
      </c>
      <c r="B146" t="s">
        <v>333</v>
      </c>
      <c r="D146" t="s">
        <v>76</v>
      </c>
      <c r="K146" t="s">
        <v>1720</v>
      </c>
    </row>
    <row r="147" spans="1:11">
      <c r="A147" t="s">
        <v>324</v>
      </c>
      <c r="B147" t="s">
        <v>335</v>
      </c>
      <c r="C147" t="s">
        <v>334</v>
      </c>
      <c r="D147" t="s">
        <v>21</v>
      </c>
      <c r="E147" t="s">
        <v>22</v>
      </c>
      <c r="F147">
        <v>8</v>
      </c>
      <c r="G147" s="2">
        <v>46218.395833333336</v>
      </c>
      <c r="H147" s="2">
        <v>46218.416666666664</v>
      </c>
      <c r="I147" s="1">
        <v>46153</v>
      </c>
      <c r="J147" t="s">
        <v>1698</v>
      </c>
      <c r="K147" t="s">
        <v>1720</v>
      </c>
    </row>
    <row r="148" spans="1:11">
      <c r="A148" t="s">
        <v>339</v>
      </c>
      <c r="B148" t="s">
        <v>340</v>
      </c>
      <c r="C148" t="s">
        <v>338</v>
      </c>
      <c r="D148" t="s">
        <v>21</v>
      </c>
      <c r="E148" t="s">
        <v>22</v>
      </c>
      <c r="F148">
        <v>31</v>
      </c>
      <c r="G148" s="2">
        <v>46293.5625</v>
      </c>
      <c r="H148" s="2">
        <v>46293.708333333336</v>
      </c>
      <c r="I148" s="1">
        <v>46155</v>
      </c>
      <c r="J148" t="s">
        <v>1698</v>
      </c>
      <c r="K148" t="s">
        <v>1720</v>
      </c>
    </row>
    <row r="149" spans="1:11">
      <c r="A149" t="s">
        <v>339</v>
      </c>
      <c r="B149" t="s">
        <v>342</v>
      </c>
      <c r="C149" t="s">
        <v>341</v>
      </c>
      <c r="D149" t="s">
        <v>21</v>
      </c>
      <c r="E149" t="s">
        <v>22</v>
      </c>
      <c r="F149">
        <v>43</v>
      </c>
      <c r="G149" s="2">
        <v>46136.5625</v>
      </c>
      <c r="H149" s="2">
        <v>46136.708333333336</v>
      </c>
      <c r="I149" s="1">
        <v>46163</v>
      </c>
      <c r="J149" t="s">
        <v>1698</v>
      </c>
      <c r="K149" t="s">
        <v>1720</v>
      </c>
    </row>
    <row r="150" spans="1:11">
      <c r="A150" t="s">
        <v>339</v>
      </c>
      <c r="B150" t="s">
        <v>344</v>
      </c>
      <c r="C150" t="s">
        <v>343</v>
      </c>
      <c r="D150" t="s">
        <v>21</v>
      </c>
      <c r="E150" t="s">
        <v>22</v>
      </c>
      <c r="F150">
        <v>43</v>
      </c>
      <c r="G150" s="2">
        <v>46358.375</v>
      </c>
      <c r="H150" s="2">
        <v>46358.520833333336</v>
      </c>
      <c r="I150" s="1">
        <v>46162</v>
      </c>
      <c r="J150" t="s">
        <v>1698</v>
      </c>
      <c r="K150" t="s">
        <v>1720</v>
      </c>
    </row>
    <row r="151" spans="1:11">
      <c r="A151" t="s">
        <v>339</v>
      </c>
      <c r="B151" t="s">
        <v>346</v>
      </c>
      <c r="C151" t="s">
        <v>345</v>
      </c>
      <c r="D151" t="s">
        <v>21</v>
      </c>
      <c r="E151" t="s">
        <v>22</v>
      </c>
      <c r="F151">
        <v>38</v>
      </c>
      <c r="G151" s="2">
        <v>46212.375</v>
      </c>
      <c r="H151" s="2">
        <v>46212.520833333336</v>
      </c>
      <c r="I151" s="1">
        <v>46147</v>
      </c>
      <c r="J151" t="s">
        <v>1698</v>
      </c>
      <c r="K151" t="s">
        <v>1720</v>
      </c>
    </row>
    <row r="152" spans="1:11">
      <c r="A152" t="s">
        <v>339</v>
      </c>
      <c r="B152" t="s">
        <v>348</v>
      </c>
      <c r="C152" t="s">
        <v>347</v>
      </c>
      <c r="D152" t="s">
        <v>21</v>
      </c>
      <c r="E152" t="s">
        <v>22</v>
      </c>
      <c r="F152">
        <v>45</v>
      </c>
      <c r="G152" s="2">
        <v>46045.375</v>
      </c>
      <c r="H152" s="2">
        <v>46045.520833333336</v>
      </c>
      <c r="I152" s="1">
        <v>46100</v>
      </c>
      <c r="J152" t="s">
        <v>1698</v>
      </c>
      <c r="K152" t="s">
        <v>1720</v>
      </c>
    </row>
    <row r="153" spans="1:11">
      <c r="A153" t="s">
        <v>350</v>
      </c>
      <c r="B153" t="s">
        <v>351</v>
      </c>
      <c r="C153" t="s">
        <v>349</v>
      </c>
      <c r="D153" t="s">
        <v>16</v>
      </c>
      <c r="G153" t="s">
        <v>17</v>
      </c>
      <c r="I153" s="1">
        <v>46163</v>
      </c>
      <c r="J153" t="s">
        <v>1698</v>
      </c>
      <c r="K153" t="s">
        <v>1720</v>
      </c>
    </row>
    <row r="154" spans="1:11">
      <c r="A154" t="s">
        <v>350</v>
      </c>
      <c r="B154" t="s">
        <v>353</v>
      </c>
      <c r="C154" t="s">
        <v>352</v>
      </c>
      <c r="D154" t="s">
        <v>16</v>
      </c>
      <c r="G154" t="s">
        <v>17</v>
      </c>
      <c r="I154" s="1">
        <v>46163</v>
      </c>
      <c r="J154" t="s">
        <v>1698</v>
      </c>
      <c r="K154" t="s">
        <v>1720</v>
      </c>
    </row>
    <row r="155" spans="1:11">
      <c r="A155" t="s">
        <v>350</v>
      </c>
      <c r="B155" t="s">
        <v>355</v>
      </c>
      <c r="C155" t="s">
        <v>354</v>
      </c>
      <c r="D155" t="s">
        <v>16</v>
      </c>
      <c r="G155" t="s">
        <v>17</v>
      </c>
      <c r="I155" s="1">
        <v>46163</v>
      </c>
      <c r="J155" t="s">
        <v>1698</v>
      </c>
      <c r="K155" t="s">
        <v>1720</v>
      </c>
    </row>
    <row r="156" spans="1:11">
      <c r="A156" t="s">
        <v>350</v>
      </c>
      <c r="B156" t="s">
        <v>357</v>
      </c>
      <c r="C156" t="s">
        <v>356</v>
      </c>
      <c r="D156" t="s">
        <v>16</v>
      </c>
      <c r="G156" t="s">
        <v>17</v>
      </c>
      <c r="I156" s="1">
        <v>46163</v>
      </c>
      <c r="J156" t="s">
        <v>1698</v>
      </c>
      <c r="K156" t="s">
        <v>1720</v>
      </c>
    </row>
    <row r="157" spans="1:11">
      <c r="A157" t="s">
        <v>350</v>
      </c>
      <c r="B157" t="s">
        <v>1730</v>
      </c>
      <c r="C157" t="s">
        <v>1731</v>
      </c>
      <c r="D157" t="s">
        <v>21</v>
      </c>
      <c r="E157" t="s">
        <v>22</v>
      </c>
      <c r="F157">
        <v>0</v>
      </c>
      <c r="G157" s="2">
        <v>46169.604166666664</v>
      </c>
      <c r="H157" s="2">
        <v>46169.625</v>
      </c>
      <c r="I157" s="1">
        <v>46163</v>
      </c>
      <c r="J157" t="s">
        <v>1698</v>
      </c>
      <c r="K157" t="s">
        <v>1720</v>
      </c>
    </row>
    <row r="158" spans="1:11">
      <c r="A158" t="s">
        <v>350</v>
      </c>
      <c r="B158" t="s">
        <v>384</v>
      </c>
      <c r="C158" t="s">
        <v>383</v>
      </c>
      <c r="D158" t="s">
        <v>16</v>
      </c>
      <c r="G158" t="s">
        <v>17</v>
      </c>
      <c r="I158" s="1">
        <v>46142</v>
      </c>
      <c r="J158" t="s">
        <v>1698</v>
      </c>
      <c r="K158" t="s">
        <v>1720</v>
      </c>
    </row>
    <row r="159" spans="1:11">
      <c r="A159" t="s">
        <v>350</v>
      </c>
      <c r="B159" t="s">
        <v>1732</v>
      </c>
      <c r="C159" t="s">
        <v>1733</v>
      </c>
      <c r="D159" t="s">
        <v>16</v>
      </c>
      <c r="G159" t="s">
        <v>17</v>
      </c>
      <c r="I159" s="1">
        <v>46162</v>
      </c>
      <c r="J159" t="s">
        <v>1698</v>
      </c>
      <c r="K159" t="s">
        <v>1720</v>
      </c>
    </row>
    <row r="160" spans="1:11">
      <c r="A160" t="s">
        <v>350</v>
      </c>
      <c r="B160" t="s">
        <v>361</v>
      </c>
      <c r="C160" t="s">
        <v>360</v>
      </c>
      <c r="D160" t="s">
        <v>21</v>
      </c>
      <c r="E160" t="s">
        <v>22</v>
      </c>
      <c r="F160">
        <v>67</v>
      </c>
      <c r="G160" s="2">
        <v>45831.375</v>
      </c>
      <c r="H160" s="2">
        <v>45835.708333333336</v>
      </c>
      <c r="I160" s="1">
        <v>46163</v>
      </c>
      <c r="J160" t="s">
        <v>1698</v>
      </c>
      <c r="K160" t="s">
        <v>1720</v>
      </c>
    </row>
    <row r="161" spans="1:11">
      <c r="A161" t="s">
        <v>350</v>
      </c>
      <c r="B161" t="s">
        <v>364</v>
      </c>
      <c r="C161" t="s">
        <v>363</v>
      </c>
      <c r="D161" t="s">
        <v>21</v>
      </c>
      <c r="E161" t="s">
        <v>22</v>
      </c>
      <c r="F161">
        <v>100</v>
      </c>
      <c r="G161" s="2">
        <v>46342.375</v>
      </c>
      <c r="H161" s="2">
        <v>46343.708333333336</v>
      </c>
      <c r="I161" s="1">
        <v>46153</v>
      </c>
      <c r="J161" t="s">
        <v>1734</v>
      </c>
      <c r="K161" t="s">
        <v>1720</v>
      </c>
    </row>
    <row r="162" spans="1:11">
      <c r="A162" t="s">
        <v>350</v>
      </c>
      <c r="B162" t="s">
        <v>366</v>
      </c>
      <c r="C162" t="s">
        <v>365</v>
      </c>
      <c r="D162" t="s">
        <v>21</v>
      </c>
      <c r="E162" t="s">
        <v>22</v>
      </c>
      <c r="F162">
        <v>67</v>
      </c>
      <c r="G162" s="2">
        <v>46202.375</v>
      </c>
      <c r="H162" s="2">
        <v>46204.708333333336</v>
      </c>
      <c r="I162" s="1">
        <v>46156</v>
      </c>
      <c r="J162" t="s">
        <v>1735</v>
      </c>
      <c r="K162" t="s">
        <v>1720</v>
      </c>
    </row>
    <row r="163" spans="1:11">
      <c r="A163" t="s">
        <v>350</v>
      </c>
      <c r="B163" t="s">
        <v>368</v>
      </c>
      <c r="C163" t="s">
        <v>367</v>
      </c>
      <c r="D163" t="s">
        <v>21</v>
      </c>
      <c r="E163" t="s">
        <v>22</v>
      </c>
      <c r="F163">
        <v>46</v>
      </c>
      <c r="G163" s="2">
        <v>46122.375</v>
      </c>
      <c r="H163" s="2">
        <v>46126.709027777775</v>
      </c>
      <c r="I163" s="1">
        <v>46163</v>
      </c>
      <c r="J163" t="s">
        <v>1735</v>
      </c>
      <c r="K163" t="s">
        <v>1720</v>
      </c>
    </row>
    <row r="164" spans="1:11">
      <c r="A164" t="s">
        <v>350</v>
      </c>
      <c r="B164" t="s">
        <v>370</v>
      </c>
      <c r="C164" t="s">
        <v>369</v>
      </c>
      <c r="D164" t="s">
        <v>21</v>
      </c>
      <c r="E164" t="s">
        <v>22</v>
      </c>
      <c r="F164">
        <v>65</v>
      </c>
      <c r="G164" s="2">
        <v>46321.375</v>
      </c>
      <c r="H164" s="2">
        <v>46323.708333333336</v>
      </c>
      <c r="I164" s="1">
        <v>46122</v>
      </c>
      <c r="J164" t="s">
        <v>1735</v>
      </c>
      <c r="K164" t="s">
        <v>1720</v>
      </c>
    </row>
    <row r="165" spans="1:11">
      <c r="A165" t="s">
        <v>350</v>
      </c>
      <c r="B165" t="s">
        <v>372</v>
      </c>
      <c r="C165" t="s">
        <v>371</v>
      </c>
      <c r="D165" t="s">
        <v>21</v>
      </c>
      <c r="E165" t="s">
        <v>22</v>
      </c>
      <c r="F165">
        <v>79</v>
      </c>
      <c r="G165" s="2">
        <v>46281.375</v>
      </c>
      <c r="H165" s="2">
        <v>46283.708333333336</v>
      </c>
      <c r="I165" s="1">
        <v>46143</v>
      </c>
      <c r="J165" t="s">
        <v>1735</v>
      </c>
      <c r="K165" t="s">
        <v>1720</v>
      </c>
    </row>
    <row r="166" spans="1:11">
      <c r="A166" t="s">
        <v>350</v>
      </c>
      <c r="B166" t="s">
        <v>374</v>
      </c>
      <c r="C166" t="s">
        <v>373</v>
      </c>
      <c r="D166" t="s">
        <v>21</v>
      </c>
      <c r="E166" t="s">
        <v>22</v>
      </c>
      <c r="F166">
        <v>48</v>
      </c>
      <c r="G166" s="2">
        <v>45946.708333333336</v>
      </c>
      <c r="H166" s="2">
        <v>45946.739583333336</v>
      </c>
      <c r="I166" s="1">
        <v>46161</v>
      </c>
      <c r="J166" t="s">
        <v>1698</v>
      </c>
      <c r="K166" t="s">
        <v>1720</v>
      </c>
    </row>
    <row r="167" spans="1:11">
      <c r="A167" t="s">
        <v>350</v>
      </c>
      <c r="B167" t="s">
        <v>376</v>
      </c>
      <c r="C167" t="s">
        <v>375</v>
      </c>
      <c r="D167" t="s">
        <v>21</v>
      </c>
      <c r="E167" t="s">
        <v>22</v>
      </c>
      <c r="F167">
        <v>34</v>
      </c>
      <c r="G167" s="2">
        <v>46169.5625</v>
      </c>
      <c r="H167" s="2">
        <v>46169.604166666664</v>
      </c>
      <c r="I167" s="1">
        <v>46142</v>
      </c>
      <c r="J167" t="s">
        <v>1698</v>
      </c>
      <c r="K167" t="s">
        <v>1720</v>
      </c>
    </row>
    <row r="168" spans="1:11">
      <c r="A168" t="s">
        <v>350</v>
      </c>
      <c r="B168" t="s">
        <v>378</v>
      </c>
      <c r="C168" t="s">
        <v>377</v>
      </c>
      <c r="D168" t="s">
        <v>21</v>
      </c>
      <c r="E168" t="s">
        <v>22</v>
      </c>
      <c r="F168">
        <v>22</v>
      </c>
      <c r="G168" s="2">
        <v>46065.520833333336</v>
      </c>
      <c r="H168" s="2">
        <v>46065.583333333336</v>
      </c>
      <c r="I168" s="1">
        <v>46136</v>
      </c>
      <c r="J168" t="s">
        <v>1698</v>
      </c>
      <c r="K168" t="s">
        <v>1720</v>
      </c>
    </row>
    <row r="169" spans="1:11">
      <c r="A169" t="s">
        <v>350</v>
      </c>
      <c r="B169" t="s">
        <v>380</v>
      </c>
      <c r="C169" t="s">
        <v>379</v>
      </c>
      <c r="D169" t="s">
        <v>21</v>
      </c>
      <c r="E169" t="s">
        <v>22</v>
      </c>
      <c r="F169">
        <v>19</v>
      </c>
      <c r="G169" s="2">
        <v>46356.375</v>
      </c>
      <c r="H169" s="2">
        <v>46356.520833333336</v>
      </c>
      <c r="I169" s="1">
        <v>46163</v>
      </c>
      <c r="J169" t="s">
        <v>1698</v>
      </c>
      <c r="K169" t="s">
        <v>1720</v>
      </c>
    </row>
    <row r="170" spans="1:11">
      <c r="A170" t="s">
        <v>350</v>
      </c>
      <c r="B170" t="s">
        <v>1736</v>
      </c>
      <c r="C170" t="s">
        <v>1737</v>
      </c>
      <c r="D170" t="s">
        <v>21</v>
      </c>
      <c r="E170" t="s">
        <v>22</v>
      </c>
      <c r="F170">
        <v>0</v>
      </c>
      <c r="G170" s="2">
        <v>46199.583333333336</v>
      </c>
      <c r="H170" s="2">
        <v>46199.666666666664</v>
      </c>
      <c r="I170" s="1">
        <v>46163</v>
      </c>
      <c r="J170" t="s">
        <v>1698</v>
      </c>
      <c r="K170" t="s">
        <v>1720</v>
      </c>
    </row>
    <row r="171" spans="1:11">
      <c r="A171" t="s">
        <v>350</v>
      </c>
      <c r="B171" t="s">
        <v>386</v>
      </c>
      <c r="C171" t="s">
        <v>385</v>
      </c>
      <c r="D171" t="s">
        <v>38</v>
      </c>
      <c r="I171" s="1">
        <v>46070</v>
      </c>
      <c r="K171" t="s">
        <v>1720</v>
      </c>
    </row>
    <row r="172" spans="1:11">
      <c r="A172" t="s">
        <v>350</v>
      </c>
      <c r="B172" t="s">
        <v>1738</v>
      </c>
      <c r="C172" t="s">
        <v>381</v>
      </c>
      <c r="D172" t="s">
        <v>21</v>
      </c>
      <c r="E172" t="s">
        <v>22</v>
      </c>
      <c r="F172">
        <v>36</v>
      </c>
      <c r="G172" s="2">
        <v>45952.624305555553</v>
      </c>
      <c r="H172" s="2">
        <v>45952.6875</v>
      </c>
      <c r="I172" s="1">
        <v>46161</v>
      </c>
      <c r="J172" t="s">
        <v>1698</v>
      </c>
      <c r="K172" t="s">
        <v>1720</v>
      </c>
    </row>
    <row r="173" spans="1:11">
      <c r="A173" t="s">
        <v>388</v>
      </c>
      <c r="B173" t="s">
        <v>1739</v>
      </c>
      <c r="C173" t="s">
        <v>1101</v>
      </c>
      <c r="D173" t="s">
        <v>16</v>
      </c>
      <c r="G173" t="s">
        <v>17</v>
      </c>
      <c r="I173" s="1">
        <v>46154</v>
      </c>
      <c r="J173" t="s">
        <v>1698</v>
      </c>
      <c r="K173" t="s">
        <v>1720</v>
      </c>
    </row>
    <row r="174" spans="1:11">
      <c r="A174" t="s">
        <v>388</v>
      </c>
      <c r="B174" t="s">
        <v>402</v>
      </c>
      <c r="C174" t="s">
        <v>401</v>
      </c>
      <c r="D174" t="s">
        <v>16</v>
      </c>
      <c r="G174" t="s">
        <v>17</v>
      </c>
      <c r="I174" s="1">
        <v>46113</v>
      </c>
      <c r="J174" t="s">
        <v>1698</v>
      </c>
      <c r="K174" t="s">
        <v>1720</v>
      </c>
    </row>
    <row r="175" spans="1:11">
      <c r="A175" t="s">
        <v>388</v>
      </c>
      <c r="B175" t="s">
        <v>414</v>
      </c>
      <c r="C175" t="s">
        <v>413</v>
      </c>
      <c r="D175" t="s">
        <v>16</v>
      </c>
      <c r="G175" t="s">
        <v>17</v>
      </c>
      <c r="I175" s="1">
        <v>46134</v>
      </c>
      <c r="J175" t="s">
        <v>1698</v>
      </c>
      <c r="K175" t="s">
        <v>1720</v>
      </c>
    </row>
    <row r="176" spans="1:11">
      <c r="A176" t="s">
        <v>388</v>
      </c>
      <c r="B176" t="s">
        <v>390</v>
      </c>
      <c r="D176" t="s">
        <v>76</v>
      </c>
      <c r="K176" t="s">
        <v>1720</v>
      </c>
    </row>
    <row r="177" spans="1:11">
      <c r="A177" t="s">
        <v>388</v>
      </c>
      <c r="B177" t="s">
        <v>1102</v>
      </c>
      <c r="C177" t="s">
        <v>1103</v>
      </c>
      <c r="D177" t="s">
        <v>21</v>
      </c>
      <c r="E177" t="s">
        <v>22</v>
      </c>
      <c r="F177">
        <v>91</v>
      </c>
      <c r="G177" s="2">
        <v>46198.583333333336</v>
      </c>
      <c r="H177" s="2">
        <v>46198.6875</v>
      </c>
      <c r="I177" s="1">
        <v>46163</v>
      </c>
      <c r="J177" t="s">
        <v>1698</v>
      </c>
      <c r="K177" t="s">
        <v>1720</v>
      </c>
    </row>
    <row r="178" spans="1:11">
      <c r="A178" t="s">
        <v>388</v>
      </c>
      <c r="B178" t="s">
        <v>394</v>
      </c>
      <c r="C178" t="s">
        <v>393</v>
      </c>
      <c r="D178" t="s">
        <v>21</v>
      </c>
      <c r="E178" t="s">
        <v>22</v>
      </c>
      <c r="F178">
        <v>35</v>
      </c>
      <c r="G178" s="2">
        <v>46309.375</v>
      </c>
      <c r="H178" s="2">
        <v>46310.708333333336</v>
      </c>
      <c r="I178" s="1">
        <v>46161</v>
      </c>
      <c r="J178" t="s">
        <v>1698</v>
      </c>
      <c r="K178" t="s">
        <v>1720</v>
      </c>
    </row>
    <row r="179" spans="1:11">
      <c r="A179" t="s">
        <v>388</v>
      </c>
      <c r="B179" t="s">
        <v>398</v>
      </c>
      <c r="C179" t="s">
        <v>397</v>
      </c>
      <c r="D179" t="s">
        <v>21</v>
      </c>
      <c r="E179" t="s">
        <v>22</v>
      </c>
      <c r="F179">
        <v>215</v>
      </c>
      <c r="G179" s="2">
        <v>46175.375</v>
      </c>
      <c r="H179" s="2">
        <v>46176.708333333336</v>
      </c>
      <c r="I179" s="1">
        <v>46163</v>
      </c>
      <c r="J179" t="s">
        <v>1734</v>
      </c>
      <c r="K179" t="s">
        <v>1720</v>
      </c>
    </row>
    <row r="180" spans="1:11">
      <c r="A180" t="s">
        <v>388</v>
      </c>
      <c r="B180" t="s">
        <v>1740</v>
      </c>
      <c r="C180" t="s">
        <v>403</v>
      </c>
      <c r="D180" t="s">
        <v>21</v>
      </c>
      <c r="E180" t="s">
        <v>22</v>
      </c>
      <c r="F180">
        <v>20</v>
      </c>
      <c r="G180" s="2">
        <v>46204.375</v>
      </c>
      <c r="H180" s="2">
        <v>46205.708333333336</v>
      </c>
      <c r="I180" s="1">
        <v>46163</v>
      </c>
      <c r="J180" t="s">
        <v>1698</v>
      </c>
      <c r="K180" t="s">
        <v>1720</v>
      </c>
    </row>
    <row r="181" spans="1:11">
      <c r="A181" t="s">
        <v>388</v>
      </c>
      <c r="B181" t="s">
        <v>1741</v>
      </c>
      <c r="C181" t="s">
        <v>405</v>
      </c>
      <c r="D181" t="s">
        <v>21</v>
      </c>
      <c r="E181" t="s">
        <v>22</v>
      </c>
      <c r="F181">
        <v>41</v>
      </c>
      <c r="G181" s="2">
        <v>46196.375</v>
      </c>
      <c r="H181" s="2">
        <v>46196.708333333336</v>
      </c>
      <c r="I181" s="1">
        <v>46148</v>
      </c>
      <c r="J181" t="s">
        <v>1698</v>
      </c>
      <c r="K181" t="s">
        <v>1720</v>
      </c>
    </row>
    <row r="182" spans="1:11">
      <c r="A182" t="s">
        <v>388</v>
      </c>
      <c r="B182" t="s">
        <v>1742</v>
      </c>
      <c r="C182" t="s">
        <v>409</v>
      </c>
      <c r="D182" t="s">
        <v>21</v>
      </c>
      <c r="E182" t="s">
        <v>22</v>
      </c>
      <c r="F182">
        <v>20</v>
      </c>
      <c r="G182" s="2">
        <v>46182.375</v>
      </c>
      <c r="H182" s="2">
        <v>46182.520833333336</v>
      </c>
      <c r="I182" s="1">
        <v>46161</v>
      </c>
      <c r="J182" t="s">
        <v>1698</v>
      </c>
      <c r="K182" t="s">
        <v>1720</v>
      </c>
    </row>
    <row r="183" spans="1:11">
      <c r="A183" t="s">
        <v>388</v>
      </c>
      <c r="B183" t="s">
        <v>1743</v>
      </c>
      <c r="C183" t="s">
        <v>411</v>
      </c>
      <c r="D183" t="s">
        <v>21</v>
      </c>
      <c r="E183" t="s">
        <v>22</v>
      </c>
      <c r="F183">
        <v>12</v>
      </c>
      <c r="G183" s="2">
        <v>46182.5625</v>
      </c>
      <c r="H183" s="2">
        <v>46182.708333333336</v>
      </c>
      <c r="I183" s="1">
        <v>46161</v>
      </c>
      <c r="J183" t="s">
        <v>1698</v>
      </c>
      <c r="K183" t="s">
        <v>1720</v>
      </c>
    </row>
    <row r="184" spans="1:11">
      <c r="A184" t="s">
        <v>388</v>
      </c>
      <c r="B184" t="s">
        <v>416</v>
      </c>
      <c r="C184" t="s">
        <v>415</v>
      </c>
      <c r="D184" t="s">
        <v>21</v>
      </c>
      <c r="E184" t="s">
        <v>22</v>
      </c>
      <c r="F184">
        <v>8</v>
      </c>
      <c r="G184" s="2">
        <v>46337.645833333336</v>
      </c>
      <c r="H184" s="2">
        <v>46337.708333333336</v>
      </c>
      <c r="I184" s="1">
        <v>46155</v>
      </c>
      <c r="J184" t="s">
        <v>1698</v>
      </c>
      <c r="K184" t="s">
        <v>1720</v>
      </c>
    </row>
    <row r="185" spans="1:11">
      <c r="A185" t="s">
        <v>418</v>
      </c>
      <c r="B185" t="s">
        <v>419</v>
      </c>
      <c r="C185" t="s">
        <v>417</v>
      </c>
      <c r="D185" t="s">
        <v>21</v>
      </c>
      <c r="E185" t="s">
        <v>22</v>
      </c>
      <c r="F185">
        <v>39</v>
      </c>
      <c r="G185" s="2">
        <v>46293.375</v>
      </c>
      <c r="H185" s="2">
        <v>46293.520833333336</v>
      </c>
      <c r="I185" s="1">
        <v>46158</v>
      </c>
      <c r="J185" t="s">
        <v>1698</v>
      </c>
      <c r="K185" t="s">
        <v>1720</v>
      </c>
    </row>
    <row r="186" spans="1:11">
      <c r="A186" t="s">
        <v>418</v>
      </c>
      <c r="B186" t="s">
        <v>421</v>
      </c>
      <c r="C186" t="s">
        <v>420</v>
      </c>
      <c r="D186" t="s">
        <v>21</v>
      </c>
      <c r="E186" t="s">
        <v>22</v>
      </c>
      <c r="F186">
        <v>31</v>
      </c>
      <c r="G186" s="2">
        <v>46293.5625</v>
      </c>
      <c r="H186" s="2">
        <v>46293.708333333336</v>
      </c>
      <c r="I186" s="1">
        <v>46154</v>
      </c>
      <c r="J186" t="s">
        <v>1698</v>
      </c>
      <c r="K186" t="s">
        <v>1720</v>
      </c>
    </row>
    <row r="187" spans="1:11">
      <c r="A187" t="s">
        <v>426</v>
      </c>
      <c r="B187" t="s">
        <v>427</v>
      </c>
      <c r="C187" t="s">
        <v>425</v>
      </c>
      <c r="D187" t="s">
        <v>21</v>
      </c>
      <c r="E187" t="s">
        <v>22</v>
      </c>
      <c r="F187">
        <v>37</v>
      </c>
      <c r="G187" s="2">
        <v>46191.645833333336</v>
      </c>
      <c r="H187" s="2">
        <v>46191.708333333336</v>
      </c>
      <c r="I187" s="1">
        <v>46161</v>
      </c>
      <c r="J187" t="s">
        <v>1698</v>
      </c>
      <c r="K187" t="s">
        <v>1720</v>
      </c>
    </row>
    <row r="188" spans="1:11">
      <c r="A188" t="s">
        <v>426</v>
      </c>
      <c r="B188" t="s">
        <v>1744</v>
      </c>
      <c r="C188" t="s">
        <v>428</v>
      </c>
      <c r="D188" t="s">
        <v>21</v>
      </c>
      <c r="E188" t="s">
        <v>22</v>
      </c>
      <c r="F188">
        <v>135</v>
      </c>
      <c r="G188" s="2">
        <v>46286.375</v>
      </c>
      <c r="H188" s="2">
        <v>46286.4375</v>
      </c>
      <c r="I188" s="1">
        <v>46163</v>
      </c>
      <c r="J188" t="s">
        <v>1698</v>
      </c>
      <c r="K188" t="s">
        <v>1720</v>
      </c>
    </row>
    <row r="189" spans="1:11">
      <c r="A189" t="s">
        <v>426</v>
      </c>
      <c r="B189" t="s">
        <v>1745</v>
      </c>
      <c r="C189" t="s">
        <v>430</v>
      </c>
      <c r="D189" t="s">
        <v>21</v>
      </c>
      <c r="E189" t="s">
        <v>22</v>
      </c>
      <c r="F189">
        <v>80</v>
      </c>
      <c r="G189" s="2">
        <v>46286.458333333336</v>
      </c>
      <c r="H189" s="2">
        <v>46286.520833333336</v>
      </c>
      <c r="I189" s="1">
        <v>46162</v>
      </c>
      <c r="J189" t="s">
        <v>1698</v>
      </c>
      <c r="K189" t="s">
        <v>1720</v>
      </c>
    </row>
    <row r="190" spans="1:11">
      <c r="A190" t="s">
        <v>426</v>
      </c>
      <c r="B190" t="s">
        <v>433</v>
      </c>
      <c r="C190" t="s">
        <v>432</v>
      </c>
      <c r="D190" t="s">
        <v>21</v>
      </c>
      <c r="E190" t="s">
        <v>22</v>
      </c>
      <c r="F190">
        <v>36</v>
      </c>
      <c r="G190" s="2">
        <v>46286.645833333336</v>
      </c>
      <c r="H190" s="2">
        <v>46286.708333333336</v>
      </c>
      <c r="I190" s="1">
        <v>46162</v>
      </c>
      <c r="J190" t="s">
        <v>1698</v>
      </c>
      <c r="K190" t="s">
        <v>1720</v>
      </c>
    </row>
    <row r="191" spans="1:11">
      <c r="A191" t="s">
        <v>426</v>
      </c>
      <c r="B191" t="s">
        <v>435</v>
      </c>
      <c r="C191" t="s">
        <v>434</v>
      </c>
      <c r="D191" t="s">
        <v>21</v>
      </c>
      <c r="E191" t="s">
        <v>22</v>
      </c>
      <c r="F191">
        <v>41</v>
      </c>
      <c r="G191" s="2">
        <v>46191.5625</v>
      </c>
      <c r="H191" s="2">
        <v>46191.625</v>
      </c>
      <c r="I191" s="1">
        <v>46163</v>
      </c>
      <c r="J191" t="s">
        <v>1698</v>
      </c>
      <c r="K191" t="s">
        <v>1720</v>
      </c>
    </row>
    <row r="192" spans="1:11">
      <c r="A192" t="s">
        <v>426</v>
      </c>
      <c r="B192" t="s">
        <v>437</v>
      </c>
      <c r="C192" t="s">
        <v>436</v>
      </c>
      <c r="D192" t="s">
        <v>21</v>
      </c>
      <c r="E192" t="s">
        <v>22</v>
      </c>
      <c r="F192">
        <v>54</v>
      </c>
      <c r="G192" s="2">
        <v>46286.5625</v>
      </c>
      <c r="H192" s="2">
        <v>46286.625</v>
      </c>
      <c r="I192" s="1">
        <v>46163</v>
      </c>
      <c r="J192" t="s">
        <v>1698</v>
      </c>
      <c r="K192" t="s">
        <v>1720</v>
      </c>
    </row>
    <row r="193" spans="1:11">
      <c r="A193" t="s">
        <v>439</v>
      </c>
      <c r="B193" t="s">
        <v>440</v>
      </c>
      <c r="C193" t="s">
        <v>438</v>
      </c>
      <c r="D193" t="s">
        <v>21</v>
      </c>
      <c r="E193" t="s">
        <v>22</v>
      </c>
      <c r="F193">
        <v>161</v>
      </c>
      <c r="G193" s="2">
        <v>46149.375</v>
      </c>
      <c r="H193" s="2">
        <v>46149.708333333336</v>
      </c>
      <c r="I193" s="1">
        <v>46149</v>
      </c>
      <c r="J193" t="s">
        <v>1746</v>
      </c>
      <c r="K193" t="s">
        <v>1720</v>
      </c>
    </row>
    <row r="194" spans="1:11">
      <c r="A194" t="s">
        <v>439</v>
      </c>
      <c r="B194" t="s">
        <v>442</v>
      </c>
      <c r="C194" t="s">
        <v>441</v>
      </c>
      <c r="D194" t="s">
        <v>21</v>
      </c>
      <c r="E194" t="s">
        <v>22</v>
      </c>
      <c r="F194">
        <v>22</v>
      </c>
      <c r="G194" s="2">
        <v>46293.375</v>
      </c>
      <c r="H194" s="2">
        <v>46293.520833333336</v>
      </c>
      <c r="I194" s="1">
        <v>46161</v>
      </c>
      <c r="J194" t="s">
        <v>1698</v>
      </c>
      <c r="K194" t="s">
        <v>1720</v>
      </c>
    </row>
    <row r="195" spans="1:11">
      <c r="A195" t="s">
        <v>439</v>
      </c>
      <c r="B195" t="s">
        <v>444</v>
      </c>
      <c r="C195" t="s">
        <v>443</v>
      </c>
      <c r="D195" t="s">
        <v>21</v>
      </c>
      <c r="E195" t="s">
        <v>22</v>
      </c>
      <c r="F195">
        <v>14</v>
      </c>
      <c r="G195" s="2">
        <v>46195.375</v>
      </c>
      <c r="H195" s="2">
        <v>46195.520833333336</v>
      </c>
      <c r="I195" s="1">
        <v>46163</v>
      </c>
      <c r="J195" t="s">
        <v>1698</v>
      </c>
      <c r="K195" t="s">
        <v>1720</v>
      </c>
    </row>
    <row r="196" spans="1:11">
      <c r="A196" t="s">
        <v>439</v>
      </c>
      <c r="B196" t="s">
        <v>446</v>
      </c>
      <c r="C196" t="s">
        <v>445</v>
      </c>
      <c r="D196" t="s">
        <v>21</v>
      </c>
      <c r="E196" t="s">
        <v>22</v>
      </c>
      <c r="F196">
        <v>27</v>
      </c>
      <c r="G196" s="2">
        <v>46358.5625</v>
      </c>
      <c r="H196" s="2">
        <v>46358.708333333336</v>
      </c>
      <c r="I196" s="1">
        <v>46147</v>
      </c>
      <c r="J196" t="s">
        <v>1698</v>
      </c>
      <c r="K196" t="s">
        <v>1720</v>
      </c>
    </row>
    <row r="197" spans="1:11">
      <c r="A197" t="s">
        <v>447</v>
      </c>
      <c r="B197" t="s">
        <v>448</v>
      </c>
      <c r="D197" t="s">
        <v>76</v>
      </c>
      <c r="K197" t="s">
        <v>1747</v>
      </c>
    </row>
    <row r="198" spans="1:11">
      <c r="A198" t="s">
        <v>447</v>
      </c>
      <c r="B198" t="s">
        <v>1748</v>
      </c>
      <c r="D198" t="s">
        <v>76</v>
      </c>
      <c r="K198" t="s">
        <v>1747</v>
      </c>
    </row>
    <row r="199" spans="1:11">
      <c r="A199" t="s">
        <v>447</v>
      </c>
      <c r="B199" t="s">
        <v>449</v>
      </c>
      <c r="D199" t="s">
        <v>76</v>
      </c>
      <c r="K199" t="s">
        <v>1747</v>
      </c>
    </row>
    <row r="200" spans="1:11">
      <c r="A200" t="s">
        <v>447</v>
      </c>
      <c r="B200" t="s">
        <v>450</v>
      </c>
      <c r="D200" t="s">
        <v>76</v>
      </c>
      <c r="K200" t="s">
        <v>1747</v>
      </c>
    </row>
    <row r="201" spans="1:11">
      <c r="A201" t="s">
        <v>447</v>
      </c>
      <c r="B201" t="s">
        <v>451</v>
      </c>
      <c r="D201" t="s">
        <v>76</v>
      </c>
      <c r="K201" t="s">
        <v>1747</v>
      </c>
    </row>
    <row r="202" spans="1:11">
      <c r="A202" t="s">
        <v>447</v>
      </c>
      <c r="B202" t="s">
        <v>452</v>
      </c>
      <c r="D202" t="s">
        <v>76</v>
      </c>
      <c r="K202" t="s">
        <v>1747</v>
      </c>
    </row>
    <row r="203" spans="1:11">
      <c r="A203" t="s">
        <v>447</v>
      </c>
      <c r="B203" t="s">
        <v>453</v>
      </c>
      <c r="D203" t="s">
        <v>76</v>
      </c>
      <c r="K203" t="s">
        <v>1747</v>
      </c>
    </row>
    <row r="204" spans="1:11">
      <c r="A204" t="s">
        <v>447</v>
      </c>
      <c r="B204" t="s">
        <v>454</v>
      </c>
      <c r="D204" t="s">
        <v>76</v>
      </c>
      <c r="K204" t="s">
        <v>1747</v>
      </c>
    </row>
    <row r="205" spans="1:11">
      <c r="A205" t="s">
        <v>447</v>
      </c>
      <c r="B205" t="s">
        <v>455</v>
      </c>
      <c r="D205" t="s">
        <v>76</v>
      </c>
      <c r="K205" t="s">
        <v>1747</v>
      </c>
    </row>
    <row r="206" spans="1:11">
      <c r="A206" t="s">
        <v>447</v>
      </c>
      <c r="B206" t="s">
        <v>456</v>
      </c>
      <c r="D206" t="s">
        <v>76</v>
      </c>
      <c r="K206" t="s">
        <v>1747</v>
      </c>
    </row>
    <row r="207" spans="1:11">
      <c r="A207" t="s">
        <v>447</v>
      </c>
      <c r="B207" t="s">
        <v>1749</v>
      </c>
      <c r="D207" t="s">
        <v>76</v>
      </c>
      <c r="K207" t="s">
        <v>1747</v>
      </c>
    </row>
    <row r="208" spans="1:11">
      <c r="A208" t="s">
        <v>447</v>
      </c>
      <c r="B208" t="s">
        <v>457</v>
      </c>
      <c r="D208" t="s">
        <v>76</v>
      </c>
      <c r="K208" t="s">
        <v>1747</v>
      </c>
    </row>
    <row r="209" spans="1:11">
      <c r="A209" t="s">
        <v>447</v>
      </c>
      <c r="B209" t="s">
        <v>458</v>
      </c>
      <c r="D209" t="s">
        <v>76</v>
      </c>
      <c r="K209" t="s">
        <v>1747</v>
      </c>
    </row>
    <row r="210" spans="1:11">
      <c r="A210" t="s">
        <v>447</v>
      </c>
      <c r="B210" t="s">
        <v>459</v>
      </c>
      <c r="D210" t="s">
        <v>76</v>
      </c>
      <c r="K210" t="s">
        <v>1747</v>
      </c>
    </row>
    <row r="211" spans="1:11">
      <c r="A211" t="s">
        <v>447</v>
      </c>
      <c r="B211" t="s">
        <v>460</v>
      </c>
      <c r="D211" t="s">
        <v>76</v>
      </c>
      <c r="K211" t="s">
        <v>1747</v>
      </c>
    </row>
    <row r="212" spans="1:11">
      <c r="A212" t="s">
        <v>447</v>
      </c>
      <c r="B212" t="s">
        <v>1750</v>
      </c>
      <c r="D212" t="s">
        <v>76</v>
      </c>
      <c r="K212" t="s">
        <v>1747</v>
      </c>
    </row>
    <row r="213" spans="1:11">
      <c r="A213" t="s">
        <v>447</v>
      </c>
      <c r="B213" t="s">
        <v>461</v>
      </c>
      <c r="D213" t="s">
        <v>76</v>
      </c>
      <c r="K213" t="s">
        <v>1747</v>
      </c>
    </row>
    <row r="214" spans="1:11">
      <c r="A214" t="s">
        <v>447</v>
      </c>
      <c r="B214" t="s">
        <v>462</v>
      </c>
      <c r="D214" t="s">
        <v>76</v>
      </c>
      <c r="K214" t="s">
        <v>1747</v>
      </c>
    </row>
    <row r="215" spans="1:11">
      <c r="A215" t="s">
        <v>447</v>
      </c>
      <c r="B215" t="s">
        <v>463</v>
      </c>
      <c r="D215" t="s">
        <v>76</v>
      </c>
      <c r="K215" t="s">
        <v>1747</v>
      </c>
    </row>
    <row r="216" spans="1:11">
      <c r="A216" t="s">
        <v>447</v>
      </c>
      <c r="B216" t="s">
        <v>1751</v>
      </c>
      <c r="D216" t="s">
        <v>76</v>
      </c>
      <c r="K216" t="s">
        <v>1747</v>
      </c>
    </row>
    <row r="217" spans="1:11">
      <c r="A217" t="s">
        <v>1752</v>
      </c>
      <c r="B217" t="s">
        <v>1753</v>
      </c>
      <c r="C217" t="s">
        <v>1754</v>
      </c>
      <c r="D217" t="s">
        <v>16</v>
      </c>
      <c r="G217" s="2">
        <v>46182.520833333336</v>
      </c>
      <c r="H217" s="2">
        <v>46182.583333333336</v>
      </c>
      <c r="I217" s="1">
        <v>46163</v>
      </c>
      <c r="J217" t="s">
        <v>1698</v>
      </c>
      <c r="K217" t="s">
        <v>1747</v>
      </c>
    </row>
    <row r="218" spans="1:11">
      <c r="A218" t="s">
        <v>1752</v>
      </c>
      <c r="B218" t="s">
        <v>1755</v>
      </c>
      <c r="C218" t="s">
        <v>1756</v>
      </c>
      <c r="D218" t="s">
        <v>16</v>
      </c>
      <c r="G218" s="2">
        <v>46170.583333333336</v>
      </c>
      <c r="H218" s="2">
        <v>46170.645833333336</v>
      </c>
      <c r="I218" s="1">
        <v>46163</v>
      </c>
      <c r="J218" t="s">
        <v>1698</v>
      </c>
      <c r="K218" t="s">
        <v>1747</v>
      </c>
    </row>
    <row r="219" spans="1:11">
      <c r="A219" t="s">
        <v>465</v>
      </c>
      <c r="B219" t="s">
        <v>466</v>
      </c>
      <c r="C219" t="s">
        <v>464</v>
      </c>
      <c r="D219" t="s">
        <v>21</v>
      </c>
      <c r="E219" t="s">
        <v>22</v>
      </c>
      <c r="F219">
        <v>4</v>
      </c>
      <c r="G219" s="2">
        <v>46141.416666666664</v>
      </c>
      <c r="H219" s="2">
        <v>46141.5</v>
      </c>
      <c r="I219" s="1">
        <v>46161</v>
      </c>
      <c r="J219" t="s">
        <v>1698</v>
      </c>
      <c r="K219" t="s">
        <v>465</v>
      </c>
    </row>
    <row r="220" spans="1:11">
      <c r="A220" t="s">
        <v>465</v>
      </c>
      <c r="B220" t="s">
        <v>468</v>
      </c>
      <c r="C220" t="s">
        <v>467</v>
      </c>
      <c r="D220" t="s">
        <v>38</v>
      </c>
      <c r="I220" s="1">
        <v>46120</v>
      </c>
      <c r="K220" t="s">
        <v>465</v>
      </c>
    </row>
    <row r="221" spans="1:11">
      <c r="A221" t="s">
        <v>465</v>
      </c>
      <c r="B221" t="s">
        <v>1111</v>
      </c>
      <c r="C221" t="s">
        <v>473</v>
      </c>
      <c r="D221" t="s">
        <v>21</v>
      </c>
      <c r="E221" t="s">
        <v>22</v>
      </c>
      <c r="F221">
        <v>13</v>
      </c>
      <c r="G221" s="2">
        <v>46132.5625</v>
      </c>
      <c r="H221" s="2">
        <v>46132.729166666664</v>
      </c>
      <c r="I221" s="1">
        <v>46161</v>
      </c>
      <c r="J221" t="s">
        <v>1698</v>
      </c>
      <c r="K221" t="s">
        <v>465</v>
      </c>
    </row>
    <row r="222" spans="1:11">
      <c r="A222" t="s">
        <v>476</v>
      </c>
      <c r="B222" t="s">
        <v>479</v>
      </c>
      <c r="C222" t="s">
        <v>478</v>
      </c>
      <c r="D222" t="s">
        <v>16</v>
      </c>
      <c r="G222" t="s">
        <v>17</v>
      </c>
      <c r="I222" s="1">
        <v>46065</v>
      </c>
      <c r="J222" t="s">
        <v>1698</v>
      </c>
      <c r="K222" t="s">
        <v>465</v>
      </c>
    </row>
    <row r="223" spans="1:11">
      <c r="A223" t="s">
        <v>476</v>
      </c>
      <c r="B223" t="s">
        <v>1757</v>
      </c>
      <c r="C223" t="s">
        <v>1119</v>
      </c>
      <c r="D223" t="s">
        <v>16</v>
      </c>
      <c r="G223" t="s">
        <v>17</v>
      </c>
      <c r="I223" s="1">
        <v>46106</v>
      </c>
      <c r="J223" t="s">
        <v>1698</v>
      </c>
      <c r="K223" t="s">
        <v>465</v>
      </c>
    </row>
    <row r="224" spans="1:11">
      <c r="A224" t="s">
        <v>476</v>
      </c>
      <c r="B224" t="s">
        <v>1120</v>
      </c>
      <c r="C224" t="s">
        <v>1121</v>
      </c>
      <c r="D224" t="s">
        <v>16</v>
      </c>
      <c r="G224" t="s">
        <v>17</v>
      </c>
      <c r="I224" s="1">
        <v>45963</v>
      </c>
      <c r="J224" t="s">
        <v>1698</v>
      </c>
      <c r="K224" t="s">
        <v>465</v>
      </c>
    </row>
    <row r="225" spans="1:11">
      <c r="A225" t="s">
        <v>476</v>
      </c>
      <c r="B225" t="s">
        <v>491</v>
      </c>
      <c r="C225" t="s">
        <v>490</v>
      </c>
      <c r="D225" t="s">
        <v>16</v>
      </c>
      <c r="G225" t="s">
        <v>17</v>
      </c>
      <c r="I225" s="1">
        <v>46155</v>
      </c>
      <c r="J225" t="s">
        <v>1698</v>
      </c>
      <c r="K225" t="s">
        <v>465</v>
      </c>
    </row>
    <row r="226" spans="1:11">
      <c r="A226" t="s">
        <v>476</v>
      </c>
      <c r="B226" t="s">
        <v>477</v>
      </c>
      <c r="C226" t="s">
        <v>475</v>
      </c>
      <c r="D226" t="s">
        <v>21</v>
      </c>
      <c r="E226" t="s">
        <v>22</v>
      </c>
      <c r="F226">
        <v>16</v>
      </c>
      <c r="G226" s="2">
        <v>46058.583333333336</v>
      </c>
      <c r="H226" s="2">
        <v>46058.666666666664</v>
      </c>
      <c r="I226" s="1">
        <v>46163</v>
      </c>
      <c r="J226" t="s">
        <v>1698</v>
      </c>
      <c r="K226" t="s">
        <v>465</v>
      </c>
    </row>
    <row r="227" spans="1:11">
      <c r="A227" t="s">
        <v>476</v>
      </c>
      <c r="B227" t="s">
        <v>483</v>
      </c>
      <c r="C227" t="s">
        <v>482</v>
      </c>
      <c r="D227" t="s">
        <v>21</v>
      </c>
      <c r="E227" t="s">
        <v>25</v>
      </c>
      <c r="G227" s="2">
        <v>45719.333333333336</v>
      </c>
      <c r="H227" s="2">
        <v>49419.333333333336</v>
      </c>
      <c r="I227" t="s">
        <v>198</v>
      </c>
      <c r="J227" t="s">
        <v>1698</v>
      </c>
      <c r="K227" t="s">
        <v>465</v>
      </c>
    </row>
    <row r="228" spans="1:11">
      <c r="A228" t="s">
        <v>476</v>
      </c>
      <c r="B228" t="s">
        <v>487</v>
      </c>
      <c r="C228" t="s">
        <v>486</v>
      </c>
      <c r="D228" t="s">
        <v>21</v>
      </c>
      <c r="E228" t="s">
        <v>22</v>
      </c>
      <c r="F228">
        <v>54</v>
      </c>
      <c r="G228" s="2">
        <v>46170.375</v>
      </c>
      <c r="H228" s="2">
        <v>46170.5</v>
      </c>
      <c r="I228" s="1">
        <v>46163</v>
      </c>
      <c r="J228" t="s">
        <v>1698</v>
      </c>
      <c r="K228" t="s">
        <v>465</v>
      </c>
    </row>
    <row r="229" spans="1:11">
      <c r="A229" t="s">
        <v>476</v>
      </c>
      <c r="B229" t="s">
        <v>493</v>
      </c>
      <c r="C229" t="s">
        <v>492</v>
      </c>
      <c r="D229" t="s">
        <v>21</v>
      </c>
      <c r="E229" t="s">
        <v>22</v>
      </c>
      <c r="F229">
        <v>166</v>
      </c>
      <c r="G229" s="2">
        <v>46160.375</v>
      </c>
      <c r="H229" s="2">
        <v>46160.708333333336</v>
      </c>
      <c r="I229" s="1">
        <v>46161</v>
      </c>
      <c r="J229" t="s">
        <v>1746</v>
      </c>
      <c r="K229" t="s">
        <v>465</v>
      </c>
    </row>
    <row r="230" spans="1:11">
      <c r="A230" t="s">
        <v>476</v>
      </c>
      <c r="B230" t="s">
        <v>495</v>
      </c>
      <c r="C230" t="s">
        <v>494</v>
      </c>
      <c r="D230" t="s">
        <v>21</v>
      </c>
      <c r="E230" t="s">
        <v>22</v>
      </c>
      <c r="F230">
        <v>18</v>
      </c>
      <c r="G230" s="2">
        <v>45968.395833333336</v>
      </c>
      <c r="H230" s="2">
        <v>45968.520833333336</v>
      </c>
      <c r="I230" s="1">
        <v>46149</v>
      </c>
      <c r="J230" t="s">
        <v>1698</v>
      </c>
      <c r="K230" t="s">
        <v>465</v>
      </c>
    </row>
    <row r="231" spans="1:11">
      <c r="A231" t="s">
        <v>476</v>
      </c>
      <c r="B231" t="s">
        <v>497</v>
      </c>
      <c r="C231" t="s">
        <v>496</v>
      </c>
      <c r="D231" t="s">
        <v>38</v>
      </c>
      <c r="I231" s="1">
        <v>46163</v>
      </c>
      <c r="K231" t="s">
        <v>465</v>
      </c>
    </row>
    <row r="232" spans="1:11">
      <c r="A232" t="s">
        <v>476</v>
      </c>
      <c r="B232" t="s">
        <v>1112</v>
      </c>
      <c r="C232" t="s">
        <v>1113</v>
      </c>
      <c r="D232" t="s">
        <v>21</v>
      </c>
      <c r="E232" t="s">
        <v>22</v>
      </c>
      <c r="F232">
        <v>36</v>
      </c>
      <c r="G232" s="2">
        <v>46343.395833333336</v>
      </c>
      <c r="H232" s="2">
        <v>46343.708333333336</v>
      </c>
      <c r="I232" s="1">
        <v>46162</v>
      </c>
      <c r="J232" t="s">
        <v>1698</v>
      </c>
      <c r="K232" t="s">
        <v>465</v>
      </c>
    </row>
    <row r="233" spans="1:11">
      <c r="A233" t="s">
        <v>476</v>
      </c>
      <c r="B233" t="s">
        <v>499</v>
      </c>
      <c r="C233" t="s">
        <v>498</v>
      </c>
      <c r="D233" t="s">
        <v>21</v>
      </c>
      <c r="E233" t="s">
        <v>22</v>
      </c>
      <c r="F233">
        <v>24</v>
      </c>
      <c r="G233" s="2">
        <v>46183.395833333336</v>
      </c>
      <c r="H233" s="2">
        <v>46183.520833333336</v>
      </c>
      <c r="I233" s="1">
        <v>46163</v>
      </c>
      <c r="J233" t="s">
        <v>1698</v>
      </c>
      <c r="K233" t="s">
        <v>465</v>
      </c>
    </row>
    <row r="234" spans="1:11">
      <c r="A234" t="s">
        <v>476</v>
      </c>
      <c r="B234" t="s">
        <v>1123</v>
      </c>
      <c r="C234" t="s">
        <v>1124</v>
      </c>
      <c r="D234" t="s">
        <v>21</v>
      </c>
      <c r="E234" t="s">
        <v>22</v>
      </c>
      <c r="F234">
        <v>69</v>
      </c>
      <c r="G234" s="2">
        <v>46099.645833333336</v>
      </c>
      <c r="H234" s="2">
        <v>46099.708333333336</v>
      </c>
      <c r="I234" s="1">
        <v>46162</v>
      </c>
      <c r="J234" t="s">
        <v>1698</v>
      </c>
      <c r="K234" t="s">
        <v>465</v>
      </c>
    </row>
    <row r="235" spans="1:11">
      <c r="A235" t="s">
        <v>501</v>
      </c>
      <c r="B235" t="s">
        <v>502</v>
      </c>
      <c r="C235" t="s">
        <v>500</v>
      </c>
      <c r="D235" t="s">
        <v>16</v>
      </c>
      <c r="G235" t="s">
        <v>17</v>
      </c>
      <c r="I235" s="1">
        <v>46162</v>
      </c>
      <c r="J235" t="s">
        <v>1698</v>
      </c>
      <c r="K235" t="s">
        <v>465</v>
      </c>
    </row>
    <row r="236" spans="1:11">
      <c r="A236" t="s">
        <v>501</v>
      </c>
      <c r="B236" t="s">
        <v>504</v>
      </c>
      <c r="C236" t="s">
        <v>503</v>
      </c>
      <c r="D236" t="s">
        <v>16</v>
      </c>
      <c r="G236" t="s">
        <v>17</v>
      </c>
      <c r="I236" s="1">
        <v>46163</v>
      </c>
      <c r="J236" t="s">
        <v>1698</v>
      </c>
      <c r="K236" t="s">
        <v>465</v>
      </c>
    </row>
    <row r="237" spans="1:11">
      <c r="A237" t="s">
        <v>501</v>
      </c>
      <c r="B237" t="s">
        <v>510</v>
      </c>
      <c r="C237" t="s">
        <v>509</v>
      </c>
      <c r="D237" t="s">
        <v>16</v>
      </c>
      <c r="G237" t="s">
        <v>17</v>
      </c>
      <c r="I237" s="1">
        <v>46152</v>
      </c>
      <c r="J237" t="s">
        <v>1698</v>
      </c>
      <c r="K237" t="s">
        <v>465</v>
      </c>
    </row>
    <row r="238" spans="1:11">
      <c r="A238" t="s">
        <v>501</v>
      </c>
      <c r="B238" t="s">
        <v>512</v>
      </c>
      <c r="C238" t="s">
        <v>511</v>
      </c>
      <c r="D238" t="s">
        <v>16</v>
      </c>
      <c r="G238" t="s">
        <v>17</v>
      </c>
      <c r="I238" s="1">
        <v>46146</v>
      </c>
      <c r="J238" t="s">
        <v>1698</v>
      </c>
      <c r="K238" t="s">
        <v>465</v>
      </c>
    </row>
    <row r="239" spans="1:11">
      <c r="A239" t="s">
        <v>501</v>
      </c>
      <c r="B239" t="s">
        <v>1129</v>
      </c>
      <c r="C239" t="s">
        <v>1130</v>
      </c>
      <c r="D239" t="s">
        <v>21</v>
      </c>
      <c r="E239" t="s">
        <v>22</v>
      </c>
      <c r="F239">
        <v>0</v>
      </c>
      <c r="G239" s="2">
        <v>46293.583333333336</v>
      </c>
      <c r="H239" s="2">
        <v>46293.729166666664</v>
      </c>
      <c r="I239" s="1">
        <v>46147</v>
      </c>
      <c r="J239" t="s">
        <v>1698</v>
      </c>
      <c r="K239" t="s">
        <v>465</v>
      </c>
    </row>
    <row r="240" spans="1:11">
      <c r="A240" t="s">
        <v>501</v>
      </c>
      <c r="B240" t="s">
        <v>1129</v>
      </c>
      <c r="C240" t="s">
        <v>1758</v>
      </c>
      <c r="D240" t="s">
        <v>16</v>
      </c>
      <c r="G240" s="2">
        <v>46293.583333333336</v>
      </c>
      <c r="H240" s="2">
        <v>46293.729166666664</v>
      </c>
      <c r="I240" s="1">
        <v>46147</v>
      </c>
      <c r="J240" t="s">
        <v>1698</v>
      </c>
      <c r="K240" t="s">
        <v>465</v>
      </c>
    </row>
    <row r="241" spans="1:11">
      <c r="A241" t="s">
        <v>501</v>
      </c>
      <c r="B241" t="s">
        <v>508</v>
      </c>
      <c r="C241" t="s">
        <v>507</v>
      </c>
      <c r="D241" t="s">
        <v>21</v>
      </c>
      <c r="E241" t="s">
        <v>22</v>
      </c>
      <c r="F241">
        <v>1</v>
      </c>
      <c r="G241" s="2">
        <v>46304.375</v>
      </c>
      <c r="H241" s="2">
        <v>46304.4375</v>
      </c>
      <c r="I241" s="1">
        <v>46121</v>
      </c>
      <c r="J241" t="s">
        <v>1698</v>
      </c>
      <c r="K241" t="s">
        <v>465</v>
      </c>
    </row>
    <row r="242" spans="1:11">
      <c r="A242" t="s">
        <v>501</v>
      </c>
      <c r="B242" t="s">
        <v>1759</v>
      </c>
      <c r="D242" t="s">
        <v>76</v>
      </c>
      <c r="K242" t="s">
        <v>465</v>
      </c>
    </row>
    <row r="243" spans="1:11">
      <c r="A243" t="s">
        <v>501</v>
      </c>
      <c r="B243" t="s">
        <v>513</v>
      </c>
      <c r="D243" t="s">
        <v>76</v>
      </c>
      <c r="K243" t="s">
        <v>465</v>
      </c>
    </row>
    <row r="244" spans="1:11">
      <c r="A244" t="s">
        <v>501</v>
      </c>
      <c r="B244" t="s">
        <v>517</v>
      </c>
      <c r="C244" t="s">
        <v>516</v>
      </c>
      <c r="D244" t="s">
        <v>21</v>
      </c>
      <c r="E244" t="s">
        <v>25</v>
      </c>
      <c r="G244" s="2">
        <v>45790.333333333336</v>
      </c>
      <c r="H244" s="2">
        <v>47325.333333333336</v>
      </c>
      <c r="I244" t="s">
        <v>198</v>
      </c>
      <c r="J244" t="s">
        <v>1698</v>
      </c>
      <c r="K244" t="s">
        <v>465</v>
      </c>
    </row>
    <row r="245" spans="1:11">
      <c r="A245" t="s">
        <v>501</v>
      </c>
      <c r="B245" t="s">
        <v>521</v>
      </c>
      <c r="C245" t="s">
        <v>520</v>
      </c>
      <c r="D245" t="s">
        <v>21</v>
      </c>
      <c r="E245" t="s">
        <v>22</v>
      </c>
      <c r="F245">
        <v>1</v>
      </c>
      <c r="G245" s="2">
        <v>46286.583333333336</v>
      </c>
      <c r="H245" s="2">
        <v>46286.645833333336</v>
      </c>
      <c r="I245" s="1">
        <v>46155</v>
      </c>
      <c r="J245" t="s">
        <v>1698</v>
      </c>
      <c r="K245" t="s">
        <v>465</v>
      </c>
    </row>
    <row r="246" spans="1:11">
      <c r="A246" t="s">
        <v>501</v>
      </c>
      <c r="B246" t="s">
        <v>523</v>
      </c>
      <c r="C246" t="s">
        <v>522</v>
      </c>
      <c r="D246" t="s">
        <v>21</v>
      </c>
      <c r="E246" t="s">
        <v>22</v>
      </c>
      <c r="F246">
        <v>9</v>
      </c>
      <c r="G246" s="2">
        <v>46135.375</v>
      </c>
      <c r="H246" s="2">
        <v>46135.520833333336</v>
      </c>
      <c r="I246" s="1">
        <v>46163</v>
      </c>
      <c r="J246" t="s">
        <v>1698</v>
      </c>
      <c r="K246" t="s">
        <v>465</v>
      </c>
    </row>
    <row r="247" spans="1:11">
      <c r="A247" t="s">
        <v>501</v>
      </c>
      <c r="B247" t="s">
        <v>1131</v>
      </c>
      <c r="C247" t="s">
        <v>1132</v>
      </c>
      <c r="D247" t="s">
        <v>21</v>
      </c>
      <c r="E247" t="s">
        <v>22</v>
      </c>
      <c r="F247">
        <v>11</v>
      </c>
      <c r="G247" s="2">
        <v>46126.375</v>
      </c>
      <c r="H247" s="2">
        <v>46126.520833333336</v>
      </c>
      <c r="I247" s="1">
        <v>46146</v>
      </c>
      <c r="J247" t="s">
        <v>1698</v>
      </c>
      <c r="K247" t="s">
        <v>465</v>
      </c>
    </row>
    <row r="248" spans="1:11">
      <c r="A248" t="s">
        <v>501</v>
      </c>
      <c r="B248" t="s">
        <v>527</v>
      </c>
      <c r="C248" t="s">
        <v>526</v>
      </c>
      <c r="D248" t="s">
        <v>21</v>
      </c>
      <c r="E248" t="s">
        <v>25</v>
      </c>
      <c r="G248" s="2">
        <v>46170.375</v>
      </c>
      <c r="H248" s="2">
        <v>47330.333333333336</v>
      </c>
      <c r="I248" t="s">
        <v>198</v>
      </c>
      <c r="J248" t="s">
        <v>1698</v>
      </c>
      <c r="K248" t="s">
        <v>465</v>
      </c>
    </row>
    <row r="249" spans="1:11">
      <c r="A249" t="s">
        <v>501</v>
      </c>
      <c r="B249" t="s">
        <v>1760</v>
      </c>
      <c r="C249" t="s">
        <v>1761</v>
      </c>
      <c r="D249" t="s">
        <v>21</v>
      </c>
      <c r="E249" t="s">
        <v>25</v>
      </c>
      <c r="G249" s="2">
        <v>46099.625</v>
      </c>
      <c r="H249" s="2">
        <v>46099.729166666664</v>
      </c>
      <c r="I249" s="1">
        <v>46099</v>
      </c>
      <c r="J249" t="s">
        <v>1698</v>
      </c>
      <c r="K249" t="s">
        <v>465</v>
      </c>
    </row>
    <row r="250" spans="1:11">
      <c r="A250" t="s">
        <v>501</v>
      </c>
      <c r="B250" t="s">
        <v>529</v>
      </c>
      <c r="C250" t="s">
        <v>1135</v>
      </c>
      <c r="D250" t="s">
        <v>21</v>
      </c>
      <c r="E250" t="s">
        <v>22</v>
      </c>
      <c r="F250">
        <v>4</v>
      </c>
      <c r="G250" s="2">
        <v>46126.583333333336</v>
      </c>
      <c r="H250" s="2">
        <v>46126.729166666664</v>
      </c>
      <c r="I250" s="1">
        <v>46132</v>
      </c>
      <c r="J250" t="s">
        <v>1698</v>
      </c>
      <c r="K250" t="s">
        <v>465</v>
      </c>
    </row>
    <row r="251" spans="1:11">
      <c r="A251" t="s">
        <v>501</v>
      </c>
      <c r="B251" t="s">
        <v>1762</v>
      </c>
      <c r="C251" t="s">
        <v>1763</v>
      </c>
      <c r="D251" t="s">
        <v>21</v>
      </c>
      <c r="E251" t="s">
        <v>25</v>
      </c>
      <c r="I251" t="s">
        <v>198</v>
      </c>
      <c r="J251" t="s">
        <v>1698</v>
      </c>
      <c r="K251" t="s">
        <v>465</v>
      </c>
    </row>
    <row r="252" spans="1:11">
      <c r="A252" t="s">
        <v>501</v>
      </c>
      <c r="B252" t="s">
        <v>1764</v>
      </c>
      <c r="C252" t="s">
        <v>1765</v>
      </c>
      <c r="D252" t="s">
        <v>21</v>
      </c>
      <c r="E252" t="s">
        <v>25</v>
      </c>
      <c r="I252" t="s">
        <v>198</v>
      </c>
      <c r="J252" t="s">
        <v>1698</v>
      </c>
      <c r="K252" t="s">
        <v>465</v>
      </c>
    </row>
    <row r="253" spans="1:11">
      <c r="A253" t="s">
        <v>501</v>
      </c>
      <c r="B253" t="s">
        <v>531</v>
      </c>
      <c r="C253" t="s">
        <v>530</v>
      </c>
      <c r="D253" t="s">
        <v>21</v>
      </c>
      <c r="E253" t="s">
        <v>22</v>
      </c>
      <c r="F253">
        <v>5</v>
      </c>
      <c r="G253" s="2">
        <v>46286.395833333336</v>
      </c>
      <c r="H253" s="2">
        <v>46286.479166666664</v>
      </c>
      <c r="I253" s="1">
        <v>46115</v>
      </c>
      <c r="J253" t="s">
        <v>1698</v>
      </c>
      <c r="K253" t="s">
        <v>465</v>
      </c>
    </row>
    <row r="254" spans="1:11">
      <c r="A254" t="s">
        <v>533</v>
      </c>
      <c r="B254" t="s">
        <v>534</v>
      </c>
      <c r="C254" t="s">
        <v>532</v>
      </c>
      <c r="D254" t="s">
        <v>21</v>
      </c>
      <c r="E254" t="s">
        <v>22</v>
      </c>
      <c r="F254">
        <v>86</v>
      </c>
      <c r="G254" s="2">
        <v>46188.583333333336</v>
      </c>
      <c r="H254" s="2">
        <v>46188.625</v>
      </c>
      <c r="I254" s="1">
        <v>46163</v>
      </c>
      <c r="J254" t="s">
        <v>1698</v>
      </c>
      <c r="K254" t="s">
        <v>465</v>
      </c>
    </row>
    <row r="255" spans="1:11">
      <c r="A255" t="s">
        <v>533</v>
      </c>
      <c r="B255" t="s">
        <v>536</v>
      </c>
      <c r="C255" t="s">
        <v>535</v>
      </c>
      <c r="D255" t="s">
        <v>21</v>
      </c>
      <c r="E255" t="s">
        <v>22</v>
      </c>
      <c r="F255">
        <v>80</v>
      </c>
      <c r="G255" s="2">
        <v>46198.583333333336</v>
      </c>
      <c r="H255" s="2">
        <v>46198.645833333336</v>
      </c>
      <c r="I255" s="1">
        <v>46162</v>
      </c>
      <c r="J255" t="s">
        <v>1698</v>
      </c>
      <c r="K255" t="s">
        <v>465</v>
      </c>
    </row>
    <row r="256" spans="1:11">
      <c r="A256" t="s">
        <v>533</v>
      </c>
      <c r="B256" t="s">
        <v>52</v>
      </c>
      <c r="C256" t="s">
        <v>51</v>
      </c>
      <c r="D256" t="s">
        <v>21</v>
      </c>
      <c r="E256" t="s">
        <v>22</v>
      </c>
      <c r="F256">
        <v>70</v>
      </c>
      <c r="G256" s="2">
        <v>46196.416666666664</v>
      </c>
      <c r="H256" s="2">
        <v>46196.541666666664</v>
      </c>
      <c r="I256" s="1">
        <v>46163</v>
      </c>
      <c r="J256" t="s">
        <v>1698</v>
      </c>
      <c r="K256" t="s">
        <v>465</v>
      </c>
    </row>
    <row r="257" spans="1:11">
      <c r="A257" t="s">
        <v>533</v>
      </c>
      <c r="B257" t="s">
        <v>538</v>
      </c>
      <c r="C257" t="s">
        <v>537</v>
      </c>
      <c r="D257" t="s">
        <v>21</v>
      </c>
      <c r="E257" t="s">
        <v>22</v>
      </c>
      <c r="F257">
        <v>303</v>
      </c>
      <c r="G257" s="2">
        <v>46203.583333333336</v>
      </c>
      <c r="H257" s="2">
        <v>46203.666666666664</v>
      </c>
      <c r="I257" s="1">
        <v>46163</v>
      </c>
      <c r="J257" t="s">
        <v>1698</v>
      </c>
      <c r="K257" t="s">
        <v>465</v>
      </c>
    </row>
    <row r="258" spans="1:11">
      <c r="A258" t="s">
        <v>533</v>
      </c>
      <c r="B258" t="s">
        <v>1112</v>
      </c>
      <c r="C258" t="s">
        <v>1113</v>
      </c>
      <c r="D258" t="s">
        <v>21</v>
      </c>
      <c r="E258" t="s">
        <v>22</v>
      </c>
      <c r="F258">
        <v>36</v>
      </c>
      <c r="G258" s="2">
        <v>46343.395833333336</v>
      </c>
      <c r="H258" s="2">
        <v>46343.708333333336</v>
      </c>
      <c r="I258" s="1">
        <v>46162</v>
      </c>
      <c r="J258" t="s">
        <v>1698</v>
      </c>
      <c r="K258" t="s">
        <v>465</v>
      </c>
    </row>
    <row r="259" spans="1:11">
      <c r="A259" t="s">
        <v>533</v>
      </c>
      <c r="B259" t="s">
        <v>540</v>
      </c>
      <c r="C259" t="s">
        <v>539</v>
      </c>
      <c r="D259" t="s">
        <v>21</v>
      </c>
      <c r="E259" t="s">
        <v>22</v>
      </c>
      <c r="F259">
        <v>53</v>
      </c>
      <c r="G259" s="2">
        <v>46197.583333333336</v>
      </c>
      <c r="H259" s="2">
        <v>46197.625</v>
      </c>
      <c r="I259" s="1">
        <v>46162</v>
      </c>
      <c r="J259" t="s">
        <v>1698</v>
      </c>
      <c r="K259" t="s">
        <v>465</v>
      </c>
    </row>
    <row r="260" spans="1:11">
      <c r="A260" t="s">
        <v>1766</v>
      </c>
      <c r="B260" t="s">
        <v>1767</v>
      </c>
      <c r="C260" t="s">
        <v>1768</v>
      </c>
      <c r="D260" t="s">
        <v>21</v>
      </c>
      <c r="E260" t="s">
        <v>22</v>
      </c>
      <c r="F260">
        <v>0</v>
      </c>
      <c r="G260" s="2">
        <v>46204.416666666664</v>
      </c>
      <c r="H260" s="2">
        <v>46204.5</v>
      </c>
      <c r="I260" s="1">
        <v>46153</v>
      </c>
      <c r="J260" t="s">
        <v>1698</v>
      </c>
      <c r="K260" t="s">
        <v>595</v>
      </c>
    </row>
    <row r="261" spans="1:11">
      <c r="A261" t="s">
        <v>1766</v>
      </c>
      <c r="B261" t="s">
        <v>1769</v>
      </c>
      <c r="C261" t="s">
        <v>1770</v>
      </c>
      <c r="D261" t="s">
        <v>21</v>
      </c>
      <c r="E261" t="s">
        <v>22</v>
      </c>
      <c r="F261">
        <v>12</v>
      </c>
      <c r="G261" s="2">
        <v>46175.395833333336</v>
      </c>
      <c r="H261" s="2">
        <v>46175.5</v>
      </c>
      <c r="I261" s="1">
        <v>46149</v>
      </c>
      <c r="J261" t="s">
        <v>1698</v>
      </c>
      <c r="K261" t="s">
        <v>595</v>
      </c>
    </row>
    <row r="262" spans="1:11">
      <c r="A262" t="s">
        <v>1766</v>
      </c>
      <c r="B262" t="s">
        <v>596</v>
      </c>
      <c r="C262" t="s">
        <v>594</v>
      </c>
      <c r="D262" t="s">
        <v>21</v>
      </c>
      <c r="E262" t="s">
        <v>22</v>
      </c>
      <c r="F262">
        <v>4</v>
      </c>
      <c r="G262" s="2">
        <v>46323.416666666664</v>
      </c>
      <c r="H262" s="2">
        <v>46323.520833333336</v>
      </c>
      <c r="I262" s="1">
        <v>46155</v>
      </c>
      <c r="J262" t="s">
        <v>1698</v>
      </c>
      <c r="K262" t="s">
        <v>595</v>
      </c>
    </row>
    <row r="263" spans="1:11">
      <c r="A263" t="s">
        <v>1766</v>
      </c>
      <c r="B263" t="s">
        <v>1771</v>
      </c>
      <c r="C263" t="s">
        <v>597</v>
      </c>
      <c r="D263" t="s">
        <v>21</v>
      </c>
      <c r="E263" t="s">
        <v>22</v>
      </c>
      <c r="F263">
        <v>15</v>
      </c>
      <c r="G263" s="2">
        <v>46336.395833333336</v>
      </c>
      <c r="H263" s="2">
        <v>46336.520833333336</v>
      </c>
      <c r="I263" s="1">
        <v>46150</v>
      </c>
      <c r="J263" t="s">
        <v>1698</v>
      </c>
      <c r="K263" t="s">
        <v>595</v>
      </c>
    </row>
    <row r="264" spans="1:11">
      <c r="A264" t="s">
        <v>1766</v>
      </c>
      <c r="B264" t="s">
        <v>1772</v>
      </c>
      <c r="C264" t="s">
        <v>1773</v>
      </c>
      <c r="D264" t="s">
        <v>21</v>
      </c>
      <c r="E264" t="s">
        <v>25</v>
      </c>
      <c r="G264" s="2">
        <v>45419.333333333336</v>
      </c>
      <c r="H264" s="2">
        <v>47325.791666666664</v>
      </c>
      <c r="I264" t="s">
        <v>198</v>
      </c>
      <c r="J264" t="s">
        <v>1698</v>
      </c>
      <c r="K264" t="s">
        <v>595</v>
      </c>
    </row>
    <row r="265" spans="1:11">
      <c r="A265" t="s">
        <v>1766</v>
      </c>
      <c r="B265" t="s">
        <v>600</v>
      </c>
      <c r="C265" t="s">
        <v>599</v>
      </c>
      <c r="D265" t="s">
        <v>21</v>
      </c>
      <c r="E265" t="s">
        <v>22</v>
      </c>
      <c r="F265">
        <v>18</v>
      </c>
      <c r="G265" s="2">
        <v>46338.4375</v>
      </c>
      <c r="H265" s="2">
        <v>46338.520833333336</v>
      </c>
      <c r="I265" s="1">
        <v>46162</v>
      </c>
      <c r="J265" t="s">
        <v>1698</v>
      </c>
      <c r="K265" t="s">
        <v>595</v>
      </c>
    </row>
    <row r="266" spans="1:11">
      <c r="A266" t="s">
        <v>1766</v>
      </c>
      <c r="B266" t="s">
        <v>602</v>
      </c>
      <c r="C266" t="s">
        <v>601</v>
      </c>
      <c r="D266" t="s">
        <v>21</v>
      </c>
      <c r="E266" t="s">
        <v>25</v>
      </c>
      <c r="G266" s="2">
        <v>46345.604166666664</v>
      </c>
      <c r="H266" s="2">
        <v>46345.666666666664</v>
      </c>
      <c r="I266" s="1">
        <v>46162</v>
      </c>
      <c r="J266" t="s">
        <v>1698</v>
      </c>
      <c r="K266" t="s">
        <v>595</v>
      </c>
    </row>
    <row r="267" spans="1:11">
      <c r="A267" t="s">
        <v>1766</v>
      </c>
      <c r="B267" t="s">
        <v>606</v>
      </c>
      <c r="C267" t="s">
        <v>1139</v>
      </c>
      <c r="D267" t="s">
        <v>21</v>
      </c>
      <c r="E267" t="s">
        <v>25</v>
      </c>
      <c r="G267" s="2">
        <v>45489.333333333336</v>
      </c>
      <c r="H267" s="2">
        <v>47325.708333333336</v>
      </c>
      <c r="I267" t="s">
        <v>198</v>
      </c>
      <c r="J267" t="s">
        <v>1698</v>
      </c>
      <c r="K267" t="s">
        <v>595</v>
      </c>
    </row>
    <row r="268" spans="1:11">
      <c r="A268" t="s">
        <v>1766</v>
      </c>
      <c r="B268" t="s">
        <v>611</v>
      </c>
      <c r="C268" t="s">
        <v>610</v>
      </c>
      <c r="D268" t="s">
        <v>21</v>
      </c>
      <c r="E268" t="s">
        <v>22</v>
      </c>
      <c r="F268">
        <v>22</v>
      </c>
      <c r="G268" s="2">
        <v>45776.604166666664</v>
      </c>
      <c r="H268" s="2">
        <v>45776.6875</v>
      </c>
      <c r="I268" s="1">
        <v>46076</v>
      </c>
      <c r="J268" t="s">
        <v>1698</v>
      </c>
      <c r="K268" t="s">
        <v>595</v>
      </c>
    </row>
    <row r="269" spans="1:11">
      <c r="A269" t="s">
        <v>1766</v>
      </c>
      <c r="B269" t="s">
        <v>611</v>
      </c>
      <c r="C269" t="s">
        <v>612</v>
      </c>
      <c r="D269" t="s">
        <v>21</v>
      </c>
      <c r="E269" t="s">
        <v>22</v>
      </c>
      <c r="F269">
        <v>23</v>
      </c>
      <c r="G269" s="2">
        <v>46168.395833333336</v>
      </c>
      <c r="H269" s="2">
        <v>46168.5</v>
      </c>
      <c r="I269" s="1">
        <v>46150</v>
      </c>
      <c r="J269" t="s">
        <v>1698</v>
      </c>
      <c r="K269" t="s">
        <v>595</v>
      </c>
    </row>
    <row r="270" spans="1:11">
      <c r="A270" t="s">
        <v>1766</v>
      </c>
      <c r="B270" t="s">
        <v>614</v>
      </c>
      <c r="C270" t="s">
        <v>615</v>
      </c>
      <c r="D270" t="s">
        <v>21</v>
      </c>
      <c r="E270" t="s">
        <v>22</v>
      </c>
      <c r="F270">
        <v>11</v>
      </c>
      <c r="G270" s="2">
        <v>46177.583333333336</v>
      </c>
      <c r="H270" s="2">
        <v>46177.708333333336</v>
      </c>
      <c r="I270" s="1">
        <v>46154</v>
      </c>
      <c r="J270" t="s">
        <v>1698</v>
      </c>
      <c r="K270" t="s">
        <v>595</v>
      </c>
    </row>
    <row r="271" spans="1:11">
      <c r="A271" t="s">
        <v>1766</v>
      </c>
      <c r="B271" t="s">
        <v>617</v>
      </c>
      <c r="C271" t="s">
        <v>616</v>
      </c>
      <c r="D271" t="s">
        <v>21</v>
      </c>
      <c r="E271" t="s">
        <v>22</v>
      </c>
      <c r="F271">
        <v>11</v>
      </c>
      <c r="G271" s="2">
        <v>46189.395833333336</v>
      </c>
      <c r="H271" s="2">
        <v>46189.520833333336</v>
      </c>
      <c r="I271" s="1">
        <v>46153</v>
      </c>
      <c r="J271" t="s">
        <v>1698</v>
      </c>
      <c r="K271" t="s">
        <v>595</v>
      </c>
    </row>
    <row r="272" spans="1:11">
      <c r="A272" t="s">
        <v>1766</v>
      </c>
      <c r="B272" t="s">
        <v>619</v>
      </c>
      <c r="C272" t="s">
        <v>618</v>
      </c>
      <c r="D272" t="s">
        <v>21</v>
      </c>
      <c r="E272" t="s">
        <v>22</v>
      </c>
      <c r="F272">
        <v>7</v>
      </c>
      <c r="G272" s="2">
        <v>46189.583333333336</v>
      </c>
      <c r="H272" s="2">
        <v>46189.6875</v>
      </c>
      <c r="I272" s="1">
        <v>46150</v>
      </c>
      <c r="J272" t="s">
        <v>1698</v>
      </c>
      <c r="K272" t="s">
        <v>595</v>
      </c>
    </row>
    <row r="273" spans="1:11">
      <c r="A273" t="s">
        <v>1766</v>
      </c>
      <c r="B273" t="s">
        <v>621</v>
      </c>
      <c r="C273" t="s">
        <v>620</v>
      </c>
      <c r="D273" t="s">
        <v>21</v>
      </c>
      <c r="E273" t="s">
        <v>22</v>
      </c>
      <c r="F273">
        <v>4</v>
      </c>
      <c r="G273" s="2">
        <v>46338.583333333336</v>
      </c>
      <c r="H273" s="2">
        <v>46338.6875</v>
      </c>
      <c r="I273" s="1">
        <v>46161</v>
      </c>
      <c r="J273" t="s">
        <v>1698</v>
      </c>
      <c r="K273" t="s">
        <v>595</v>
      </c>
    </row>
    <row r="274" spans="1:11">
      <c r="A274" t="s">
        <v>1774</v>
      </c>
      <c r="B274" t="s">
        <v>604</v>
      </c>
      <c r="C274" t="s">
        <v>603</v>
      </c>
      <c r="D274" t="s">
        <v>21</v>
      </c>
      <c r="E274" t="s">
        <v>22</v>
      </c>
      <c r="F274">
        <v>29</v>
      </c>
      <c r="G274" s="2">
        <v>46310.395833333336</v>
      </c>
      <c r="H274" s="2">
        <v>46310.729166666664</v>
      </c>
      <c r="I274" s="1">
        <v>46127</v>
      </c>
      <c r="J274" t="s">
        <v>1698</v>
      </c>
      <c r="K274" t="s">
        <v>595</v>
      </c>
    </row>
    <row r="275" spans="1:11">
      <c r="A275" t="s">
        <v>1774</v>
      </c>
      <c r="B275" t="s">
        <v>609</v>
      </c>
      <c r="C275" t="s">
        <v>608</v>
      </c>
      <c r="D275" t="s">
        <v>21</v>
      </c>
      <c r="E275" t="s">
        <v>25</v>
      </c>
      <c r="G275" s="2">
        <v>45708.333333333336</v>
      </c>
      <c r="H275" s="2">
        <v>47330.333333333336</v>
      </c>
      <c r="I275" t="s">
        <v>198</v>
      </c>
      <c r="J275" t="s">
        <v>1698</v>
      </c>
      <c r="K275" t="s">
        <v>595</v>
      </c>
    </row>
    <row r="276" spans="1:11">
      <c r="A276" t="s">
        <v>542</v>
      </c>
      <c r="B276" t="s">
        <v>1775</v>
      </c>
      <c r="C276" t="s">
        <v>1501</v>
      </c>
      <c r="D276" t="s">
        <v>21</v>
      </c>
      <c r="E276" t="s">
        <v>22</v>
      </c>
      <c r="F276">
        <v>5</v>
      </c>
      <c r="G276" s="2">
        <v>46182.375</v>
      </c>
      <c r="H276" s="2">
        <v>46182.520833333336</v>
      </c>
      <c r="I276" s="1">
        <v>46163</v>
      </c>
      <c r="J276" t="s">
        <v>1698</v>
      </c>
      <c r="K276" t="s">
        <v>542</v>
      </c>
    </row>
    <row r="277" spans="1:11">
      <c r="A277" t="s">
        <v>542</v>
      </c>
      <c r="B277" t="s">
        <v>1776</v>
      </c>
      <c r="C277" t="s">
        <v>1777</v>
      </c>
      <c r="D277" t="s">
        <v>21</v>
      </c>
      <c r="E277" t="s">
        <v>22</v>
      </c>
      <c r="F277">
        <v>4</v>
      </c>
      <c r="G277" s="2">
        <v>46126.375</v>
      </c>
      <c r="H277" s="2">
        <v>46126.520833333336</v>
      </c>
      <c r="I277" s="1">
        <v>46135</v>
      </c>
      <c r="J277" t="s">
        <v>1698</v>
      </c>
      <c r="K277" t="s">
        <v>542</v>
      </c>
    </row>
    <row r="278" spans="1:11">
      <c r="A278" t="s">
        <v>542</v>
      </c>
      <c r="B278" t="s">
        <v>543</v>
      </c>
      <c r="C278" t="s">
        <v>541</v>
      </c>
      <c r="D278" t="s">
        <v>21</v>
      </c>
      <c r="E278" t="s">
        <v>22</v>
      </c>
      <c r="F278">
        <v>21</v>
      </c>
      <c r="G278" s="2">
        <v>46344.375</v>
      </c>
      <c r="H278" s="2">
        <v>46345.520833333336</v>
      </c>
      <c r="I278" s="1">
        <v>46163</v>
      </c>
      <c r="J278" t="s">
        <v>1698</v>
      </c>
      <c r="K278" t="s">
        <v>542</v>
      </c>
    </row>
    <row r="279" spans="1:11">
      <c r="A279" t="s">
        <v>545</v>
      </c>
      <c r="B279" t="s">
        <v>546</v>
      </c>
      <c r="C279" t="s">
        <v>544</v>
      </c>
      <c r="D279" t="s">
        <v>21</v>
      </c>
      <c r="E279" t="s">
        <v>25</v>
      </c>
      <c r="G279" s="2">
        <v>45699.333333333336</v>
      </c>
      <c r="H279" s="2">
        <v>47326.333333333336</v>
      </c>
      <c r="I279" t="s">
        <v>198</v>
      </c>
      <c r="J279" t="s">
        <v>1698</v>
      </c>
      <c r="K279" t="s">
        <v>542</v>
      </c>
    </row>
    <row r="280" spans="1:11">
      <c r="A280" t="s">
        <v>545</v>
      </c>
      <c r="B280" t="s">
        <v>1145</v>
      </c>
      <c r="C280" t="s">
        <v>1146</v>
      </c>
      <c r="D280" t="s">
        <v>21</v>
      </c>
      <c r="E280" t="s">
        <v>22</v>
      </c>
      <c r="F280">
        <v>28</v>
      </c>
      <c r="G280" s="2">
        <v>46288.375</v>
      </c>
      <c r="H280" s="2">
        <v>46288.708333333336</v>
      </c>
      <c r="I280" s="1">
        <v>46161</v>
      </c>
      <c r="J280" t="s">
        <v>1698</v>
      </c>
      <c r="K280" t="s">
        <v>542</v>
      </c>
    </row>
    <row r="281" spans="1:11">
      <c r="A281" t="s">
        <v>545</v>
      </c>
      <c r="B281" t="s">
        <v>548</v>
      </c>
      <c r="C281" t="s">
        <v>547</v>
      </c>
      <c r="D281" t="s">
        <v>21</v>
      </c>
      <c r="E281" t="s">
        <v>22</v>
      </c>
      <c r="F281">
        <v>31</v>
      </c>
      <c r="G281" s="2">
        <v>46084.375</v>
      </c>
      <c r="H281" s="2">
        <v>46084.709027777775</v>
      </c>
      <c r="I281" s="1">
        <v>46132</v>
      </c>
      <c r="J281" t="s">
        <v>1698</v>
      </c>
      <c r="K281" t="s">
        <v>542</v>
      </c>
    </row>
    <row r="282" spans="1:11">
      <c r="A282" t="s">
        <v>545</v>
      </c>
      <c r="B282" t="s">
        <v>1147</v>
      </c>
      <c r="C282" t="s">
        <v>1148</v>
      </c>
      <c r="D282" t="s">
        <v>21</v>
      </c>
      <c r="E282" t="s">
        <v>22</v>
      </c>
      <c r="F282">
        <v>46</v>
      </c>
      <c r="G282" s="2">
        <v>46321.375</v>
      </c>
      <c r="H282" s="2">
        <v>46322.6875</v>
      </c>
      <c r="I282" s="1">
        <v>46163</v>
      </c>
      <c r="J282" t="s">
        <v>1698</v>
      </c>
      <c r="K282" t="s">
        <v>542</v>
      </c>
    </row>
    <row r="283" spans="1:11">
      <c r="A283" t="s">
        <v>545</v>
      </c>
      <c r="B283" t="s">
        <v>554</v>
      </c>
      <c r="C283" t="s">
        <v>553</v>
      </c>
      <c r="D283" t="s">
        <v>21</v>
      </c>
      <c r="E283" t="s">
        <v>22</v>
      </c>
      <c r="F283">
        <v>18</v>
      </c>
      <c r="G283" s="2">
        <v>46364.375</v>
      </c>
      <c r="H283" s="2">
        <v>46364.729166666664</v>
      </c>
      <c r="I283" s="1">
        <v>46160</v>
      </c>
      <c r="J283" t="s">
        <v>1698</v>
      </c>
      <c r="K283" t="s">
        <v>542</v>
      </c>
    </row>
    <row r="284" spans="1:11">
      <c r="A284" t="s">
        <v>545</v>
      </c>
      <c r="B284" t="s">
        <v>558</v>
      </c>
      <c r="C284" t="s">
        <v>557</v>
      </c>
      <c r="D284" t="s">
        <v>21</v>
      </c>
      <c r="E284" t="s">
        <v>22</v>
      </c>
      <c r="F284">
        <v>79</v>
      </c>
      <c r="G284" s="2">
        <v>46196.583333333336</v>
      </c>
      <c r="H284" s="2">
        <v>46196.729166666664</v>
      </c>
      <c r="I284" s="1">
        <v>46160</v>
      </c>
      <c r="J284" t="s">
        <v>1698</v>
      </c>
      <c r="K284" t="s">
        <v>542</v>
      </c>
    </row>
    <row r="285" spans="1:11">
      <c r="A285" t="s">
        <v>560</v>
      </c>
      <c r="B285" t="s">
        <v>1149</v>
      </c>
      <c r="C285" t="s">
        <v>1150</v>
      </c>
      <c r="D285" t="s">
        <v>21</v>
      </c>
      <c r="E285" t="s">
        <v>22</v>
      </c>
      <c r="F285">
        <v>13</v>
      </c>
      <c r="G285" s="2">
        <v>46100.416666666664</v>
      </c>
      <c r="H285" s="2">
        <v>46100.5</v>
      </c>
      <c r="I285" s="1">
        <v>46155</v>
      </c>
      <c r="J285" t="s">
        <v>1698</v>
      </c>
      <c r="K285" t="s">
        <v>542</v>
      </c>
    </row>
    <row r="286" spans="1:11">
      <c r="A286" t="s">
        <v>560</v>
      </c>
      <c r="B286" t="s">
        <v>1778</v>
      </c>
      <c r="C286" t="s">
        <v>559</v>
      </c>
      <c r="D286" t="s">
        <v>21</v>
      </c>
      <c r="E286" t="s">
        <v>22</v>
      </c>
      <c r="F286">
        <v>20</v>
      </c>
      <c r="G286" s="2">
        <v>46323.375</v>
      </c>
      <c r="H286" s="2">
        <v>46323.708333333336</v>
      </c>
      <c r="I286" s="1">
        <v>46160</v>
      </c>
      <c r="J286" t="s">
        <v>1698</v>
      </c>
      <c r="K286" t="s">
        <v>542</v>
      </c>
    </row>
    <row r="287" spans="1:11">
      <c r="A287" t="s">
        <v>560</v>
      </c>
      <c r="B287" t="s">
        <v>563</v>
      </c>
      <c r="C287" t="s">
        <v>562</v>
      </c>
      <c r="D287" t="s">
        <v>21</v>
      </c>
      <c r="E287" t="s">
        <v>22</v>
      </c>
      <c r="F287">
        <v>9</v>
      </c>
      <c r="G287" s="2">
        <v>46286.375</v>
      </c>
      <c r="H287" s="2">
        <v>46286.708333333336</v>
      </c>
      <c r="I287" s="1">
        <v>46163</v>
      </c>
      <c r="J287" t="s">
        <v>1698</v>
      </c>
      <c r="K287" t="s">
        <v>542</v>
      </c>
    </row>
    <row r="288" spans="1:11">
      <c r="A288" t="s">
        <v>560</v>
      </c>
      <c r="B288" t="s">
        <v>1513</v>
      </c>
      <c r="C288" t="s">
        <v>1514</v>
      </c>
      <c r="D288" t="s">
        <v>21</v>
      </c>
      <c r="E288" t="s">
        <v>22</v>
      </c>
      <c r="F288">
        <v>5</v>
      </c>
      <c r="G288" s="2">
        <v>46171.375</v>
      </c>
      <c r="H288" s="2">
        <v>46171.520833333336</v>
      </c>
      <c r="I288" s="1">
        <v>46163</v>
      </c>
      <c r="J288" t="s">
        <v>1698</v>
      </c>
      <c r="K288" t="s">
        <v>542</v>
      </c>
    </row>
    <row r="289" spans="1:11">
      <c r="A289" t="s">
        <v>560</v>
      </c>
      <c r="B289" t="s">
        <v>565</v>
      </c>
      <c r="C289" t="s">
        <v>1153</v>
      </c>
      <c r="D289" t="s">
        <v>21</v>
      </c>
      <c r="E289" t="s">
        <v>22</v>
      </c>
      <c r="F289">
        <v>6</v>
      </c>
      <c r="G289" s="2">
        <v>46268.375</v>
      </c>
      <c r="H289" s="2">
        <v>46269.520833333336</v>
      </c>
      <c r="I289" s="1">
        <v>46153</v>
      </c>
      <c r="J289" t="s">
        <v>1698</v>
      </c>
      <c r="K289" t="s">
        <v>542</v>
      </c>
    </row>
    <row r="290" spans="1:11">
      <c r="A290" t="s">
        <v>560</v>
      </c>
      <c r="B290" t="s">
        <v>567</v>
      </c>
      <c r="C290" t="s">
        <v>1154</v>
      </c>
      <c r="D290" t="s">
        <v>21</v>
      </c>
      <c r="E290" t="s">
        <v>22</v>
      </c>
      <c r="F290">
        <v>5</v>
      </c>
      <c r="G290" s="2">
        <v>46169.375</v>
      </c>
      <c r="H290" s="2">
        <v>46170.708333333336</v>
      </c>
      <c r="I290" s="1">
        <v>46163</v>
      </c>
      <c r="J290" t="s">
        <v>1698</v>
      </c>
      <c r="K290" t="s">
        <v>542</v>
      </c>
    </row>
    <row r="291" spans="1:11">
      <c r="A291" t="s">
        <v>560</v>
      </c>
      <c r="B291" t="s">
        <v>569</v>
      </c>
      <c r="C291" t="s">
        <v>568</v>
      </c>
      <c r="D291" t="s">
        <v>21</v>
      </c>
      <c r="E291" t="s">
        <v>22</v>
      </c>
      <c r="F291">
        <v>29</v>
      </c>
      <c r="G291" s="2">
        <v>46309.375</v>
      </c>
      <c r="H291" s="2">
        <v>46309.708333333336</v>
      </c>
      <c r="I291" s="1">
        <v>46161</v>
      </c>
      <c r="J291" t="s">
        <v>1698</v>
      </c>
      <c r="K291" t="s">
        <v>542</v>
      </c>
    </row>
    <row r="292" spans="1:11">
      <c r="A292" t="s">
        <v>560</v>
      </c>
      <c r="B292" t="s">
        <v>571</v>
      </c>
      <c r="C292" t="s">
        <v>1152</v>
      </c>
      <c r="D292" t="s">
        <v>21</v>
      </c>
      <c r="E292" t="s">
        <v>22</v>
      </c>
      <c r="F292">
        <v>17</v>
      </c>
      <c r="G292" s="2">
        <v>46267.375</v>
      </c>
      <c r="H292" s="2">
        <v>46267.708333333336</v>
      </c>
      <c r="I292" s="1">
        <v>46163</v>
      </c>
      <c r="J292" t="s">
        <v>1698</v>
      </c>
      <c r="K292" t="s">
        <v>542</v>
      </c>
    </row>
    <row r="293" spans="1:11">
      <c r="A293" t="s">
        <v>560</v>
      </c>
      <c r="B293" t="s">
        <v>573</v>
      </c>
      <c r="C293" t="s">
        <v>572</v>
      </c>
      <c r="D293" t="s">
        <v>21</v>
      </c>
      <c r="E293" t="s">
        <v>22</v>
      </c>
      <c r="F293">
        <v>47</v>
      </c>
      <c r="G293" s="2">
        <v>45916.385416666664</v>
      </c>
      <c r="H293" s="2">
        <v>45916.5</v>
      </c>
      <c r="I293" s="1">
        <v>46105</v>
      </c>
      <c r="J293" t="s">
        <v>1779</v>
      </c>
      <c r="K293" t="s">
        <v>542</v>
      </c>
    </row>
    <row r="294" spans="1:11">
      <c r="A294" t="s">
        <v>560</v>
      </c>
      <c r="B294" t="s">
        <v>575</v>
      </c>
      <c r="C294" t="s">
        <v>574</v>
      </c>
      <c r="D294" t="s">
        <v>21</v>
      </c>
      <c r="E294" t="s">
        <v>22</v>
      </c>
      <c r="F294">
        <v>3</v>
      </c>
      <c r="G294" s="2">
        <v>46181.458333333336</v>
      </c>
      <c r="H294" s="2">
        <v>46181.5</v>
      </c>
      <c r="I294" s="1">
        <v>46163</v>
      </c>
      <c r="J294" t="s">
        <v>1698</v>
      </c>
      <c r="K294" t="s">
        <v>542</v>
      </c>
    </row>
    <row r="295" spans="1:11">
      <c r="A295" t="s">
        <v>560</v>
      </c>
      <c r="B295" t="s">
        <v>577</v>
      </c>
      <c r="C295" t="s">
        <v>576</v>
      </c>
      <c r="D295" t="s">
        <v>21</v>
      </c>
      <c r="E295" t="s">
        <v>22</v>
      </c>
      <c r="F295">
        <v>151</v>
      </c>
      <c r="G295" s="2">
        <v>46356.375</v>
      </c>
      <c r="H295" s="2">
        <v>46356.520833333336</v>
      </c>
      <c r="I295" s="1">
        <v>46161</v>
      </c>
      <c r="J295" t="s">
        <v>1698</v>
      </c>
      <c r="K295" t="s">
        <v>542</v>
      </c>
    </row>
    <row r="296" spans="1:11">
      <c r="A296" t="s">
        <v>560</v>
      </c>
      <c r="B296" t="s">
        <v>579</v>
      </c>
      <c r="C296" t="s">
        <v>580</v>
      </c>
      <c r="D296" t="s">
        <v>21</v>
      </c>
      <c r="E296" t="s">
        <v>22</v>
      </c>
      <c r="F296">
        <v>7</v>
      </c>
      <c r="G296" s="2">
        <v>46185.375</v>
      </c>
      <c r="H296" s="2">
        <v>46185.708333333336</v>
      </c>
      <c r="I296" s="1">
        <v>46163</v>
      </c>
      <c r="J296" t="s">
        <v>1698</v>
      </c>
      <c r="K296" t="s">
        <v>542</v>
      </c>
    </row>
    <row r="297" spans="1:11">
      <c r="A297" t="s">
        <v>560</v>
      </c>
      <c r="B297" t="s">
        <v>1507</v>
      </c>
      <c r="C297" t="s">
        <v>1508</v>
      </c>
      <c r="D297" t="s">
        <v>21</v>
      </c>
      <c r="E297" t="s">
        <v>22</v>
      </c>
      <c r="F297">
        <v>2</v>
      </c>
      <c r="G297" s="2">
        <v>46183.375</v>
      </c>
      <c r="H297" s="2">
        <v>46183.521527777775</v>
      </c>
      <c r="I297" s="1">
        <v>46162</v>
      </c>
      <c r="J297" t="s">
        <v>1698</v>
      </c>
      <c r="K297" t="s">
        <v>542</v>
      </c>
    </row>
    <row r="298" spans="1:11">
      <c r="A298" t="s">
        <v>560</v>
      </c>
      <c r="B298" t="s">
        <v>1494</v>
      </c>
      <c r="C298" t="s">
        <v>1495</v>
      </c>
      <c r="D298" t="s">
        <v>21</v>
      </c>
      <c r="E298" t="s">
        <v>22</v>
      </c>
      <c r="F298">
        <v>1</v>
      </c>
      <c r="G298" s="2">
        <v>46184.583333333336</v>
      </c>
      <c r="H298" s="2">
        <v>46184.666666666664</v>
      </c>
      <c r="I298" s="1">
        <v>46162</v>
      </c>
      <c r="J298" t="s">
        <v>1698</v>
      </c>
      <c r="K298" t="s">
        <v>542</v>
      </c>
    </row>
    <row r="299" spans="1:11">
      <c r="A299" t="s">
        <v>560</v>
      </c>
      <c r="B299" t="s">
        <v>582</v>
      </c>
      <c r="C299" t="s">
        <v>581</v>
      </c>
      <c r="D299" t="s">
        <v>21</v>
      </c>
      <c r="E299" t="s">
        <v>25</v>
      </c>
      <c r="G299" s="2">
        <v>45696.333333333336</v>
      </c>
      <c r="H299" s="2">
        <v>47330.333333333336</v>
      </c>
      <c r="I299" t="s">
        <v>198</v>
      </c>
      <c r="J299" t="s">
        <v>1698</v>
      </c>
      <c r="K299" t="s">
        <v>542</v>
      </c>
    </row>
    <row r="300" spans="1:11">
      <c r="A300" t="s">
        <v>584</v>
      </c>
      <c r="B300" t="s">
        <v>585</v>
      </c>
      <c r="C300" t="s">
        <v>583</v>
      </c>
      <c r="D300" t="s">
        <v>21</v>
      </c>
      <c r="E300" t="s">
        <v>25</v>
      </c>
      <c r="G300" s="2">
        <v>45689.333333333336</v>
      </c>
      <c r="H300" s="2">
        <v>47325.333333333336</v>
      </c>
      <c r="I300" t="s">
        <v>198</v>
      </c>
      <c r="J300" t="s">
        <v>1698</v>
      </c>
      <c r="K300" t="s">
        <v>542</v>
      </c>
    </row>
    <row r="301" spans="1:11">
      <c r="A301" t="s">
        <v>584</v>
      </c>
      <c r="B301" t="s">
        <v>587</v>
      </c>
      <c r="C301" t="s">
        <v>586</v>
      </c>
      <c r="D301" t="s">
        <v>21</v>
      </c>
      <c r="E301" t="s">
        <v>22</v>
      </c>
      <c r="F301">
        <v>15</v>
      </c>
      <c r="G301" s="2">
        <v>46321.375</v>
      </c>
      <c r="H301" s="2">
        <v>46321.708333333336</v>
      </c>
      <c r="I301" s="1">
        <v>46161</v>
      </c>
      <c r="J301" t="s">
        <v>1698</v>
      </c>
      <c r="K301" t="s">
        <v>542</v>
      </c>
    </row>
    <row r="302" spans="1:11">
      <c r="A302" t="s">
        <v>584</v>
      </c>
      <c r="B302" t="s">
        <v>589</v>
      </c>
      <c r="C302" t="s">
        <v>588</v>
      </c>
      <c r="D302" t="s">
        <v>21</v>
      </c>
      <c r="E302" t="s">
        <v>22</v>
      </c>
      <c r="F302">
        <v>6</v>
      </c>
      <c r="G302" s="2">
        <v>46288.375</v>
      </c>
      <c r="H302" s="2">
        <v>46288.708333333336</v>
      </c>
      <c r="I302" s="1">
        <v>46161</v>
      </c>
      <c r="J302" t="s">
        <v>1698</v>
      </c>
      <c r="K302" t="s">
        <v>542</v>
      </c>
    </row>
    <row r="303" spans="1:11">
      <c r="A303" t="s">
        <v>584</v>
      </c>
      <c r="B303" t="s">
        <v>591</v>
      </c>
      <c r="C303" t="s">
        <v>1157</v>
      </c>
      <c r="D303" t="s">
        <v>21</v>
      </c>
      <c r="E303" t="s">
        <v>22</v>
      </c>
      <c r="F303">
        <v>89</v>
      </c>
      <c r="G303" s="2">
        <v>46343.375</v>
      </c>
      <c r="H303" s="2">
        <v>46343.708333333336</v>
      </c>
      <c r="I303" s="1">
        <v>46163</v>
      </c>
      <c r="J303" t="s">
        <v>1698</v>
      </c>
      <c r="K303" t="s">
        <v>542</v>
      </c>
    </row>
    <row r="304" spans="1:11">
      <c r="A304" t="s">
        <v>584</v>
      </c>
      <c r="B304" t="s">
        <v>1494</v>
      </c>
      <c r="C304" t="s">
        <v>1495</v>
      </c>
      <c r="D304" t="s">
        <v>21</v>
      </c>
      <c r="E304" t="s">
        <v>22</v>
      </c>
      <c r="F304">
        <v>1</v>
      </c>
      <c r="G304" s="2">
        <v>46184.583333333336</v>
      </c>
      <c r="H304" s="2">
        <v>46184.666666666664</v>
      </c>
      <c r="I304" s="1">
        <v>46162</v>
      </c>
      <c r="J304" t="s">
        <v>1698</v>
      </c>
      <c r="K304" t="s">
        <v>542</v>
      </c>
    </row>
    <row r="305" spans="1:11">
      <c r="A305" t="s">
        <v>584</v>
      </c>
      <c r="B305" t="s">
        <v>593</v>
      </c>
      <c r="C305" t="s">
        <v>1158</v>
      </c>
      <c r="D305" t="s">
        <v>21</v>
      </c>
      <c r="E305" t="s">
        <v>22</v>
      </c>
      <c r="F305">
        <v>97</v>
      </c>
      <c r="G305" s="2">
        <v>46321.375</v>
      </c>
      <c r="H305" s="2">
        <v>46321.708333333336</v>
      </c>
      <c r="I305" s="1">
        <v>46163</v>
      </c>
      <c r="J305" t="s">
        <v>1698</v>
      </c>
      <c r="K305" t="s">
        <v>542</v>
      </c>
    </row>
    <row r="306" spans="1:11">
      <c r="A306" t="s">
        <v>623</v>
      </c>
      <c r="B306" t="s">
        <v>628</v>
      </c>
      <c r="C306" t="s">
        <v>627</v>
      </c>
      <c r="D306" t="s">
        <v>16</v>
      </c>
      <c r="G306" t="s">
        <v>17</v>
      </c>
      <c r="J306" t="s">
        <v>1698</v>
      </c>
      <c r="K306" t="s">
        <v>623</v>
      </c>
    </row>
    <row r="307" spans="1:11">
      <c r="A307" t="s">
        <v>623</v>
      </c>
      <c r="B307" t="s">
        <v>624</v>
      </c>
      <c r="C307" t="s">
        <v>622</v>
      </c>
      <c r="D307" t="s">
        <v>21</v>
      </c>
      <c r="E307" t="s">
        <v>22</v>
      </c>
      <c r="F307">
        <v>2</v>
      </c>
      <c r="G307" s="2">
        <v>45992.392361111109</v>
      </c>
      <c r="H307" s="2">
        <v>46295.333333333336</v>
      </c>
      <c r="I307" s="1">
        <v>46043</v>
      </c>
      <c r="J307" t="s">
        <v>1698</v>
      </c>
      <c r="K307" t="s">
        <v>623</v>
      </c>
    </row>
    <row r="308" spans="1:11">
      <c r="A308" t="s">
        <v>623</v>
      </c>
      <c r="B308" t="s">
        <v>630</v>
      </c>
      <c r="C308" t="s">
        <v>629</v>
      </c>
      <c r="D308" t="s">
        <v>21</v>
      </c>
      <c r="E308" t="s">
        <v>25</v>
      </c>
      <c r="G308" s="2">
        <v>45628.333333333336</v>
      </c>
      <c r="H308" s="2">
        <v>47301.333333333336</v>
      </c>
      <c r="I308" t="s">
        <v>198</v>
      </c>
      <c r="J308" t="s">
        <v>1698</v>
      </c>
      <c r="K308" t="s">
        <v>623</v>
      </c>
    </row>
    <row r="309" spans="1:11">
      <c r="A309" t="s">
        <v>623</v>
      </c>
      <c r="B309" t="s">
        <v>634</v>
      </c>
      <c r="C309" t="s">
        <v>633</v>
      </c>
      <c r="D309" t="s">
        <v>38</v>
      </c>
      <c r="I309" s="1">
        <v>46155</v>
      </c>
      <c r="K309" t="s">
        <v>623</v>
      </c>
    </row>
    <row r="310" spans="1:11">
      <c r="A310" t="s">
        <v>623</v>
      </c>
      <c r="B310" t="s">
        <v>636</v>
      </c>
      <c r="C310" t="s">
        <v>635</v>
      </c>
      <c r="D310" t="s">
        <v>38</v>
      </c>
      <c r="I310" s="1">
        <v>46146</v>
      </c>
      <c r="K310" t="s">
        <v>623</v>
      </c>
    </row>
    <row r="311" spans="1:11">
      <c r="A311" t="s">
        <v>623</v>
      </c>
      <c r="B311" t="s">
        <v>638</v>
      </c>
      <c r="C311" t="s">
        <v>637</v>
      </c>
      <c r="D311" t="s">
        <v>38</v>
      </c>
      <c r="I311" s="1">
        <v>46128</v>
      </c>
      <c r="K311" t="s">
        <v>623</v>
      </c>
    </row>
    <row r="312" spans="1:11">
      <c r="A312" t="s">
        <v>623</v>
      </c>
      <c r="B312" t="s">
        <v>1780</v>
      </c>
      <c r="C312" t="s">
        <v>1781</v>
      </c>
      <c r="D312" t="s">
        <v>16</v>
      </c>
      <c r="G312" s="2">
        <v>46176.4375</v>
      </c>
      <c r="H312" s="2">
        <v>46176.479166666664</v>
      </c>
      <c r="I312" s="1">
        <v>46162</v>
      </c>
      <c r="J312" t="s">
        <v>1698</v>
      </c>
      <c r="K312" t="s">
        <v>623</v>
      </c>
    </row>
    <row r="313" spans="1:11">
      <c r="A313" t="s">
        <v>623</v>
      </c>
      <c r="B313" t="s">
        <v>645</v>
      </c>
      <c r="C313" t="s">
        <v>644</v>
      </c>
      <c r="D313" t="s">
        <v>21</v>
      </c>
      <c r="E313" t="s">
        <v>22</v>
      </c>
      <c r="F313">
        <v>6</v>
      </c>
      <c r="G313" s="2">
        <v>45832.395833333336</v>
      </c>
      <c r="H313" s="2">
        <v>45832.520833333336</v>
      </c>
      <c r="I313" s="1">
        <v>46029</v>
      </c>
      <c r="J313" t="s">
        <v>1698</v>
      </c>
      <c r="K313" t="s">
        <v>623</v>
      </c>
    </row>
    <row r="314" spans="1:11">
      <c r="A314" t="s">
        <v>623</v>
      </c>
      <c r="B314" t="s">
        <v>647</v>
      </c>
      <c r="C314" t="s">
        <v>646</v>
      </c>
      <c r="D314" t="s">
        <v>21</v>
      </c>
      <c r="E314" t="s">
        <v>22</v>
      </c>
      <c r="F314">
        <v>5</v>
      </c>
      <c r="G314" s="2">
        <v>45968.416666666664</v>
      </c>
      <c r="H314" s="2">
        <v>45968.5</v>
      </c>
      <c r="I314" s="1">
        <v>45989</v>
      </c>
      <c r="J314" t="s">
        <v>1698</v>
      </c>
      <c r="K314" t="s">
        <v>623</v>
      </c>
    </row>
    <row r="315" spans="1:11">
      <c r="A315" t="s">
        <v>1163</v>
      </c>
      <c r="B315" t="s">
        <v>1782</v>
      </c>
      <c r="C315" t="s">
        <v>1783</v>
      </c>
      <c r="D315" t="s">
        <v>16</v>
      </c>
      <c r="G315" t="s">
        <v>17</v>
      </c>
      <c r="I315" s="1">
        <v>46162</v>
      </c>
      <c r="J315" t="s">
        <v>1698</v>
      </c>
      <c r="K315" t="s">
        <v>623</v>
      </c>
    </row>
    <row r="316" spans="1:11">
      <c r="A316" t="s">
        <v>1163</v>
      </c>
      <c r="B316" t="s">
        <v>1784</v>
      </c>
      <c r="C316" t="s">
        <v>1785</v>
      </c>
      <c r="D316" t="s">
        <v>16</v>
      </c>
      <c r="G316" t="s">
        <v>17</v>
      </c>
      <c r="I316" s="1">
        <v>46162</v>
      </c>
      <c r="J316" t="s">
        <v>1698</v>
      </c>
      <c r="K316" t="s">
        <v>623</v>
      </c>
    </row>
    <row r="317" spans="1:11">
      <c r="A317" t="s">
        <v>1163</v>
      </c>
      <c r="B317" t="s">
        <v>1786</v>
      </c>
      <c r="C317" t="s">
        <v>1787</v>
      </c>
      <c r="D317" t="s">
        <v>21</v>
      </c>
      <c r="E317" t="s">
        <v>22</v>
      </c>
      <c r="F317">
        <v>39</v>
      </c>
      <c r="G317" s="2">
        <v>46317.5625</v>
      </c>
      <c r="H317" s="2">
        <v>46318.708333333336</v>
      </c>
      <c r="I317" s="1">
        <v>46162</v>
      </c>
      <c r="J317" t="s">
        <v>1788</v>
      </c>
      <c r="K317" t="s">
        <v>623</v>
      </c>
    </row>
    <row r="318" spans="1:11">
      <c r="A318" t="s">
        <v>1163</v>
      </c>
      <c r="B318" t="s">
        <v>294</v>
      </c>
      <c r="C318" t="s">
        <v>292</v>
      </c>
      <c r="D318" t="s">
        <v>21</v>
      </c>
      <c r="E318" t="s">
        <v>22</v>
      </c>
      <c r="F318">
        <v>21</v>
      </c>
      <c r="G318" s="2">
        <v>46184.458333333336</v>
      </c>
      <c r="H318" s="2">
        <v>46184.5</v>
      </c>
      <c r="I318" s="1">
        <v>46163</v>
      </c>
      <c r="J318" t="s">
        <v>1698</v>
      </c>
      <c r="K318" t="s">
        <v>623</v>
      </c>
    </row>
    <row r="319" spans="1:11">
      <c r="A319" t="s">
        <v>1163</v>
      </c>
      <c r="B319" t="s">
        <v>296</v>
      </c>
      <c r="C319" t="s">
        <v>295</v>
      </c>
      <c r="D319" t="s">
        <v>21</v>
      </c>
      <c r="E319" t="s">
        <v>25</v>
      </c>
      <c r="I319" s="1">
        <v>46161</v>
      </c>
      <c r="J319" t="s">
        <v>1698</v>
      </c>
      <c r="K319" t="s">
        <v>623</v>
      </c>
    </row>
    <row r="320" spans="1:11">
      <c r="A320" t="s">
        <v>1163</v>
      </c>
      <c r="B320" t="s">
        <v>1789</v>
      </c>
      <c r="C320" t="s">
        <v>1790</v>
      </c>
      <c r="D320" t="s">
        <v>21</v>
      </c>
      <c r="E320" t="s">
        <v>22</v>
      </c>
      <c r="F320">
        <v>0</v>
      </c>
      <c r="G320" s="2">
        <v>46295.395833333336</v>
      </c>
      <c r="H320" s="2">
        <v>46295.458333333336</v>
      </c>
      <c r="I320" s="1">
        <v>46111</v>
      </c>
      <c r="J320" t="s">
        <v>1698</v>
      </c>
      <c r="K320" t="s">
        <v>623</v>
      </c>
    </row>
    <row r="321" spans="1:11">
      <c r="A321" t="s">
        <v>1163</v>
      </c>
      <c r="B321" t="s">
        <v>1791</v>
      </c>
      <c r="C321" t="s">
        <v>1792</v>
      </c>
      <c r="D321" t="s">
        <v>21</v>
      </c>
      <c r="E321" t="s">
        <v>22</v>
      </c>
      <c r="F321">
        <v>29</v>
      </c>
      <c r="G321" s="2">
        <v>46286.395833333336</v>
      </c>
      <c r="H321" s="2">
        <v>46287.520833333336</v>
      </c>
      <c r="I321" s="1">
        <v>46162</v>
      </c>
      <c r="J321" t="s">
        <v>1746</v>
      </c>
      <c r="K321" t="s">
        <v>623</v>
      </c>
    </row>
    <row r="322" spans="1:11">
      <c r="A322" t="s">
        <v>1163</v>
      </c>
      <c r="B322" t="s">
        <v>1793</v>
      </c>
      <c r="C322" t="s">
        <v>1794</v>
      </c>
      <c r="D322" t="s">
        <v>21</v>
      </c>
      <c r="E322" t="s">
        <v>22</v>
      </c>
      <c r="F322">
        <v>25</v>
      </c>
      <c r="G322" s="2">
        <v>46359.375</v>
      </c>
      <c r="H322" s="2">
        <v>46359.541666666664</v>
      </c>
      <c r="I322" s="1">
        <v>46162</v>
      </c>
      <c r="J322" t="s">
        <v>1795</v>
      </c>
      <c r="K322" t="s">
        <v>623</v>
      </c>
    </row>
    <row r="323" spans="1:11">
      <c r="A323" t="s">
        <v>1163</v>
      </c>
      <c r="B323" t="s">
        <v>1796</v>
      </c>
      <c r="C323" t="s">
        <v>1797</v>
      </c>
      <c r="D323" t="s">
        <v>21</v>
      </c>
      <c r="E323" t="s">
        <v>22</v>
      </c>
      <c r="F323">
        <v>11</v>
      </c>
      <c r="G323" s="2">
        <v>46189.395833333336</v>
      </c>
      <c r="H323" s="2">
        <v>46189.541666666664</v>
      </c>
      <c r="I323" s="1">
        <v>46162</v>
      </c>
      <c r="J323" t="s">
        <v>1795</v>
      </c>
      <c r="K323" t="s">
        <v>623</v>
      </c>
    </row>
    <row r="324" spans="1:11">
      <c r="A324" t="s">
        <v>1163</v>
      </c>
      <c r="B324" t="s">
        <v>1164</v>
      </c>
      <c r="C324" t="s">
        <v>1165</v>
      </c>
      <c r="D324" t="s">
        <v>21</v>
      </c>
      <c r="E324" t="s">
        <v>25</v>
      </c>
      <c r="I324" s="1">
        <v>46163</v>
      </c>
      <c r="J324" t="s">
        <v>1698</v>
      </c>
      <c r="K324" t="s">
        <v>623</v>
      </c>
    </row>
    <row r="325" spans="1:11">
      <c r="A325" t="s">
        <v>1163</v>
      </c>
      <c r="B325" t="s">
        <v>1166</v>
      </c>
      <c r="C325" t="s">
        <v>1167</v>
      </c>
      <c r="D325" t="s">
        <v>21</v>
      </c>
      <c r="E325" t="s">
        <v>22</v>
      </c>
      <c r="F325">
        <v>0</v>
      </c>
      <c r="G325" s="2">
        <v>46279.458333333336</v>
      </c>
      <c r="H325" s="2">
        <v>46279.5</v>
      </c>
      <c r="I325" s="1">
        <v>46163</v>
      </c>
      <c r="J325" t="s">
        <v>1698</v>
      </c>
      <c r="K325" t="s">
        <v>623</v>
      </c>
    </row>
    <row r="326" spans="1:11">
      <c r="A326" t="s">
        <v>1163</v>
      </c>
      <c r="B326" t="s">
        <v>1168</v>
      </c>
      <c r="C326" t="s">
        <v>1169</v>
      </c>
      <c r="D326" t="s">
        <v>21</v>
      </c>
      <c r="E326" t="s">
        <v>22</v>
      </c>
      <c r="F326">
        <v>2</v>
      </c>
      <c r="G326" s="2">
        <v>46133.625</v>
      </c>
      <c r="H326" s="2">
        <v>46133.666666666664</v>
      </c>
      <c r="I326" s="1">
        <v>46136</v>
      </c>
      <c r="J326" t="s">
        <v>1698</v>
      </c>
      <c r="K326" t="s">
        <v>623</v>
      </c>
    </row>
    <row r="327" spans="1:11">
      <c r="A327" t="s">
        <v>1163</v>
      </c>
      <c r="B327" t="s">
        <v>1170</v>
      </c>
      <c r="C327" t="s">
        <v>1171</v>
      </c>
      <c r="D327" t="s">
        <v>21</v>
      </c>
      <c r="E327" t="s">
        <v>25</v>
      </c>
      <c r="I327" s="1">
        <v>46152</v>
      </c>
      <c r="J327" t="s">
        <v>1698</v>
      </c>
      <c r="K327" t="s">
        <v>623</v>
      </c>
    </row>
    <row r="328" spans="1:11">
      <c r="A328" t="s">
        <v>1163</v>
      </c>
      <c r="B328" t="s">
        <v>1172</v>
      </c>
      <c r="C328" t="s">
        <v>1173</v>
      </c>
      <c r="D328" t="s">
        <v>21</v>
      </c>
      <c r="E328" t="s">
        <v>22</v>
      </c>
      <c r="F328">
        <v>37</v>
      </c>
      <c r="G328" s="2">
        <v>46289.479166666664</v>
      </c>
      <c r="H328" s="2">
        <v>46289.520833333336</v>
      </c>
      <c r="I328" s="1">
        <v>46163</v>
      </c>
      <c r="J328" t="s">
        <v>1698</v>
      </c>
      <c r="K328" t="s">
        <v>623</v>
      </c>
    </row>
    <row r="329" spans="1:11">
      <c r="A329" t="s">
        <v>1163</v>
      </c>
      <c r="B329" t="s">
        <v>1798</v>
      </c>
      <c r="C329" t="s">
        <v>1799</v>
      </c>
      <c r="D329" t="s">
        <v>21</v>
      </c>
      <c r="E329" t="s">
        <v>22</v>
      </c>
      <c r="F329">
        <v>25</v>
      </c>
      <c r="G329" s="2">
        <v>46308.416666666664</v>
      </c>
      <c r="H329" s="2">
        <v>46308.458333333336</v>
      </c>
      <c r="I329" s="1">
        <v>46162</v>
      </c>
      <c r="J329" t="s">
        <v>1698</v>
      </c>
      <c r="K329" t="s">
        <v>623</v>
      </c>
    </row>
    <row r="330" spans="1:11">
      <c r="A330" t="s">
        <v>1163</v>
      </c>
      <c r="B330" t="s">
        <v>1800</v>
      </c>
      <c r="C330" t="s">
        <v>1801</v>
      </c>
      <c r="D330" t="s">
        <v>21</v>
      </c>
      <c r="E330" t="s">
        <v>22</v>
      </c>
      <c r="F330">
        <v>15</v>
      </c>
      <c r="G330" s="2">
        <v>46344.583333333336</v>
      </c>
      <c r="H330" s="2">
        <v>46344.708333333336</v>
      </c>
      <c r="I330" s="1">
        <v>46115</v>
      </c>
      <c r="J330" t="s">
        <v>1795</v>
      </c>
      <c r="K330" t="s">
        <v>623</v>
      </c>
    </row>
    <row r="331" spans="1:11">
      <c r="A331" t="s">
        <v>1163</v>
      </c>
      <c r="B331" t="s">
        <v>1174</v>
      </c>
      <c r="C331" t="s">
        <v>1175</v>
      </c>
      <c r="D331" t="s">
        <v>21</v>
      </c>
      <c r="E331" t="s">
        <v>22</v>
      </c>
      <c r="F331">
        <v>41</v>
      </c>
      <c r="G331" s="2">
        <v>46148.479166666664</v>
      </c>
      <c r="H331" s="2">
        <v>46148.520833333336</v>
      </c>
      <c r="I331" s="1">
        <v>46150</v>
      </c>
      <c r="J331" t="s">
        <v>1698</v>
      </c>
      <c r="K331" t="s">
        <v>623</v>
      </c>
    </row>
    <row r="332" spans="1:11">
      <c r="A332" t="s">
        <v>1163</v>
      </c>
      <c r="B332" t="s">
        <v>1176</v>
      </c>
      <c r="C332" t="s">
        <v>1177</v>
      </c>
      <c r="D332" t="s">
        <v>21</v>
      </c>
      <c r="E332" t="s">
        <v>25</v>
      </c>
      <c r="I332" s="1">
        <v>46162</v>
      </c>
      <c r="J332" t="s">
        <v>1698</v>
      </c>
      <c r="K332" t="s">
        <v>623</v>
      </c>
    </row>
    <row r="333" spans="1:11">
      <c r="A333" t="s">
        <v>1163</v>
      </c>
      <c r="B333" t="s">
        <v>1178</v>
      </c>
      <c r="C333" t="s">
        <v>1179</v>
      </c>
      <c r="D333" t="s">
        <v>21</v>
      </c>
      <c r="E333" t="s">
        <v>22</v>
      </c>
      <c r="F333">
        <v>0</v>
      </c>
      <c r="G333" s="2">
        <v>46056.458333333336</v>
      </c>
      <c r="H333" s="2">
        <v>46056.5</v>
      </c>
      <c r="I333" s="1">
        <v>46056</v>
      </c>
      <c r="J333" t="s">
        <v>1698</v>
      </c>
      <c r="K333" t="s">
        <v>623</v>
      </c>
    </row>
    <row r="334" spans="1:11">
      <c r="A334" t="s">
        <v>1163</v>
      </c>
      <c r="B334" t="s">
        <v>1802</v>
      </c>
      <c r="C334" t="s">
        <v>1803</v>
      </c>
      <c r="D334" t="s">
        <v>21</v>
      </c>
      <c r="E334" t="s">
        <v>22</v>
      </c>
      <c r="F334">
        <v>9</v>
      </c>
      <c r="G334" s="2">
        <v>46185.395833333336</v>
      </c>
      <c r="H334" s="2">
        <v>46185.541666666664</v>
      </c>
      <c r="I334" s="1">
        <v>46059</v>
      </c>
      <c r="J334" t="s">
        <v>1795</v>
      </c>
      <c r="K334" t="s">
        <v>623</v>
      </c>
    </row>
    <row r="335" spans="1:11">
      <c r="A335" t="s">
        <v>1163</v>
      </c>
      <c r="B335" t="s">
        <v>1804</v>
      </c>
      <c r="C335" t="s">
        <v>1805</v>
      </c>
      <c r="D335" t="s">
        <v>21</v>
      </c>
      <c r="E335" t="s">
        <v>22</v>
      </c>
      <c r="F335">
        <v>29</v>
      </c>
      <c r="G335" s="2">
        <v>46129.395833333336</v>
      </c>
      <c r="H335" s="2">
        <v>46129.541666666664</v>
      </c>
      <c r="I335" s="1">
        <v>46129</v>
      </c>
      <c r="J335" t="s">
        <v>1779</v>
      </c>
      <c r="K335" t="s">
        <v>623</v>
      </c>
    </row>
    <row r="336" spans="1:11">
      <c r="A336" t="s">
        <v>1163</v>
      </c>
      <c r="B336" t="s">
        <v>1806</v>
      </c>
      <c r="C336" t="s">
        <v>1807</v>
      </c>
      <c r="D336" t="s">
        <v>21</v>
      </c>
      <c r="E336" t="s">
        <v>22</v>
      </c>
      <c r="F336">
        <v>54</v>
      </c>
      <c r="G336" s="2">
        <v>46345.395833333336</v>
      </c>
      <c r="H336" s="2">
        <v>46346.541666666664</v>
      </c>
      <c r="I336" s="1">
        <v>46161</v>
      </c>
      <c r="J336" t="s">
        <v>1746</v>
      </c>
      <c r="K336" t="s">
        <v>623</v>
      </c>
    </row>
    <row r="337" spans="1:11">
      <c r="A337" t="s">
        <v>1163</v>
      </c>
      <c r="B337" t="s">
        <v>1808</v>
      </c>
      <c r="C337" t="s">
        <v>1809</v>
      </c>
      <c r="D337" t="s">
        <v>21</v>
      </c>
      <c r="E337" t="s">
        <v>22</v>
      </c>
      <c r="F337">
        <v>12</v>
      </c>
      <c r="G337" s="2">
        <v>46063.395833333336</v>
      </c>
      <c r="H337" s="2">
        <v>46063.708333333336</v>
      </c>
      <c r="I337" s="1">
        <v>46147</v>
      </c>
      <c r="J337" t="s">
        <v>1746</v>
      </c>
      <c r="K337" t="s">
        <v>623</v>
      </c>
    </row>
    <row r="338" spans="1:11">
      <c r="A338" t="s">
        <v>1163</v>
      </c>
      <c r="B338" t="s">
        <v>1810</v>
      </c>
      <c r="C338" t="s">
        <v>1811</v>
      </c>
      <c r="D338" t="s">
        <v>21</v>
      </c>
      <c r="E338" t="s">
        <v>22</v>
      </c>
      <c r="F338">
        <v>1</v>
      </c>
      <c r="G338" s="2">
        <v>46178.395833333336</v>
      </c>
      <c r="H338" s="2">
        <v>46178.520833333336</v>
      </c>
      <c r="I338" s="1">
        <v>46155</v>
      </c>
      <c r="J338" t="s">
        <v>1795</v>
      </c>
      <c r="K338" t="s">
        <v>623</v>
      </c>
    </row>
    <row r="339" spans="1:11">
      <c r="A339" t="s">
        <v>1163</v>
      </c>
      <c r="B339" t="s">
        <v>1812</v>
      </c>
      <c r="C339" t="s">
        <v>1813</v>
      </c>
      <c r="D339" t="s">
        <v>21</v>
      </c>
      <c r="E339" t="s">
        <v>22</v>
      </c>
      <c r="F339">
        <v>66</v>
      </c>
      <c r="G339" s="2">
        <v>46183.395833333336</v>
      </c>
      <c r="H339" s="2">
        <v>46183.520833333336</v>
      </c>
      <c r="I339" s="1">
        <v>46153</v>
      </c>
      <c r="J339" t="s">
        <v>1795</v>
      </c>
      <c r="K339" t="s">
        <v>623</v>
      </c>
    </row>
    <row r="340" spans="1:11">
      <c r="A340" t="s">
        <v>1163</v>
      </c>
      <c r="B340" t="s">
        <v>1814</v>
      </c>
      <c r="C340" t="s">
        <v>1815</v>
      </c>
      <c r="D340" t="s">
        <v>21</v>
      </c>
      <c r="E340" t="s">
        <v>22</v>
      </c>
      <c r="F340">
        <v>28</v>
      </c>
      <c r="G340" s="2">
        <v>46311.395833333336</v>
      </c>
      <c r="H340" s="2">
        <v>46311.520833333336</v>
      </c>
      <c r="I340" s="1">
        <v>46121</v>
      </c>
      <c r="J340" t="s">
        <v>1795</v>
      </c>
      <c r="K340" t="s">
        <v>623</v>
      </c>
    </row>
    <row r="341" spans="1:11">
      <c r="A341" t="s">
        <v>1163</v>
      </c>
      <c r="B341" t="s">
        <v>1816</v>
      </c>
      <c r="C341" t="s">
        <v>1817</v>
      </c>
      <c r="D341" t="s">
        <v>21</v>
      </c>
      <c r="E341" t="s">
        <v>22</v>
      </c>
      <c r="F341">
        <v>3</v>
      </c>
      <c r="G341" s="2">
        <v>46276.395833333336</v>
      </c>
      <c r="H341" s="2">
        <v>46276.520833333336</v>
      </c>
      <c r="I341" s="1">
        <v>46148</v>
      </c>
      <c r="J341" t="s">
        <v>1795</v>
      </c>
      <c r="K341" t="s">
        <v>623</v>
      </c>
    </row>
    <row r="342" spans="1:11">
      <c r="A342" t="s">
        <v>1163</v>
      </c>
      <c r="B342" t="s">
        <v>1818</v>
      </c>
      <c r="C342" t="s">
        <v>1819</v>
      </c>
      <c r="D342" t="s">
        <v>21</v>
      </c>
      <c r="E342" t="s">
        <v>22</v>
      </c>
      <c r="F342">
        <v>55</v>
      </c>
      <c r="G342" s="2">
        <v>46108.395833333336</v>
      </c>
      <c r="H342" s="2">
        <v>46108.520833333336</v>
      </c>
      <c r="I342" s="1">
        <v>46132</v>
      </c>
      <c r="J342" t="s">
        <v>1795</v>
      </c>
      <c r="K342" t="s">
        <v>623</v>
      </c>
    </row>
    <row r="343" spans="1:11">
      <c r="A343" t="s">
        <v>1163</v>
      </c>
      <c r="B343" t="s">
        <v>575</v>
      </c>
      <c r="C343" t="s">
        <v>574</v>
      </c>
      <c r="D343" t="s">
        <v>21</v>
      </c>
      <c r="E343" t="s">
        <v>22</v>
      </c>
      <c r="F343">
        <v>3</v>
      </c>
      <c r="G343" s="2">
        <v>46181.458333333336</v>
      </c>
      <c r="H343" s="2">
        <v>46181.5</v>
      </c>
      <c r="I343" s="1">
        <v>46163</v>
      </c>
      <c r="J343" t="s">
        <v>1698</v>
      </c>
      <c r="K343" t="s">
        <v>623</v>
      </c>
    </row>
    <row r="344" spans="1:11">
      <c r="A344" t="s">
        <v>1163</v>
      </c>
      <c r="B344" t="s">
        <v>1180</v>
      </c>
      <c r="C344" t="s">
        <v>1181</v>
      </c>
      <c r="D344" t="s">
        <v>21</v>
      </c>
      <c r="E344" t="s">
        <v>25</v>
      </c>
      <c r="I344" s="1">
        <v>46119</v>
      </c>
      <c r="J344" t="s">
        <v>1698</v>
      </c>
      <c r="K344" t="s">
        <v>623</v>
      </c>
    </row>
    <row r="345" spans="1:11">
      <c r="A345" t="s">
        <v>1163</v>
      </c>
      <c r="B345" t="s">
        <v>1820</v>
      </c>
      <c r="C345" t="s">
        <v>1821</v>
      </c>
      <c r="D345" t="s">
        <v>21</v>
      </c>
      <c r="E345" t="s">
        <v>22</v>
      </c>
      <c r="F345">
        <v>32</v>
      </c>
      <c r="G345" s="2">
        <v>46063.395833333336</v>
      </c>
      <c r="H345" s="2">
        <v>46063.709027777775</v>
      </c>
      <c r="I345" s="1">
        <v>46149</v>
      </c>
      <c r="J345" t="s">
        <v>1746</v>
      </c>
      <c r="K345" t="s">
        <v>623</v>
      </c>
    </row>
    <row r="346" spans="1:11">
      <c r="A346" t="s">
        <v>1163</v>
      </c>
      <c r="B346" t="s">
        <v>1822</v>
      </c>
      <c r="C346" t="s">
        <v>1823</v>
      </c>
      <c r="D346" t="s">
        <v>21</v>
      </c>
      <c r="E346" t="s">
        <v>22</v>
      </c>
      <c r="F346">
        <v>39</v>
      </c>
      <c r="G346" s="2">
        <v>46205.5625</v>
      </c>
      <c r="H346" s="2">
        <v>46206.541666666664</v>
      </c>
      <c r="I346" s="1">
        <v>46160</v>
      </c>
      <c r="J346" t="s">
        <v>1746</v>
      </c>
      <c r="K346" t="s">
        <v>623</v>
      </c>
    </row>
    <row r="347" spans="1:11">
      <c r="A347" t="s">
        <v>1163</v>
      </c>
      <c r="B347" t="s">
        <v>1824</v>
      </c>
      <c r="C347" t="s">
        <v>1825</v>
      </c>
      <c r="D347" t="s">
        <v>21</v>
      </c>
      <c r="E347" t="s">
        <v>22</v>
      </c>
      <c r="F347">
        <v>25</v>
      </c>
      <c r="G347" s="2">
        <v>46126.375</v>
      </c>
      <c r="H347" s="2">
        <v>46127.520833333336</v>
      </c>
      <c r="I347" s="1">
        <v>46132</v>
      </c>
      <c r="J347" t="s">
        <v>1746</v>
      </c>
      <c r="K347" t="s">
        <v>623</v>
      </c>
    </row>
    <row r="348" spans="1:11">
      <c r="A348" t="s">
        <v>1163</v>
      </c>
      <c r="B348" t="s">
        <v>1826</v>
      </c>
      <c r="C348" t="s">
        <v>1827</v>
      </c>
      <c r="D348" t="s">
        <v>21</v>
      </c>
      <c r="E348" t="s">
        <v>22</v>
      </c>
      <c r="F348">
        <v>5</v>
      </c>
      <c r="G348" s="2">
        <v>46310.458333333336</v>
      </c>
      <c r="H348" s="2">
        <v>46310.5</v>
      </c>
      <c r="I348" s="1">
        <v>46162</v>
      </c>
      <c r="J348" t="s">
        <v>1698</v>
      </c>
      <c r="K348" t="s">
        <v>623</v>
      </c>
    </row>
    <row r="349" spans="1:11">
      <c r="A349" t="s">
        <v>1163</v>
      </c>
      <c r="B349" t="s">
        <v>1182</v>
      </c>
      <c r="C349" t="s">
        <v>1183</v>
      </c>
      <c r="D349" t="s">
        <v>21</v>
      </c>
      <c r="E349" t="s">
        <v>25</v>
      </c>
      <c r="I349" s="1">
        <v>46162</v>
      </c>
      <c r="J349" t="s">
        <v>1698</v>
      </c>
      <c r="K349" t="s">
        <v>623</v>
      </c>
    </row>
    <row r="350" spans="1:11">
      <c r="A350" t="s">
        <v>1163</v>
      </c>
      <c r="B350" t="s">
        <v>1184</v>
      </c>
      <c r="C350" t="s">
        <v>1185</v>
      </c>
      <c r="D350" t="s">
        <v>21</v>
      </c>
      <c r="E350" t="s">
        <v>22</v>
      </c>
      <c r="F350">
        <v>4</v>
      </c>
      <c r="G350" s="2">
        <v>46199.458333333336</v>
      </c>
      <c r="H350" s="2">
        <v>46199.5</v>
      </c>
      <c r="I350" s="1">
        <v>46163</v>
      </c>
      <c r="J350" t="s">
        <v>1698</v>
      </c>
      <c r="K350" t="s">
        <v>623</v>
      </c>
    </row>
    <row r="351" spans="1:11">
      <c r="A351" t="s">
        <v>1163</v>
      </c>
      <c r="B351" t="s">
        <v>1828</v>
      </c>
      <c r="C351" t="s">
        <v>1829</v>
      </c>
      <c r="D351" t="s">
        <v>21</v>
      </c>
      <c r="E351" t="s">
        <v>22</v>
      </c>
      <c r="F351">
        <v>29</v>
      </c>
      <c r="G351" s="2">
        <v>46349.395833333336</v>
      </c>
      <c r="H351" s="2">
        <v>46350.541666666664</v>
      </c>
      <c r="I351" s="1">
        <v>46161</v>
      </c>
      <c r="J351" t="s">
        <v>1746</v>
      </c>
      <c r="K351" t="s">
        <v>623</v>
      </c>
    </row>
    <row r="352" spans="1:11">
      <c r="A352" t="s">
        <v>1163</v>
      </c>
      <c r="B352" t="s">
        <v>1186</v>
      </c>
      <c r="C352" t="s">
        <v>1187</v>
      </c>
      <c r="D352" t="s">
        <v>21</v>
      </c>
      <c r="E352" t="s">
        <v>25</v>
      </c>
      <c r="I352" s="1">
        <v>46160</v>
      </c>
      <c r="J352" t="s">
        <v>1698</v>
      </c>
      <c r="K352" t="s">
        <v>623</v>
      </c>
    </row>
    <row r="353" spans="1:11">
      <c r="A353" t="s">
        <v>1163</v>
      </c>
      <c r="B353" t="s">
        <v>556</v>
      </c>
      <c r="C353" t="s">
        <v>555</v>
      </c>
      <c r="D353" t="s">
        <v>21</v>
      </c>
      <c r="E353" t="s">
        <v>25</v>
      </c>
      <c r="I353" s="1">
        <v>46154</v>
      </c>
      <c r="J353" t="s">
        <v>1698</v>
      </c>
      <c r="K353" t="s">
        <v>623</v>
      </c>
    </row>
    <row r="354" spans="1:11">
      <c r="A354" t="s">
        <v>1163</v>
      </c>
      <c r="B354" t="s">
        <v>1188</v>
      </c>
      <c r="C354" t="s">
        <v>1189</v>
      </c>
      <c r="D354" t="s">
        <v>21</v>
      </c>
      <c r="E354" t="s">
        <v>22</v>
      </c>
      <c r="F354">
        <v>2</v>
      </c>
      <c r="G354" s="2">
        <v>46066.479166666664</v>
      </c>
      <c r="H354" s="2">
        <v>46066.520833333336</v>
      </c>
      <c r="I354" s="1">
        <v>46091</v>
      </c>
      <c r="J354" t="s">
        <v>1698</v>
      </c>
      <c r="K354" t="s">
        <v>623</v>
      </c>
    </row>
    <row r="355" spans="1:11">
      <c r="A355" t="s">
        <v>1163</v>
      </c>
      <c r="B355" t="s">
        <v>1830</v>
      </c>
      <c r="C355" t="s">
        <v>1831</v>
      </c>
      <c r="D355" t="s">
        <v>21</v>
      </c>
      <c r="E355" t="s">
        <v>22</v>
      </c>
      <c r="F355">
        <v>39</v>
      </c>
      <c r="G355" s="2">
        <v>46337.395833333336</v>
      </c>
      <c r="H355" s="2">
        <v>46338.520833333336</v>
      </c>
      <c r="I355" s="1">
        <v>46162</v>
      </c>
      <c r="J355" t="s">
        <v>1746</v>
      </c>
      <c r="K355" t="s">
        <v>623</v>
      </c>
    </row>
    <row r="356" spans="1:11">
      <c r="A356" t="s">
        <v>1163</v>
      </c>
      <c r="B356" t="s">
        <v>1832</v>
      </c>
      <c r="C356" t="s">
        <v>1833</v>
      </c>
      <c r="D356" t="s">
        <v>21</v>
      </c>
      <c r="E356" t="s">
        <v>22</v>
      </c>
      <c r="F356">
        <v>82</v>
      </c>
      <c r="G356" s="2">
        <v>46353.395833333336</v>
      </c>
      <c r="H356" s="2">
        <v>46353.541666666664</v>
      </c>
      <c r="I356" s="1">
        <v>46156</v>
      </c>
      <c r="J356" t="s">
        <v>1795</v>
      </c>
      <c r="K356" t="s">
        <v>623</v>
      </c>
    </row>
    <row r="357" spans="1:11">
      <c r="A357" t="s">
        <v>1163</v>
      </c>
      <c r="B357" t="s">
        <v>1834</v>
      </c>
      <c r="C357" t="s">
        <v>1835</v>
      </c>
      <c r="D357" t="s">
        <v>21</v>
      </c>
      <c r="E357" t="s">
        <v>25</v>
      </c>
      <c r="I357" s="1">
        <v>46156</v>
      </c>
      <c r="J357" t="s">
        <v>1698</v>
      </c>
      <c r="K357" t="s">
        <v>623</v>
      </c>
    </row>
    <row r="358" spans="1:11">
      <c r="A358" t="s">
        <v>649</v>
      </c>
      <c r="B358" t="s">
        <v>650</v>
      </c>
      <c r="C358" t="s">
        <v>648</v>
      </c>
      <c r="D358" t="s">
        <v>16</v>
      </c>
      <c r="G358" t="s">
        <v>17</v>
      </c>
      <c r="I358" s="1">
        <v>46154</v>
      </c>
      <c r="J358" t="s">
        <v>1698</v>
      </c>
      <c r="K358" t="s">
        <v>649</v>
      </c>
    </row>
    <row r="359" spans="1:11">
      <c r="A359" t="s">
        <v>649</v>
      </c>
      <c r="B359" t="s">
        <v>656</v>
      </c>
      <c r="C359" t="s">
        <v>655</v>
      </c>
      <c r="D359" t="s">
        <v>21</v>
      </c>
      <c r="E359" t="s">
        <v>22</v>
      </c>
      <c r="F359">
        <v>43</v>
      </c>
      <c r="G359" s="2">
        <v>46344.458333333336</v>
      </c>
      <c r="H359" s="2">
        <v>46344.5</v>
      </c>
      <c r="I359" s="1">
        <v>46162</v>
      </c>
      <c r="J359" t="s">
        <v>1698</v>
      </c>
      <c r="K359" t="s">
        <v>649</v>
      </c>
    </row>
    <row r="360" spans="1:11">
      <c r="A360" t="s">
        <v>649</v>
      </c>
      <c r="B360" t="s">
        <v>658</v>
      </c>
      <c r="C360" t="s">
        <v>657</v>
      </c>
      <c r="D360" t="s">
        <v>21</v>
      </c>
      <c r="E360" t="s">
        <v>22</v>
      </c>
      <c r="F360">
        <v>32</v>
      </c>
      <c r="G360" s="2">
        <v>46309.395833333336</v>
      </c>
      <c r="H360" s="2">
        <v>46309.708333333336</v>
      </c>
      <c r="I360" s="1">
        <v>46162</v>
      </c>
      <c r="J360" t="s">
        <v>1698</v>
      </c>
      <c r="K360" t="s">
        <v>649</v>
      </c>
    </row>
    <row r="361" spans="1:11">
      <c r="A361" t="s">
        <v>663</v>
      </c>
      <c r="B361" t="s">
        <v>668</v>
      </c>
      <c r="C361" t="s">
        <v>667</v>
      </c>
      <c r="D361" t="s">
        <v>21</v>
      </c>
      <c r="E361" t="s">
        <v>22</v>
      </c>
      <c r="F361">
        <v>36</v>
      </c>
      <c r="G361" s="2">
        <v>45973.416666666664</v>
      </c>
      <c r="H361" s="2">
        <v>45973.503472222219</v>
      </c>
      <c r="I361" s="1">
        <v>46163</v>
      </c>
      <c r="J361" t="s">
        <v>1698</v>
      </c>
      <c r="K361" t="s">
        <v>649</v>
      </c>
    </row>
    <row r="362" spans="1:11">
      <c r="A362" t="s">
        <v>663</v>
      </c>
      <c r="B362" t="s">
        <v>1836</v>
      </c>
      <c r="C362" t="s">
        <v>665</v>
      </c>
      <c r="D362" t="s">
        <v>21</v>
      </c>
      <c r="E362" t="s">
        <v>22</v>
      </c>
      <c r="F362">
        <v>8</v>
      </c>
      <c r="G362" s="2">
        <v>46126.395833333336</v>
      </c>
      <c r="H362" s="2">
        <v>46126.520833333336</v>
      </c>
      <c r="I362" s="1">
        <v>46163</v>
      </c>
      <c r="J362" t="s">
        <v>1698</v>
      </c>
      <c r="K362" t="s">
        <v>649</v>
      </c>
    </row>
    <row r="363" spans="1:11">
      <c r="A363" t="s">
        <v>663</v>
      </c>
      <c r="B363" t="s">
        <v>670</v>
      </c>
      <c r="C363" t="s">
        <v>669</v>
      </c>
      <c r="D363" t="s">
        <v>21</v>
      </c>
      <c r="E363" t="s">
        <v>25</v>
      </c>
      <c r="G363" s="2">
        <v>45988.395833333336</v>
      </c>
      <c r="H363" s="2">
        <v>45988.4375</v>
      </c>
      <c r="I363" s="1">
        <v>45992</v>
      </c>
      <c r="J363" t="s">
        <v>1698</v>
      </c>
      <c r="K363" t="s">
        <v>649</v>
      </c>
    </row>
    <row r="364" spans="1:11">
      <c r="A364" t="s">
        <v>663</v>
      </c>
      <c r="B364" t="s">
        <v>672</v>
      </c>
      <c r="C364" t="s">
        <v>671</v>
      </c>
      <c r="D364" t="s">
        <v>21</v>
      </c>
      <c r="E364" t="s">
        <v>25</v>
      </c>
      <c r="G364" s="2">
        <v>46106.416666666664</v>
      </c>
      <c r="H364" s="2">
        <v>46106.5</v>
      </c>
      <c r="I364" s="1">
        <v>46106</v>
      </c>
      <c r="J364" t="s">
        <v>1698</v>
      </c>
      <c r="K364" t="s">
        <v>649</v>
      </c>
    </row>
    <row r="365" spans="1:11">
      <c r="A365" t="s">
        <v>674</v>
      </c>
      <c r="B365" t="s">
        <v>675</v>
      </c>
      <c r="C365" t="s">
        <v>673</v>
      </c>
      <c r="D365" t="s">
        <v>38</v>
      </c>
      <c r="I365" s="1">
        <v>46161</v>
      </c>
      <c r="K365" t="s">
        <v>649</v>
      </c>
    </row>
    <row r="366" spans="1:11">
      <c r="A366" t="s">
        <v>674</v>
      </c>
      <c r="B366" t="s">
        <v>677</v>
      </c>
      <c r="C366" t="s">
        <v>676</v>
      </c>
      <c r="D366" t="s">
        <v>38</v>
      </c>
      <c r="I366" s="1">
        <v>46153</v>
      </c>
      <c r="K366" t="s">
        <v>649</v>
      </c>
    </row>
    <row r="367" spans="1:11">
      <c r="A367" t="s">
        <v>674</v>
      </c>
      <c r="B367" t="s">
        <v>679</v>
      </c>
      <c r="C367" t="s">
        <v>678</v>
      </c>
      <c r="D367" t="s">
        <v>38</v>
      </c>
      <c r="I367" s="1">
        <v>46154</v>
      </c>
      <c r="K367" t="s">
        <v>649</v>
      </c>
    </row>
    <row r="368" spans="1:11">
      <c r="A368" t="s">
        <v>674</v>
      </c>
      <c r="B368" t="s">
        <v>681</v>
      </c>
      <c r="C368" t="s">
        <v>680</v>
      </c>
      <c r="D368" t="s">
        <v>38</v>
      </c>
      <c r="I368" s="1">
        <v>46140</v>
      </c>
      <c r="K368" t="s">
        <v>649</v>
      </c>
    </row>
    <row r="369" spans="1:11">
      <c r="A369" t="s">
        <v>674</v>
      </c>
      <c r="B369" t="s">
        <v>683</v>
      </c>
      <c r="C369" t="s">
        <v>682</v>
      </c>
      <c r="D369" t="s">
        <v>38</v>
      </c>
      <c r="I369" s="1">
        <v>46154</v>
      </c>
      <c r="K369" t="s">
        <v>649</v>
      </c>
    </row>
    <row r="370" spans="1:11">
      <c r="A370" t="s">
        <v>674</v>
      </c>
      <c r="B370" t="s">
        <v>685</v>
      </c>
      <c r="C370" t="s">
        <v>684</v>
      </c>
      <c r="D370" t="s">
        <v>38</v>
      </c>
      <c r="I370" s="1">
        <v>46150</v>
      </c>
      <c r="K370" t="s">
        <v>649</v>
      </c>
    </row>
    <row r="371" spans="1:11">
      <c r="A371" t="s">
        <v>674</v>
      </c>
      <c r="B371" t="s">
        <v>687</v>
      </c>
      <c r="C371" t="s">
        <v>686</v>
      </c>
      <c r="D371" t="s">
        <v>38</v>
      </c>
      <c r="I371" s="1">
        <v>46150</v>
      </c>
      <c r="K371" t="s">
        <v>649</v>
      </c>
    </row>
    <row r="372" spans="1:11">
      <c r="A372" t="s">
        <v>674</v>
      </c>
      <c r="B372" t="s">
        <v>689</v>
      </c>
      <c r="C372" t="s">
        <v>688</v>
      </c>
      <c r="D372" t="s">
        <v>38</v>
      </c>
      <c r="I372" s="1">
        <v>46153</v>
      </c>
      <c r="K372" t="s">
        <v>649</v>
      </c>
    </row>
    <row r="373" spans="1:11">
      <c r="A373" t="s">
        <v>674</v>
      </c>
      <c r="B373" t="s">
        <v>691</v>
      </c>
      <c r="C373" t="s">
        <v>690</v>
      </c>
      <c r="D373" t="s">
        <v>38</v>
      </c>
      <c r="I373" s="1">
        <v>46153</v>
      </c>
      <c r="K373" t="s">
        <v>649</v>
      </c>
    </row>
    <row r="374" spans="1:11">
      <c r="A374" t="s">
        <v>693</v>
      </c>
      <c r="B374" t="s">
        <v>698</v>
      </c>
      <c r="C374" t="s">
        <v>697</v>
      </c>
      <c r="D374" t="s">
        <v>16</v>
      </c>
      <c r="G374" t="s">
        <v>17</v>
      </c>
      <c r="I374" s="1">
        <v>46161</v>
      </c>
      <c r="J374" t="s">
        <v>1698</v>
      </c>
      <c r="K374" t="s">
        <v>649</v>
      </c>
    </row>
    <row r="375" spans="1:11">
      <c r="A375" t="s">
        <v>693</v>
      </c>
      <c r="B375" t="s">
        <v>1535</v>
      </c>
      <c r="C375" t="s">
        <v>692</v>
      </c>
      <c r="D375" t="s">
        <v>21</v>
      </c>
      <c r="E375" t="s">
        <v>22</v>
      </c>
      <c r="F375">
        <v>75</v>
      </c>
      <c r="G375" s="2">
        <v>46184.375</v>
      </c>
      <c r="H375" s="2">
        <v>46184.708333333336</v>
      </c>
      <c r="I375" s="1">
        <v>46163</v>
      </c>
      <c r="J375" t="s">
        <v>1698</v>
      </c>
      <c r="K375" t="s">
        <v>649</v>
      </c>
    </row>
    <row r="376" spans="1:11">
      <c r="A376" t="s">
        <v>693</v>
      </c>
      <c r="B376" t="s">
        <v>696</v>
      </c>
      <c r="C376" t="s">
        <v>695</v>
      </c>
      <c r="D376" t="s">
        <v>21</v>
      </c>
      <c r="E376" t="s">
        <v>22</v>
      </c>
      <c r="F376">
        <v>34</v>
      </c>
      <c r="G376" s="2">
        <v>46134.5625</v>
      </c>
      <c r="H376" s="2">
        <v>46134.6875</v>
      </c>
      <c r="I376" s="1">
        <v>46162</v>
      </c>
      <c r="J376" t="s">
        <v>1698</v>
      </c>
      <c r="K376" t="s">
        <v>649</v>
      </c>
    </row>
    <row r="377" spans="1:11">
      <c r="A377" t="s">
        <v>693</v>
      </c>
      <c r="B377" t="s">
        <v>1193</v>
      </c>
      <c r="C377" t="s">
        <v>1194</v>
      </c>
      <c r="D377" t="s">
        <v>21</v>
      </c>
      <c r="E377" t="s">
        <v>22</v>
      </c>
      <c r="F377">
        <v>3</v>
      </c>
      <c r="G377" s="2">
        <v>46133.395833333336</v>
      </c>
      <c r="H377" s="2">
        <v>46133.666666666664</v>
      </c>
      <c r="I377" s="1">
        <v>46163</v>
      </c>
      <c r="J377" t="s">
        <v>1698</v>
      </c>
      <c r="K377" t="s">
        <v>649</v>
      </c>
    </row>
    <row r="378" spans="1:11">
      <c r="A378" t="s">
        <v>693</v>
      </c>
      <c r="B378" t="s">
        <v>700</v>
      </c>
      <c r="C378" t="s">
        <v>1837</v>
      </c>
      <c r="D378" t="s">
        <v>21</v>
      </c>
      <c r="E378" t="s">
        <v>22</v>
      </c>
      <c r="F378">
        <v>0</v>
      </c>
      <c r="G378" s="2">
        <v>46184.395833333336</v>
      </c>
      <c r="H378" s="2">
        <v>46184.5</v>
      </c>
      <c r="I378" s="1">
        <v>46153</v>
      </c>
      <c r="J378" t="s">
        <v>1698</v>
      </c>
      <c r="K378" t="s">
        <v>649</v>
      </c>
    </row>
    <row r="379" spans="1:11">
      <c r="A379" t="s">
        <v>693</v>
      </c>
      <c r="B379" t="s">
        <v>702</v>
      </c>
      <c r="C379" t="s">
        <v>701</v>
      </c>
      <c r="D379" t="s">
        <v>21</v>
      </c>
      <c r="E379" t="s">
        <v>22</v>
      </c>
      <c r="F379">
        <v>18</v>
      </c>
      <c r="G379" s="2">
        <v>46356.375</v>
      </c>
      <c r="H379" s="2">
        <v>46356.520833333336</v>
      </c>
      <c r="I379" s="1">
        <v>46157</v>
      </c>
      <c r="J379" t="s">
        <v>1698</v>
      </c>
      <c r="K379" t="s">
        <v>649</v>
      </c>
    </row>
    <row r="380" spans="1:11">
      <c r="A380" t="s">
        <v>693</v>
      </c>
      <c r="B380" t="s">
        <v>704</v>
      </c>
      <c r="C380" t="s">
        <v>703</v>
      </c>
      <c r="D380" t="s">
        <v>21</v>
      </c>
      <c r="E380" t="s">
        <v>22</v>
      </c>
      <c r="F380">
        <v>40</v>
      </c>
      <c r="G380" s="2">
        <v>46352.375</v>
      </c>
      <c r="H380" s="2">
        <v>46356.729166666664</v>
      </c>
      <c r="I380" s="1">
        <v>46163</v>
      </c>
      <c r="J380" t="s">
        <v>1698</v>
      </c>
      <c r="K380" t="s">
        <v>649</v>
      </c>
    </row>
    <row r="381" spans="1:11">
      <c r="A381" t="s">
        <v>693</v>
      </c>
      <c r="B381" t="s">
        <v>706</v>
      </c>
      <c r="C381" t="s">
        <v>705</v>
      </c>
      <c r="D381" t="s">
        <v>21</v>
      </c>
      <c r="E381" t="s">
        <v>22</v>
      </c>
      <c r="F381">
        <v>14</v>
      </c>
      <c r="G381" s="2">
        <v>46352.583333333336</v>
      </c>
      <c r="H381" s="2">
        <v>46352.729166666664</v>
      </c>
      <c r="I381" s="1">
        <v>46160</v>
      </c>
      <c r="J381" t="s">
        <v>1698</v>
      </c>
      <c r="K381" t="s">
        <v>649</v>
      </c>
    </row>
    <row r="382" spans="1:11">
      <c r="A382" t="s">
        <v>693</v>
      </c>
      <c r="B382" t="s">
        <v>1838</v>
      </c>
      <c r="C382" t="s">
        <v>707</v>
      </c>
      <c r="D382" t="s">
        <v>21</v>
      </c>
      <c r="E382" t="s">
        <v>22</v>
      </c>
      <c r="F382">
        <v>27</v>
      </c>
      <c r="G382" s="2">
        <v>46133.395833333336</v>
      </c>
      <c r="H382" s="2">
        <v>46134.708333333336</v>
      </c>
      <c r="I382" s="1">
        <v>46136</v>
      </c>
      <c r="J382" t="s">
        <v>1698</v>
      </c>
      <c r="K382" t="s">
        <v>649</v>
      </c>
    </row>
    <row r="383" spans="1:11">
      <c r="A383" t="s">
        <v>693</v>
      </c>
      <c r="B383" t="s">
        <v>710</v>
      </c>
      <c r="C383" t="s">
        <v>709</v>
      </c>
      <c r="D383" t="s">
        <v>21</v>
      </c>
      <c r="E383" t="s">
        <v>22</v>
      </c>
      <c r="F383">
        <v>33</v>
      </c>
      <c r="G383" s="2">
        <v>46128.375</v>
      </c>
      <c r="H383" s="2">
        <v>46128.520833333336</v>
      </c>
      <c r="I383" s="1">
        <v>46162</v>
      </c>
      <c r="J383" t="s">
        <v>1698</v>
      </c>
      <c r="K383" t="s">
        <v>649</v>
      </c>
    </row>
    <row r="384" spans="1:11">
      <c r="A384" t="s">
        <v>693</v>
      </c>
      <c r="B384" t="s">
        <v>714</v>
      </c>
      <c r="C384" t="s">
        <v>713</v>
      </c>
      <c r="D384" t="s">
        <v>21</v>
      </c>
      <c r="E384" t="s">
        <v>22</v>
      </c>
      <c r="F384">
        <v>20</v>
      </c>
      <c r="G384" s="2">
        <v>46133.4375</v>
      </c>
      <c r="H384" s="2">
        <v>46134.729166666664</v>
      </c>
      <c r="I384" s="1">
        <v>46154</v>
      </c>
      <c r="J384" t="s">
        <v>1698</v>
      </c>
      <c r="K384" t="s">
        <v>649</v>
      </c>
    </row>
    <row r="385" spans="1:11">
      <c r="A385" t="s">
        <v>693</v>
      </c>
      <c r="B385" t="s">
        <v>1839</v>
      </c>
      <c r="C385" t="s">
        <v>715</v>
      </c>
      <c r="D385" t="s">
        <v>21</v>
      </c>
      <c r="E385" t="s">
        <v>22</v>
      </c>
      <c r="F385">
        <v>37</v>
      </c>
      <c r="G385" s="2">
        <v>45944.375</v>
      </c>
      <c r="H385" s="2">
        <v>45944.520833333336</v>
      </c>
      <c r="I385" s="1">
        <v>46140</v>
      </c>
      <c r="J385" t="s">
        <v>1698</v>
      </c>
      <c r="K385" t="s">
        <v>649</v>
      </c>
    </row>
    <row r="386" spans="1:11">
      <c r="A386" t="s">
        <v>693</v>
      </c>
      <c r="B386" t="s">
        <v>718</v>
      </c>
      <c r="C386" t="s">
        <v>717</v>
      </c>
      <c r="D386" t="s">
        <v>21</v>
      </c>
      <c r="E386" t="s">
        <v>22</v>
      </c>
      <c r="F386">
        <v>28</v>
      </c>
      <c r="G386" s="2">
        <v>46177.375</v>
      </c>
      <c r="H386" s="2">
        <v>46177.708333333336</v>
      </c>
      <c r="I386" s="1">
        <v>46160</v>
      </c>
      <c r="J386" t="s">
        <v>1698</v>
      </c>
      <c r="K386" t="s">
        <v>649</v>
      </c>
    </row>
    <row r="387" spans="1:11">
      <c r="A387" t="s">
        <v>693</v>
      </c>
      <c r="B387" t="s">
        <v>720</v>
      </c>
      <c r="C387" t="s">
        <v>719</v>
      </c>
      <c r="D387" t="s">
        <v>21</v>
      </c>
      <c r="E387" t="s">
        <v>22</v>
      </c>
      <c r="F387">
        <v>28</v>
      </c>
      <c r="G387" s="2">
        <v>46049.375</v>
      </c>
      <c r="H387" s="2">
        <v>46049.708333333336</v>
      </c>
      <c r="I387" s="1">
        <v>46132</v>
      </c>
      <c r="J387" t="s">
        <v>1698</v>
      </c>
      <c r="K387" t="s">
        <v>649</v>
      </c>
    </row>
    <row r="388" spans="1:11">
      <c r="A388" t="s">
        <v>693</v>
      </c>
      <c r="B388" t="s">
        <v>1840</v>
      </c>
      <c r="C388" t="s">
        <v>721</v>
      </c>
      <c r="D388" t="s">
        <v>21</v>
      </c>
      <c r="E388" t="s">
        <v>22</v>
      </c>
      <c r="F388">
        <v>64</v>
      </c>
      <c r="G388" s="2">
        <v>46190.375</v>
      </c>
      <c r="H388" s="2">
        <v>46190.708333333336</v>
      </c>
      <c r="I388" s="1">
        <v>46163</v>
      </c>
      <c r="J388" t="s">
        <v>1698</v>
      </c>
      <c r="K388" t="s">
        <v>649</v>
      </c>
    </row>
    <row r="389" spans="1:11">
      <c r="A389" t="s">
        <v>693</v>
      </c>
      <c r="B389" t="s">
        <v>1841</v>
      </c>
      <c r="C389" t="s">
        <v>723</v>
      </c>
      <c r="D389" t="s">
        <v>21</v>
      </c>
      <c r="E389" t="s">
        <v>22</v>
      </c>
      <c r="F389">
        <v>42</v>
      </c>
      <c r="G389" s="2">
        <v>46176.375</v>
      </c>
      <c r="H389" s="2">
        <v>46176.711805555555</v>
      </c>
      <c r="I389" s="1">
        <v>46160</v>
      </c>
      <c r="J389" t="s">
        <v>1698</v>
      </c>
      <c r="K389" t="s">
        <v>649</v>
      </c>
    </row>
    <row r="390" spans="1:11">
      <c r="A390" t="s">
        <v>693</v>
      </c>
      <c r="B390" t="s">
        <v>726</v>
      </c>
      <c r="C390" t="s">
        <v>725</v>
      </c>
      <c r="D390" t="s">
        <v>21</v>
      </c>
      <c r="E390" t="s">
        <v>22</v>
      </c>
      <c r="F390">
        <v>138</v>
      </c>
      <c r="G390" s="2">
        <v>46188.416666666664</v>
      </c>
      <c r="H390" s="2">
        <v>46188.666666666664</v>
      </c>
      <c r="I390" s="1">
        <v>46163</v>
      </c>
      <c r="J390" t="s">
        <v>1698</v>
      </c>
      <c r="K390" t="s">
        <v>649</v>
      </c>
    </row>
    <row r="391" spans="1:11">
      <c r="A391" t="s">
        <v>693</v>
      </c>
      <c r="B391" t="s">
        <v>728</v>
      </c>
      <c r="C391" t="s">
        <v>727</v>
      </c>
      <c r="D391" t="s">
        <v>21</v>
      </c>
      <c r="E391" t="s">
        <v>22</v>
      </c>
      <c r="F391">
        <v>101</v>
      </c>
      <c r="G391" s="2">
        <v>46181.604166666664</v>
      </c>
      <c r="H391" s="2">
        <v>46181.6875</v>
      </c>
      <c r="I391" s="1">
        <v>46163</v>
      </c>
      <c r="J391" t="s">
        <v>1698</v>
      </c>
      <c r="K391" t="s">
        <v>649</v>
      </c>
    </row>
    <row r="392" spans="1:11">
      <c r="A392" t="s">
        <v>693</v>
      </c>
      <c r="B392" t="s">
        <v>730</v>
      </c>
      <c r="C392" t="s">
        <v>729</v>
      </c>
      <c r="D392" t="s">
        <v>21</v>
      </c>
      <c r="E392" t="s">
        <v>22</v>
      </c>
      <c r="F392">
        <v>98</v>
      </c>
      <c r="G392" s="2">
        <v>46107.385416666664</v>
      </c>
      <c r="H392" s="2">
        <v>46107.708333333336</v>
      </c>
      <c r="I392" s="1">
        <v>46162</v>
      </c>
      <c r="J392" t="s">
        <v>1788</v>
      </c>
      <c r="K392" t="s">
        <v>649</v>
      </c>
    </row>
    <row r="393" spans="1:11">
      <c r="A393" t="s">
        <v>693</v>
      </c>
      <c r="B393" t="s">
        <v>732</v>
      </c>
      <c r="C393" t="s">
        <v>731</v>
      </c>
      <c r="D393" t="s">
        <v>21</v>
      </c>
      <c r="E393" t="s">
        <v>22</v>
      </c>
      <c r="F393">
        <v>110</v>
      </c>
      <c r="G393" s="2">
        <v>46198.385416666664</v>
      </c>
      <c r="H393" s="2">
        <v>46198.708333333336</v>
      </c>
      <c r="I393" s="1">
        <v>46163</v>
      </c>
      <c r="J393" t="s">
        <v>1729</v>
      </c>
      <c r="K393" t="s">
        <v>649</v>
      </c>
    </row>
    <row r="394" spans="1:11">
      <c r="A394" t="s">
        <v>693</v>
      </c>
      <c r="B394" t="s">
        <v>734</v>
      </c>
      <c r="C394" t="s">
        <v>733</v>
      </c>
      <c r="D394" t="s">
        <v>21</v>
      </c>
      <c r="E394" t="s">
        <v>22</v>
      </c>
      <c r="F394">
        <v>103</v>
      </c>
      <c r="G394" s="2">
        <v>46163.385416666664</v>
      </c>
      <c r="H394" s="2">
        <v>46163.708333333336</v>
      </c>
      <c r="I394" s="1">
        <v>46163</v>
      </c>
      <c r="J394" t="s">
        <v>1788</v>
      </c>
      <c r="K394" t="s">
        <v>649</v>
      </c>
    </row>
    <row r="395" spans="1:11">
      <c r="A395" t="s">
        <v>693</v>
      </c>
      <c r="B395" t="s">
        <v>736</v>
      </c>
      <c r="C395" t="s">
        <v>735</v>
      </c>
      <c r="D395" t="s">
        <v>21</v>
      </c>
      <c r="E395" t="s">
        <v>22</v>
      </c>
      <c r="F395">
        <v>8</v>
      </c>
      <c r="G395" s="2">
        <v>46295.416666666664</v>
      </c>
      <c r="H395" s="2">
        <v>46295.458333333336</v>
      </c>
      <c r="I395" s="1">
        <v>46163</v>
      </c>
      <c r="J395" t="s">
        <v>1698</v>
      </c>
      <c r="K395" t="s">
        <v>649</v>
      </c>
    </row>
    <row r="396" spans="1:11">
      <c r="A396" t="s">
        <v>693</v>
      </c>
      <c r="B396" t="s">
        <v>738</v>
      </c>
      <c r="C396" t="s">
        <v>737</v>
      </c>
      <c r="D396" t="s">
        <v>21</v>
      </c>
      <c r="E396" t="s">
        <v>22</v>
      </c>
      <c r="F396">
        <v>39</v>
      </c>
      <c r="G396" s="2">
        <v>46198.583333333336</v>
      </c>
      <c r="H396" s="2">
        <v>46198.666666666664</v>
      </c>
      <c r="I396" s="1">
        <v>46163</v>
      </c>
      <c r="J396" t="s">
        <v>1698</v>
      </c>
      <c r="K396" t="s">
        <v>649</v>
      </c>
    </row>
    <row r="397" spans="1:11">
      <c r="A397" t="s">
        <v>693</v>
      </c>
      <c r="B397" t="s">
        <v>740</v>
      </c>
      <c r="C397" t="s">
        <v>739</v>
      </c>
      <c r="D397" t="s">
        <v>21</v>
      </c>
      <c r="E397" t="s">
        <v>22</v>
      </c>
      <c r="F397">
        <v>18</v>
      </c>
      <c r="G397" s="2">
        <v>46196.583333333336</v>
      </c>
      <c r="H397" s="2">
        <v>46196.625</v>
      </c>
      <c r="I397" s="1">
        <v>46162</v>
      </c>
      <c r="J397" t="s">
        <v>1698</v>
      </c>
      <c r="K397" t="s">
        <v>649</v>
      </c>
    </row>
    <row r="398" spans="1:11">
      <c r="A398" t="s">
        <v>693</v>
      </c>
      <c r="B398" t="s">
        <v>742</v>
      </c>
      <c r="C398" t="s">
        <v>741</v>
      </c>
      <c r="D398" t="s">
        <v>21</v>
      </c>
      <c r="E398" t="s">
        <v>25</v>
      </c>
      <c r="G398" s="2">
        <v>46364.395833333336</v>
      </c>
      <c r="H398" s="2">
        <v>46364.666666666664</v>
      </c>
      <c r="I398" s="1">
        <v>46161</v>
      </c>
      <c r="J398" t="s">
        <v>1698</v>
      </c>
      <c r="K398" t="s">
        <v>649</v>
      </c>
    </row>
    <row r="399" spans="1:11">
      <c r="A399" t="s">
        <v>693</v>
      </c>
      <c r="B399" t="s">
        <v>744</v>
      </c>
      <c r="C399" t="s">
        <v>743</v>
      </c>
      <c r="D399" t="s">
        <v>21</v>
      </c>
      <c r="E399" t="s">
        <v>25</v>
      </c>
      <c r="G399" s="2">
        <v>46357.416666666664</v>
      </c>
      <c r="H399" s="2">
        <v>46357.5</v>
      </c>
      <c r="I399" s="1">
        <v>46162</v>
      </c>
      <c r="J399" t="s">
        <v>1698</v>
      </c>
      <c r="K399" t="s">
        <v>649</v>
      </c>
    </row>
    <row r="400" spans="1:11">
      <c r="A400" t="s">
        <v>693</v>
      </c>
      <c r="B400" t="s">
        <v>748</v>
      </c>
      <c r="C400" t="s">
        <v>747</v>
      </c>
      <c r="D400" t="s">
        <v>21</v>
      </c>
      <c r="E400" t="s">
        <v>25</v>
      </c>
      <c r="I400" s="1">
        <v>46161</v>
      </c>
      <c r="J400" t="s">
        <v>1698</v>
      </c>
      <c r="K400" t="s">
        <v>649</v>
      </c>
    </row>
    <row r="401" spans="1:11">
      <c r="A401" t="s">
        <v>693</v>
      </c>
      <c r="B401" t="s">
        <v>1842</v>
      </c>
      <c r="C401" t="s">
        <v>751</v>
      </c>
      <c r="D401" t="s">
        <v>21</v>
      </c>
      <c r="E401" t="s">
        <v>22</v>
      </c>
      <c r="F401">
        <v>26</v>
      </c>
      <c r="G401" s="2">
        <v>46190.583333333336</v>
      </c>
      <c r="H401" s="2">
        <v>46190.6875</v>
      </c>
      <c r="I401" s="1">
        <v>46163</v>
      </c>
      <c r="J401" t="s">
        <v>1698</v>
      </c>
      <c r="K401" t="s">
        <v>649</v>
      </c>
    </row>
    <row r="402" spans="1:11">
      <c r="A402" t="s">
        <v>693</v>
      </c>
      <c r="B402" t="s">
        <v>750</v>
      </c>
      <c r="C402" t="s">
        <v>749</v>
      </c>
      <c r="D402" t="s">
        <v>21</v>
      </c>
      <c r="E402" t="s">
        <v>22</v>
      </c>
      <c r="F402">
        <v>68</v>
      </c>
      <c r="G402" s="2">
        <v>46199.395833333336</v>
      </c>
      <c r="H402" s="2">
        <v>46199.5</v>
      </c>
      <c r="I402" s="1">
        <v>46163</v>
      </c>
      <c r="J402" t="s">
        <v>1698</v>
      </c>
      <c r="K402" t="s">
        <v>649</v>
      </c>
    </row>
    <row r="403" spans="1:11">
      <c r="A403" t="s">
        <v>693</v>
      </c>
      <c r="B403" t="s">
        <v>754</v>
      </c>
      <c r="C403" t="s">
        <v>753</v>
      </c>
      <c r="D403" t="s">
        <v>21</v>
      </c>
      <c r="E403" t="s">
        <v>22</v>
      </c>
      <c r="F403">
        <v>9</v>
      </c>
      <c r="G403" s="2">
        <v>46196.395833333336</v>
      </c>
      <c r="H403" s="2">
        <v>46196.5</v>
      </c>
      <c r="I403" s="1">
        <v>46162</v>
      </c>
      <c r="J403" t="s">
        <v>1698</v>
      </c>
      <c r="K403" t="s">
        <v>649</v>
      </c>
    </row>
    <row r="404" spans="1:11">
      <c r="A404" t="s">
        <v>693</v>
      </c>
      <c r="B404" t="s">
        <v>758</v>
      </c>
      <c r="C404" t="s">
        <v>757</v>
      </c>
      <c r="D404" t="s">
        <v>21</v>
      </c>
      <c r="E404" t="s">
        <v>22</v>
      </c>
      <c r="F404">
        <v>235</v>
      </c>
      <c r="G404" s="2">
        <v>46184.385416666664</v>
      </c>
      <c r="H404" s="2">
        <v>46184.708333333336</v>
      </c>
      <c r="I404" s="1">
        <v>46162</v>
      </c>
      <c r="J404" t="s">
        <v>1729</v>
      </c>
      <c r="K404" t="s">
        <v>649</v>
      </c>
    </row>
    <row r="405" spans="1:11">
      <c r="A405" t="s">
        <v>693</v>
      </c>
      <c r="B405" t="s">
        <v>760</v>
      </c>
      <c r="C405" t="s">
        <v>759</v>
      </c>
      <c r="D405" t="s">
        <v>21</v>
      </c>
      <c r="E405" t="s">
        <v>22</v>
      </c>
      <c r="F405">
        <v>47</v>
      </c>
      <c r="G405" s="2">
        <v>45925.375</v>
      </c>
      <c r="H405" s="2">
        <v>45925.53125</v>
      </c>
      <c r="I405" s="1">
        <v>46163</v>
      </c>
      <c r="J405" t="s">
        <v>1698</v>
      </c>
      <c r="K405" t="s">
        <v>649</v>
      </c>
    </row>
    <row r="406" spans="1:11">
      <c r="A406" t="s">
        <v>693</v>
      </c>
      <c r="B406" t="s">
        <v>762</v>
      </c>
      <c r="C406" t="s">
        <v>761</v>
      </c>
      <c r="D406" t="s">
        <v>21</v>
      </c>
      <c r="E406" t="s">
        <v>22</v>
      </c>
      <c r="F406">
        <v>6</v>
      </c>
      <c r="G406" s="2">
        <v>46190.395833333336</v>
      </c>
      <c r="H406" s="2">
        <v>46190.479166666664</v>
      </c>
      <c r="I406" s="1">
        <v>46163</v>
      </c>
      <c r="J406" t="s">
        <v>1698</v>
      </c>
      <c r="K406" t="s">
        <v>649</v>
      </c>
    </row>
    <row r="407" spans="1:11">
      <c r="A407" t="s">
        <v>693</v>
      </c>
      <c r="B407" t="s">
        <v>764</v>
      </c>
      <c r="C407" t="s">
        <v>763</v>
      </c>
      <c r="D407" t="s">
        <v>21</v>
      </c>
      <c r="E407" t="s">
        <v>22</v>
      </c>
      <c r="F407">
        <v>3</v>
      </c>
      <c r="G407" s="2">
        <v>46192.375</v>
      </c>
      <c r="H407" s="2">
        <v>46192.5</v>
      </c>
      <c r="I407" s="1">
        <v>46163</v>
      </c>
      <c r="J407" t="s">
        <v>1698</v>
      </c>
      <c r="K407" t="s">
        <v>649</v>
      </c>
    </row>
    <row r="408" spans="1:11">
      <c r="A408" t="s">
        <v>693</v>
      </c>
      <c r="B408" t="s">
        <v>766</v>
      </c>
      <c r="C408" t="s">
        <v>765</v>
      </c>
      <c r="D408" t="s">
        <v>21</v>
      </c>
      <c r="E408" t="s">
        <v>22</v>
      </c>
      <c r="F408">
        <v>48</v>
      </c>
      <c r="G408" s="2">
        <v>46191.395833333336</v>
      </c>
      <c r="H408" s="2">
        <v>46191.5</v>
      </c>
      <c r="I408" s="1">
        <v>46163</v>
      </c>
      <c r="J408" t="s">
        <v>1698</v>
      </c>
      <c r="K408" t="s">
        <v>649</v>
      </c>
    </row>
    <row r="409" spans="1:11">
      <c r="A409" t="s">
        <v>693</v>
      </c>
      <c r="B409" t="s">
        <v>768</v>
      </c>
      <c r="C409" t="s">
        <v>767</v>
      </c>
      <c r="D409" t="s">
        <v>21</v>
      </c>
      <c r="E409" t="s">
        <v>22</v>
      </c>
      <c r="F409">
        <v>119</v>
      </c>
      <c r="G409" s="2">
        <v>46182.583333333336</v>
      </c>
      <c r="H409" s="2">
        <v>46182.708333333336</v>
      </c>
      <c r="I409" s="1">
        <v>46157</v>
      </c>
      <c r="J409" t="s">
        <v>1698</v>
      </c>
      <c r="K409" t="s">
        <v>649</v>
      </c>
    </row>
    <row r="410" spans="1:11">
      <c r="A410" t="s">
        <v>693</v>
      </c>
      <c r="B410" t="s">
        <v>1843</v>
      </c>
      <c r="C410" t="s">
        <v>1844</v>
      </c>
      <c r="D410" t="s">
        <v>21</v>
      </c>
      <c r="E410" t="s">
        <v>22</v>
      </c>
      <c r="F410">
        <v>0</v>
      </c>
      <c r="G410" s="2">
        <v>46309.375</v>
      </c>
      <c r="H410" s="2">
        <v>46309.729166666664</v>
      </c>
      <c r="I410" t="s">
        <v>198</v>
      </c>
      <c r="J410" t="s">
        <v>1698</v>
      </c>
      <c r="K410" t="s">
        <v>649</v>
      </c>
    </row>
    <row r="411" spans="1:11">
      <c r="A411" t="s">
        <v>693</v>
      </c>
      <c r="B411" t="s">
        <v>774</v>
      </c>
      <c r="C411" t="s">
        <v>773</v>
      </c>
      <c r="D411" t="s">
        <v>21</v>
      </c>
      <c r="E411" t="s">
        <v>22</v>
      </c>
      <c r="F411">
        <v>27</v>
      </c>
      <c r="G411" s="2">
        <v>46107.416666666664</v>
      </c>
      <c r="H411" s="2">
        <v>46107.5</v>
      </c>
      <c r="I411" s="1">
        <v>46154</v>
      </c>
      <c r="J411" t="s">
        <v>1698</v>
      </c>
      <c r="K411" t="s">
        <v>649</v>
      </c>
    </row>
    <row r="412" spans="1:11">
      <c r="A412" t="s">
        <v>693</v>
      </c>
      <c r="B412" t="s">
        <v>776</v>
      </c>
      <c r="C412" t="s">
        <v>775</v>
      </c>
      <c r="D412" t="s">
        <v>21</v>
      </c>
      <c r="E412" t="s">
        <v>22</v>
      </c>
      <c r="F412">
        <v>55</v>
      </c>
      <c r="G412" s="2">
        <v>45979.395833333336</v>
      </c>
      <c r="H412" s="2">
        <v>45979.520833333336</v>
      </c>
      <c r="I412" s="1">
        <v>46150</v>
      </c>
      <c r="J412" t="s">
        <v>1698</v>
      </c>
      <c r="K412" t="s">
        <v>649</v>
      </c>
    </row>
    <row r="413" spans="1:11">
      <c r="A413" t="s">
        <v>693</v>
      </c>
      <c r="B413" t="s">
        <v>778</v>
      </c>
      <c r="C413" t="s">
        <v>777</v>
      </c>
      <c r="D413" t="s">
        <v>21</v>
      </c>
      <c r="E413" t="s">
        <v>22</v>
      </c>
      <c r="F413">
        <v>22</v>
      </c>
      <c r="G413" s="2">
        <v>46171.395833333336</v>
      </c>
      <c r="H413" s="2">
        <v>46171.541666666664</v>
      </c>
      <c r="I413" s="1">
        <v>46161</v>
      </c>
      <c r="J413" t="s">
        <v>1698</v>
      </c>
      <c r="K413" t="s">
        <v>649</v>
      </c>
    </row>
    <row r="414" spans="1:11">
      <c r="A414" t="s">
        <v>693</v>
      </c>
      <c r="B414" t="s">
        <v>780</v>
      </c>
      <c r="C414" t="s">
        <v>779</v>
      </c>
      <c r="D414" t="s">
        <v>21</v>
      </c>
      <c r="E414" t="s">
        <v>22</v>
      </c>
      <c r="F414">
        <v>82</v>
      </c>
      <c r="G414" s="2">
        <v>46185.395833333336</v>
      </c>
      <c r="H414" s="2">
        <v>46185.541666666664</v>
      </c>
      <c r="I414" s="1">
        <v>46162</v>
      </c>
      <c r="J414" t="s">
        <v>1698</v>
      </c>
      <c r="K414" t="s">
        <v>649</v>
      </c>
    </row>
    <row r="415" spans="1:11">
      <c r="A415" t="s">
        <v>693</v>
      </c>
      <c r="B415" t="s">
        <v>782</v>
      </c>
      <c r="C415" t="s">
        <v>781</v>
      </c>
      <c r="D415" t="s">
        <v>21</v>
      </c>
      <c r="E415" t="s">
        <v>22</v>
      </c>
      <c r="F415">
        <v>90</v>
      </c>
      <c r="G415" s="2">
        <v>46178.395833333336</v>
      </c>
      <c r="H415" s="2">
        <v>46178.520833333336</v>
      </c>
      <c r="I415" s="1">
        <v>46162</v>
      </c>
      <c r="J415" t="s">
        <v>1698</v>
      </c>
      <c r="K415" t="s">
        <v>649</v>
      </c>
    </row>
    <row r="416" spans="1:11">
      <c r="A416" t="s">
        <v>693</v>
      </c>
      <c r="B416" t="s">
        <v>784</v>
      </c>
      <c r="C416" t="s">
        <v>783</v>
      </c>
      <c r="D416" t="s">
        <v>21</v>
      </c>
      <c r="E416" t="s">
        <v>22</v>
      </c>
      <c r="F416">
        <v>32</v>
      </c>
      <c r="G416" s="2">
        <v>46199.395833333336</v>
      </c>
      <c r="H416" s="2">
        <v>46199.541666666664</v>
      </c>
      <c r="I416" s="1">
        <v>46163</v>
      </c>
      <c r="J416" t="s">
        <v>1698</v>
      </c>
      <c r="K416" t="s">
        <v>649</v>
      </c>
    </row>
    <row r="417" spans="1:11">
      <c r="A417" t="s">
        <v>693</v>
      </c>
      <c r="B417" t="s">
        <v>1845</v>
      </c>
      <c r="C417" t="s">
        <v>1846</v>
      </c>
      <c r="D417" t="s">
        <v>16</v>
      </c>
      <c r="G417" s="2">
        <v>46163.416666666664</v>
      </c>
      <c r="H417" s="2">
        <v>46163.5</v>
      </c>
      <c r="I417" s="1">
        <v>46162</v>
      </c>
      <c r="J417" t="s">
        <v>1698</v>
      </c>
      <c r="K417" t="s">
        <v>649</v>
      </c>
    </row>
    <row r="418" spans="1:11">
      <c r="A418" t="s">
        <v>786</v>
      </c>
      <c r="B418" t="s">
        <v>787</v>
      </c>
      <c r="C418" t="s">
        <v>785</v>
      </c>
      <c r="D418" t="s">
        <v>16</v>
      </c>
      <c r="G418" t="s">
        <v>17</v>
      </c>
      <c r="I418" s="1">
        <v>46156</v>
      </c>
      <c r="J418" t="s">
        <v>1698</v>
      </c>
      <c r="K418" t="s">
        <v>649</v>
      </c>
    </row>
    <row r="419" spans="1:11">
      <c r="A419" t="s">
        <v>786</v>
      </c>
      <c r="B419" t="s">
        <v>789</v>
      </c>
      <c r="C419" t="s">
        <v>788</v>
      </c>
      <c r="D419" t="s">
        <v>16</v>
      </c>
      <c r="G419" t="s">
        <v>17</v>
      </c>
      <c r="I419" s="1">
        <v>46153</v>
      </c>
      <c r="J419" t="s">
        <v>1698</v>
      </c>
      <c r="K419" t="s">
        <v>649</v>
      </c>
    </row>
    <row r="420" spans="1:11">
      <c r="A420" t="s">
        <v>786</v>
      </c>
      <c r="B420" t="s">
        <v>791</v>
      </c>
      <c r="C420" t="s">
        <v>790</v>
      </c>
      <c r="D420" t="s">
        <v>16</v>
      </c>
      <c r="G420" t="s">
        <v>17</v>
      </c>
      <c r="I420" s="1">
        <v>46162</v>
      </c>
      <c r="J420" t="s">
        <v>1698</v>
      </c>
      <c r="K420" t="s">
        <v>649</v>
      </c>
    </row>
    <row r="421" spans="1:11">
      <c r="A421" t="s">
        <v>786</v>
      </c>
      <c r="B421" t="s">
        <v>793</v>
      </c>
      <c r="C421" t="s">
        <v>792</v>
      </c>
      <c r="D421" t="s">
        <v>16</v>
      </c>
      <c r="G421" t="s">
        <v>17</v>
      </c>
      <c r="I421" s="1">
        <v>46162</v>
      </c>
      <c r="J421" t="s">
        <v>1698</v>
      </c>
      <c r="K421" t="s">
        <v>649</v>
      </c>
    </row>
    <row r="422" spans="1:11">
      <c r="A422" t="s">
        <v>786</v>
      </c>
      <c r="B422" t="s">
        <v>795</v>
      </c>
      <c r="C422" t="s">
        <v>794</v>
      </c>
      <c r="D422" t="s">
        <v>16</v>
      </c>
      <c r="G422" t="s">
        <v>17</v>
      </c>
      <c r="I422" s="1">
        <v>46162</v>
      </c>
      <c r="J422" t="s">
        <v>1698</v>
      </c>
      <c r="K422" t="s">
        <v>649</v>
      </c>
    </row>
    <row r="423" spans="1:11">
      <c r="A423" t="s">
        <v>786</v>
      </c>
      <c r="B423" t="s">
        <v>797</v>
      </c>
      <c r="C423" t="s">
        <v>796</v>
      </c>
      <c r="D423" t="s">
        <v>16</v>
      </c>
      <c r="G423" t="s">
        <v>17</v>
      </c>
      <c r="I423" s="1">
        <v>46149</v>
      </c>
      <c r="J423" t="s">
        <v>1698</v>
      </c>
      <c r="K423" t="s">
        <v>649</v>
      </c>
    </row>
    <row r="424" spans="1:11">
      <c r="A424" t="s">
        <v>786</v>
      </c>
      <c r="B424" t="s">
        <v>799</v>
      </c>
      <c r="C424" t="s">
        <v>798</v>
      </c>
      <c r="D424" t="s">
        <v>16</v>
      </c>
      <c r="G424" t="s">
        <v>17</v>
      </c>
      <c r="I424" s="1">
        <v>46149</v>
      </c>
      <c r="J424" t="s">
        <v>1698</v>
      </c>
      <c r="K424" t="s">
        <v>649</v>
      </c>
    </row>
    <row r="425" spans="1:11">
      <c r="A425" t="s">
        <v>786</v>
      </c>
      <c r="B425" t="s">
        <v>801</v>
      </c>
      <c r="C425" t="s">
        <v>800</v>
      </c>
      <c r="D425" t="s">
        <v>16</v>
      </c>
      <c r="G425" t="s">
        <v>17</v>
      </c>
      <c r="I425" s="1">
        <v>46155</v>
      </c>
      <c r="J425" t="s">
        <v>1698</v>
      </c>
      <c r="K425" t="s">
        <v>649</v>
      </c>
    </row>
    <row r="426" spans="1:11">
      <c r="A426" t="s">
        <v>786</v>
      </c>
      <c r="B426" t="s">
        <v>803</v>
      </c>
      <c r="C426" t="s">
        <v>802</v>
      </c>
      <c r="D426" t="s">
        <v>16</v>
      </c>
      <c r="G426" t="s">
        <v>17</v>
      </c>
      <c r="I426" s="1">
        <v>46162</v>
      </c>
      <c r="J426" t="s">
        <v>1698</v>
      </c>
      <c r="K426" t="s">
        <v>649</v>
      </c>
    </row>
    <row r="427" spans="1:11">
      <c r="A427" t="s">
        <v>786</v>
      </c>
      <c r="B427" t="s">
        <v>805</v>
      </c>
      <c r="C427" t="s">
        <v>804</v>
      </c>
      <c r="D427" t="s">
        <v>16</v>
      </c>
      <c r="G427" t="s">
        <v>17</v>
      </c>
      <c r="I427" s="1">
        <v>46159</v>
      </c>
      <c r="J427" t="s">
        <v>1698</v>
      </c>
      <c r="K427" t="s">
        <v>649</v>
      </c>
    </row>
    <row r="428" spans="1:11">
      <c r="A428" t="s">
        <v>786</v>
      </c>
      <c r="B428" t="s">
        <v>807</v>
      </c>
      <c r="C428" t="s">
        <v>806</v>
      </c>
      <c r="D428" t="s">
        <v>16</v>
      </c>
      <c r="G428" t="s">
        <v>17</v>
      </c>
      <c r="I428" s="1">
        <v>46163</v>
      </c>
      <c r="J428" t="s">
        <v>1698</v>
      </c>
      <c r="K428" t="s">
        <v>649</v>
      </c>
    </row>
    <row r="429" spans="1:11">
      <c r="A429" t="s">
        <v>809</v>
      </c>
      <c r="B429" t="s">
        <v>810</v>
      </c>
      <c r="C429" t="s">
        <v>808</v>
      </c>
      <c r="D429" t="s">
        <v>21</v>
      </c>
      <c r="E429" t="s">
        <v>22</v>
      </c>
      <c r="F429">
        <v>51</v>
      </c>
      <c r="G429" s="2">
        <v>46356.520833333336</v>
      </c>
      <c r="H429" s="2">
        <v>46358.541666666664</v>
      </c>
      <c r="I429" s="1">
        <v>46163</v>
      </c>
      <c r="J429" t="s">
        <v>1698</v>
      </c>
      <c r="K429" t="s">
        <v>809</v>
      </c>
    </row>
    <row r="430" spans="1:11">
      <c r="A430" t="s">
        <v>809</v>
      </c>
      <c r="B430" t="s">
        <v>812</v>
      </c>
      <c r="C430" t="s">
        <v>811</v>
      </c>
      <c r="D430" t="s">
        <v>21</v>
      </c>
      <c r="E430" t="s">
        <v>22</v>
      </c>
      <c r="F430">
        <v>17</v>
      </c>
      <c r="G430" s="2">
        <v>46363.520833333336</v>
      </c>
      <c r="H430" s="2">
        <v>46365.541666666664</v>
      </c>
      <c r="I430" s="1">
        <v>46163</v>
      </c>
      <c r="J430" t="s">
        <v>1698</v>
      </c>
      <c r="K430" t="s">
        <v>809</v>
      </c>
    </row>
    <row r="431" spans="1:11">
      <c r="A431" t="s">
        <v>809</v>
      </c>
      <c r="B431" t="s">
        <v>814</v>
      </c>
      <c r="C431" t="s">
        <v>813</v>
      </c>
      <c r="D431" t="s">
        <v>21</v>
      </c>
      <c r="E431" t="s">
        <v>22</v>
      </c>
      <c r="F431">
        <v>6</v>
      </c>
      <c r="G431" s="2">
        <v>46349.520833333336</v>
      </c>
      <c r="H431" s="2">
        <v>46351.541666666664</v>
      </c>
      <c r="I431" s="1">
        <v>46154</v>
      </c>
      <c r="J431" t="s">
        <v>1698</v>
      </c>
      <c r="K431" t="s">
        <v>809</v>
      </c>
    </row>
    <row r="432" spans="1:11">
      <c r="A432" t="s">
        <v>809</v>
      </c>
      <c r="B432" t="s">
        <v>816</v>
      </c>
      <c r="C432" t="s">
        <v>815</v>
      </c>
      <c r="D432" t="s">
        <v>21</v>
      </c>
      <c r="E432" t="s">
        <v>22</v>
      </c>
      <c r="F432">
        <v>41</v>
      </c>
      <c r="G432" s="2">
        <v>46314.520833333336</v>
      </c>
      <c r="H432" s="2">
        <v>46316.541666666664</v>
      </c>
      <c r="I432" s="1">
        <v>46161</v>
      </c>
      <c r="J432" t="s">
        <v>1698</v>
      </c>
      <c r="K432" t="s">
        <v>809</v>
      </c>
    </row>
    <row r="433" spans="1:16">
      <c r="A433" t="s">
        <v>809</v>
      </c>
      <c r="B433" t="s">
        <v>818</v>
      </c>
      <c r="C433" t="s">
        <v>817</v>
      </c>
      <c r="D433" t="s">
        <v>21</v>
      </c>
      <c r="E433" t="s">
        <v>22</v>
      </c>
      <c r="F433">
        <v>2</v>
      </c>
      <c r="G433" s="2">
        <v>45670.520833333336</v>
      </c>
      <c r="H433" s="2">
        <v>45672.583333333336</v>
      </c>
      <c r="I433" s="1">
        <v>45799</v>
      </c>
      <c r="J433" t="s">
        <v>1698</v>
      </c>
      <c r="K433" t="s">
        <v>809</v>
      </c>
    </row>
    <row r="434" spans="1:16">
      <c r="A434" t="s">
        <v>809</v>
      </c>
      <c r="B434" t="s">
        <v>820</v>
      </c>
      <c r="C434" t="s">
        <v>819</v>
      </c>
      <c r="D434" t="s">
        <v>21</v>
      </c>
      <c r="E434" t="s">
        <v>22</v>
      </c>
      <c r="F434">
        <v>7</v>
      </c>
      <c r="G434" s="2">
        <v>46202.520833333336</v>
      </c>
      <c r="H434" s="2">
        <v>46204.541666666664</v>
      </c>
      <c r="I434" s="1">
        <v>46161</v>
      </c>
      <c r="J434" t="s">
        <v>1698</v>
      </c>
      <c r="K434" t="s">
        <v>809</v>
      </c>
    </row>
    <row r="435" spans="1:16">
      <c r="A435" t="s">
        <v>809</v>
      </c>
      <c r="B435" t="s">
        <v>822</v>
      </c>
      <c r="C435" t="s">
        <v>821</v>
      </c>
      <c r="D435" t="s">
        <v>21</v>
      </c>
      <c r="E435" t="s">
        <v>25</v>
      </c>
      <c r="G435" s="2">
        <v>46300.520833333336</v>
      </c>
      <c r="H435" s="2">
        <v>46302.541666666664</v>
      </c>
      <c r="I435" s="1">
        <v>46162</v>
      </c>
      <c r="J435" t="s">
        <v>1698</v>
      </c>
      <c r="K435" t="s">
        <v>809</v>
      </c>
    </row>
    <row r="436" spans="1:16">
      <c r="A436" t="s">
        <v>809</v>
      </c>
      <c r="B436" t="s">
        <v>824</v>
      </c>
      <c r="C436" t="s">
        <v>823</v>
      </c>
      <c r="D436" t="s">
        <v>21</v>
      </c>
      <c r="E436" t="s">
        <v>25</v>
      </c>
      <c r="G436" s="2">
        <v>46321.520833333336</v>
      </c>
      <c r="H436" s="2">
        <v>46323.541666666664</v>
      </c>
      <c r="I436" s="1">
        <v>45799</v>
      </c>
      <c r="J436" t="s">
        <v>1698</v>
      </c>
      <c r="K436" t="s">
        <v>809</v>
      </c>
    </row>
    <row r="437" spans="1:16">
      <c r="A437" t="s">
        <v>809</v>
      </c>
      <c r="B437" t="s">
        <v>826</v>
      </c>
      <c r="C437" t="s">
        <v>825</v>
      </c>
      <c r="D437" t="s">
        <v>21</v>
      </c>
      <c r="E437" t="s">
        <v>22</v>
      </c>
      <c r="F437">
        <v>2</v>
      </c>
      <c r="G437" s="2">
        <v>46218.520833333336</v>
      </c>
      <c r="H437" s="2">
        <v>46220.541666666664</v>
      </c>
      <c r="I437" s="1">
        <v>46163</v>
      </c>
      <c r="J437" t="s">
        <v>1698</v>
      </c>
      <c r="K437" t="s">
        <v>809</v>
      </c>
    </row>
    <row r="438" spans="1:16">
      <c r="A438" t="s">
        <v>828</v>
      </c>
      <c r="B438" t="s">
        <v>829</v>
      </c>
      <c r="C438" t="s">
        <v>827</v>
      </c>
      <c r="D438" t="s">
        <v>16</v>
      </c>
      <c r="G438" s="2">
        <v>45943.333333333336</v>
      </c>
      <c r="H438" s="2">
        <v>46387.999305555553</v>
      </c>
      <c r="I438" s="1">
        <v>46163</v>
      </c>
      <c r="J438" t="s">
        <v>1698</v>
      </c>
      <c r="K438" t="s">
        <v>1199</v>
      </c>
      <c r="P438" s="33"/>
    </row>
    <row r="439" spans="1:16">
      <c r="A439" t="s">
        <v>828</v>
      </c>
      <c r="B439" t="s">
        <v>1847</v>
      </c>
      <c r="C439" t="s">
        <v>1848</v>
      </c>
      <c r="D439" t="s">
        <v>21</v>
      </c>
      <c r="E439" t="s">
        <v>22</v>
      </c>
      <c r="F439">
        <v>32</v>
      </c>
      <c r="G439" s="2">
        <v>46286.354166666664</v>
      </c>
      <c r="H439" s="2">
        <v>46409.729166666664</v>
      </c>
      <c r="I439" s="1">
        <v>46162</v>
      </c>
      <c r="J439" t="s">
        <v>1849</v>
      </c>
      <c r="K439" t="s">
        <v>1199</v>
      </c>
      <c r="P439" s="23"/>
    </row>
    <row r="440" spans="1:16">
      <c r="A440" t="s">
        <v>828</v>
      </c>
      <c r="B440" t="s">
        <v>1850</v>
      </c>
      <c r="C440" t="s">
        <v>1851</v>
      </c>
      <c r="D440" t="s">
        <v>21</v>
      </c>
      <c r="E440" t="s">
        <v>22</v>
      </c>
      <c r="F440">
        <v>13</v>
      </c>
      <c r="G440" s="2">
        <v>46286.354166666664</v>
      </c>
      <c r="H440" s="2">
        <v>46409.729166666664</v>
      </c>
      <c r="I440" s="1">
        <v>46163</v>
      </c>
      <c r="J440" t="s">
        <v>1849</v>
      </c>
      <c r="K440" t="s">
        <v>1199</v>
      </c>
      <c r="P440" s="10"/>
    </row>
    <row r="441" spans="1:16">
      <c r="A441" t="s">
        <v>828</v>
      </c>
      <c r="B441" t="s">
        <v>1852</v>
      </c>
      <c r="C441" t="s">
        <v>1853</v>
      </c>
      <c r="D441" t="s">
        <v>21</v>
      </c>
      <c r="E441" t="s">
        <v>22</v>
      </c>
      <c r="F441">
        <v>13</v>
      </c>
      <c r="G441" s="2">
        <v>46286.354166666664</v>
      </c>
      <c r="H441" s="2">
        <v>46409.729166666664</v>
      </c>
      <c r="I441" s="1">
        <v>46161</v>
      </c>
      <c r="J441" t="s">
        <v>1849</v>
      </c>
      <c r="K441" t="s">
        <v>1199</v>
      </c>
      <c r="P441" s="10"/>
    </row>
    <row r="442" spans="1:16">
      <c r="A442" t="s">
        <v>828</v>
      </c>
      <c r="B442" t="s">
        <v>1854</v>
      </c>
      <c r="C442" t="s">
        <v>1855</v>
      </c>
      <c r="D442" t="s">
        <v>21</v>
      </c>
      <c r="E442" t="s">
        <v>22</v>
      </c>
      <c r="F442">
        <v>4</v>
      </c>
      <c r="G442" s="2">
        <v>46286.354166666664</v>
      </c>
      <c r="H442" s="2">
        <v>46409.729166666664</v>
      </c>
      <c r="I442" s="1">
        <v>46159</v>
      </c>
      <c r="J442" t="s">
        <v>1849</v>
      </c>
      <c r="K442" t="s">
        <v>1199</v>
      </c>
      <c r="P442" s="10"/>
    </row>
    <row r="443" spans="1:16">
      <c r="A443" t="s">
        <v>828</v>
      </c>
      <c r="B443" t="s">
        <v>1856</v>
      </c>
      <c r="C443" t="s">
        <v>1857</v>
      </c>
      <c r="D443" t="s">
        <v>21</v>
      </c>
      <c r="E443" t="s">
        <v>22</v>
      </c>
      <c r="F443">
        <v>8</v>
      </c>
      <c r="G443" s="2">
        <v>46286.354166666664</v>
      </c>
      <c r="H443" s="2">
        <v>46409.729166666664</v>
      </c>
      <c r="I443" s="1">
        <v>46161</v>
      </c>
      <c r="J443" t="s">
        <v>1849</v>
      </c>
      <c r="K443" t="s">
        <v>1199</v>
      </c>
      <c r="P443" s="10"/>
    </row>
    <row r="444" spans="1:16">
      <c r="A444" t="s">
        <v>828</v>
      </c>
      <c r="B444" t="s">
        <v>1858</v>
      </c>
      <c r="C444" t="s">
        <v>1859</v>
      </c>
      <c r="D444" t="s">
        <v>21</v>
      </c>
      <c r="E444" t="s">
        <v>22</v>
      </c>
      <c r="F444">
        <v>7</v>
      </c>
      <c r="G444" s="2">
        <v>46286.354166666664</v>
      </c>
      <c r="H444" s="2">
        <v>46409.729166666664</v>
      </c>
      <c r="I444" s="1">
        <v>46162</v>
      </c>
      <c r="J444" t="s">
        <v>1849</v>
      </c>
      <c r="K444" t="s">
        <v>1199</v>
      </c>
      <c r="P444" s="10"/>
    </row>
    <row r="445" spans="1:16">
      <c r="A445" t="s">
        <v>828</v>
      </c>
      <c r="B445" t="s">
        <v>1860</v>
      </c>
      <c r="C445" t="s">
        <v>1861</v>
      </c>
      <c r="D445" t="s">
        <v>21</v>
      </c>
      <c r="E445" t="s">
        <v>22</v>
      </c>
      <c r="F445">
        <v>0</v>
      </c>
      <c r="G445" s="2">
        <v>46286.354166666664</v>
      </c>
      <c r="H445" s="2">
        <v>46409.729166666664</v>
      </c>
      <c r="I445" s="1">
        <v>46045</v>
      </c>
      <c r="J445" t="s">
        <v>1849</v>
      </c>
      <c r="K445" t="s">
        <v>1199</v>
      </c>
      <c r="P445" s="10"/>
    </row>
    <row r="446" spans="1:16">
      <c r="A446" t="s">
        <v>828</v>
      </c>
      <c r="B446" t="s">
        <v>1862</v>
      </c>
      <c r="C446" t="s">
        <v>1863</v>
      </c>
      <c r="D446" t="s">
        <v>21</v>
      </c>
      <c r="E446" t="s">
        <v>22</v>
      </c>
      <c r="F446">
        <v>0</v>
      </c>
      <c r="G446" s="2">
        <v>46286.354166666664</v>
      </c>
      <c r="H446" s="2">
        <v>46409.729166666664</v>
      </c>
      <c r="I446" s="1">
        <v>46097</v>
      </c>
      <c r="J446" t="s">
        <v>1849</v>
      </c>
      <c r="K446" t="s">
        <v>1199</v>
      </c>
      <c r="P446" s="10"/>
    </row>
    <row r="447" spans="1:16">
      <c r="A447" t="s">
        <v>828</v>
      </c>
      <c r="B447" t="s">
        <v>1864</v>
      </c>
      <c r="C447" t="s">
        <v>1865</v>
      </c>
      <c r="D447" t="s">
        <v>21</v>
      </c>
      <c r="E447" t="s">
        <v>22</v>
      </c>
      <c r="F447">
        <v>3</v>
      </c>
      <c r="G447" s="2">
        <v>46286.354166666664</v>
      </c>
      <c r="H447" s="2">
        <v>46409.729166666664</v>
      </c>
      <c r="I447" s="1">
        <v>46159</v>
      </c>
      <c r="J447" t="s">
        <v>1849</v>
      </c>
      <c r="K447" t="s">
        <v>1199</v>
      </c>
      <c r="P447" s="10"/>
    </row>
    <row r="448" spans="1:16">
      <c r="A448" t="s">
        <v>828</v>
      </c>
      <c r="B448" t="s">
        <v>1866</v>
      </c>
      <c r="C448" t="s">
        <v>1867</v>
      </c>
      <c r="D448" t="s">
        <v>21</v>
      </c>
      <c r="E448" t="s">
        <v>22</v>
      </c>
      <c r="F448">
        <v>0</v>
      </c>
      <c r="G448" s="2">
        <v>46286.354166666664</v>
      </c>
      <c r="H448" s="2">
        <v>46409.729166666664</v>
      </c>
      <c r="I448" s="1">
        <v>46045</v>
      </c>
      <c r="J448" t="s">
        <v>1849</v>
      </c>
      <c r="K448" t="s">
        <v>1199</v>
      </c>
      <c r="P448" s="10"/>
    </row>
    <row r="449" spans="1:16">
      <c r="A449" t="s">
        <v>828</v>
      </c>
      <c r="B449" t="s">
        <v>1868</v>
      </c>
      <c r="C449" t="s">
        <v>1869</v>
      </c>
      <c r="D449" t="s">
        <v>21</v>
      </c>
      <c r="E449" t="s">
        <v>22</v>
      </c>
      <c r="F449">
        <v>0</v>
      </c>
      <c r="G449" s="2">
        <v>46286.354166666664</v>
      </c>
      <c r="H449" s="2">
        <v>46409.729166666664</v>
      </c>
      <c r="I449" s="1">
        <v>46063</v>
      </c>
      <c r="J449" t="s">
        <v>1849</v>
      </c>
      <c r="K449" t="s">
        <v>1199</v>
      </c>
      <c r="P449" s="10"/>
    </row>
    <row r="450" spans="1:16">
      <c r="A450" t="s">
        <v>828</v>
      </c>
      <c r="B450" t="s">
        <v>1870</v>
      </c>
      <c r="C450" t="s">
        <v>1871</v>
      </c>
      <c r="D450" t="s">
        <v>21</v>
      </c>
      <c r="E450" t="s">
        <v>22</v>
      </c>
      <c r="F450">
        <v>2</v>
      </c>
      <c r="G450" s="2">
        <v>46286.354166666664</v>
      </c>
      <c r="H450" s="2">
        <v>46409.729166666664</v>
      </c>
      <c r="I450" s="1">
        <v>46159</v>
      </c>
      <c r="J450" t="s">
        <v>1849</v>
      </c>
      <c r="K450" t="s">
        <v>1199</v>
      </c>
      <c r="P450" s="10"/>
    </row>
    <row r="451" spans="1:16">
      <c r="A451" t="s">
        <v>828</v>
      </c>
      <c r="B451" t="s">
        <v>1872</v>
      </c>
      <c r="C451" t="s">
        <v>1873</v>
      </c>
      <c r="D451" t="s">
        <v>21</v>
      </c>
      <c r="E451" t="s">
        <v>22</v>
      </c>
      <c r="F451">
        <v>0</v>
      </c>
      <c r="G451" s="2">
        <v>46286.354166666664</v>
      </c>
      <c r="H451" s="2">
        <v>46409.729166666664</v>
      </c>
      <c r="I451" t="s">
        <v>198</v>
      </c>
      <c r="J451" t="s">
        <v>1849</v>
      </c>
      <c r="K451" t="s">
        <v>1199</v>
      </c>
      <c r="P451" s="10"/>
    </row>
    <row r="452" spans="1:16">
      <c r="A452" t="s">
        <v>828</v>
      </c>
      <c r="B452" t="s">
        <v>1874</v>
      </c>
      <c r="C452" t="s">
        <v>1875</v>
      </c>
      <c r="D452" t="s">
        <v>21</v>
      </c>
      <c r="E452" t="s">
        <v>22</v>
      </c>
      <c r="F452">
        <v>0</v>
      </c>
      <c r="G452" s="2">
        <v>46286.354166666664</v>
      </c>
      <c r="H452" s="2">
        <v>46409.729166666664</v>
      </c>
      <c r="I452" s="1">
        <v>46044</v>
      </c>
      <c r="J452" t="s">
        <v>1849</v>
      </c>
      <c r="K452" t="s">
        <v>1199</v>
      </c>
      <c r="P452" s="10"/>
    </row>
    <row r="453" spans="1:16">
      <c r="A453" t="s">
        <v>828</v>
      </c>
      <c r="B453" t="s">
        <v>1876</v>
      </c>
      <c r="C453" t="s">
        <v>1877</v>
      </c>
      <c r="D453" t="s">
        <v>21</v>
      </c>
      <c r="E453" t="s">
        <v>22</v>
      </c>
      <c r="F453">
        <v>6</v>
      </c>
      <c r="G453" s="2">
        <v>46286.354166666664</v>
      </c>
      <c r="H453" s="2">
        <v>46409.729166666664</v>
      </c>
      <c r="I453" s="1">
        <v>46155</v>
      </c>
      <c r="J453" t="s">
        <v>1849</v>
      </c>
      <c r="K453" t="s">
        <v>1199</v>
      </c>
      <c r="P453" s="10"/>
    </row>
    <row r="454" spans="1:16">
      <c r="A454" t="s">
        <v>828</v>
      </c>
      <c r="B454" t="s">
        <v>1878</v>
      </c>
      <c r="C454" t="s">
        <v>1879</v>
      </c>
      <c r="D454" t="s">
        <v>21</v>
      </c>
      <c r="E454" t="s">
        <v>22</v>
      </c>
      <c r="F454">
        <v>0</v>
      </c>
      <c r="G454" s="2">
        <v>46286.354166666664</v>
      </c>
      <c r="H454" s="2">
        <v>46409.729166666664</v>
      </c>
      <c r="I454" t="s">
        <v>198</v>
      </c>
      <c r="J454" t="s">
        <v>1849</v>
      </c>
      <c r="K454" t="s">
        <v>1199</v>
      </c>
      <c r="P454" s="10"/>
    </row>
    <row r="455" spans="1:16">
      <c r="A455" t="s">
        <v>828</v>
      </c>
      <c r="B455" t="s">
        <v>1880</v>
      </c>
      <c r="C455" t="s">
        <v>1881</v>
      </c>
      <c r="D455" t="s">
        <v>21</v>
      </c>
      <c r="E455" t="s">
        <v>22</v>
      </c>
      <c r="F455">
        <v>0</v>
      </c>
      <c r="G455" s="2">
        <v>46286.354166666664</v>
      </c>
      <c r="H455" s="2">
        <v>46409.729166666664</v>
      </c>
      <c r="I455" t="s">
        <v>198</v>
      </c>
      <c r="J455" t="s">
        <v>1849</v>
      </c>
      <c r="K455" t="s">
        <v>1199</v>
      </c>
      <c r="P455" s="10"/>
    </row>
    <row r="456" spans="1:16">
      <c r="A456" t="s">
        <v>828</v>
      </c>
      <c r="B456" t="s">
        <v>1882</v>
      </c>
      <c r="C456" t="s">
        <v>1883</v>
      </c>
      <c r="D456" t="s">
        <v>21</v>
      </c>
      <c r="E456" t="s">
        <v>22</v>
      </c>
      <c r="F456">
        <v>8</v>
      </c>
      <c r="G456" s="2">
        <v>46286.354166666664</v>
      </c>
      <c r="H456" s="2">
        <v>46409.729166666664</v>
      </c>
      <c r="I456" s="1">
        <v>46162</v>
      </c>
      <c r="J456" t="s">
        <v>1849</v>
      </c>
      <c r="K456" t="s">
        <v>1199</v>
      </c>
      <c r="P456" s="10"/>
    </row>
    <row r="457" spans="1:16">
      <c r="A457" t="s">
        <v>828</v>
      </c>
      <c r="B457" t="s">
        <v>1884</v>
      </c>
      <c r="C457" t="s">
        <v>1885</v>
      </c>
      <c r="D457" t="s">
        <v>21</v>
      </c>
      <c r="E457" t="s">
        <v>22</v>
      </c>
      <c r="F457">
        <v>0</v>
      </c>
      <c r="G457" s="2">
        <v>46286.354166666664</v>
      </c>
      <c r="H457" s="2">
        <v>46409.729166666664</v>
      </c>
      <c r="I457" s="1">
        <v>45469</v>
      </c>
      <c r="J457" t="s">
        <v>1849</v>
      </c>
      <c r="K457" t="s">
        <v>1199</v>
      </c>
      <c r="P457" s="10"/>
    </row>
    <row r="458" spans="1:16">
      <c r="A458" t="s">
        <v>828</v>
      </c>
      <c r="B458" t="s">
        <v>1886</v>
      </c>
      <c r="C458" t="s">
        <v>1887</v>
      </c>
      <c r="D458" t="s">
        <v>21</v>
      </c>
      <c r="E458" t="s">
        <v>22</v>
      </c>
      <c r="F458">
        <v>0</v>
      </c>
      <c r="G458" s="2">
        <v>46286.354166666664</v>
      </c>
      <c r="H458" s="2">
        <v>46409.729166666664</v>
      </c>
      <c r="I458" s="1">
        <v>45679</v>
      </c>
      <c r="J458" t="s">
        <v>1849</v>
      </c>
      <c r="K458" t="s">
        <v>1199</v>
      </c>
      <c r="P458" s="10"/>
    </row>
    <row r="459" spans="1:16">
      <c r="A459" t="s">
        <v>828</v>
      </c>
      <c r="B459" t="s">
        <v>1888</v>
      </c>
      <c r="C459" t="s">
        <v>1889</v>
      </c>
      <c r="D459" t="s">
        <v>21</v>
      </c>
      <c r="E459" t="s">
        <v>22</v>
      </c>
      <c r="F459">
        <v>0</v>
      </c>
      <c r="G459" s="2">
        <v>46286.354166666664</v>
      </c>
      <c r="H459" s="2">
        <v>46409.729166666664</v>
      </c>
      <c r="I459" s="1">
        <v>45826</v>
      </c>
      <c r="J459" t="s">
        <v>1849</v>
      </c>
      <c r="K459" t="s">
        <v>1199</v>
      </c>
      <c r="P459" s="10"/>
    </row>
    <row r="460" spans="1:16">
      <c r="A460" t="s">
        <v>828</v>
      </c>
      <c r="B460" t="s">
        <v>1890</v>
      </c>
      <c r="C460" t="s">
        <v>1891</v>
      </c>
      <c r="D460" t="s">
        <v>21</v>
      </c>
      <c r="E460" t="s">
        <v>22</v>
      </c>
      <c r="F460">
        <v>3</v>
      </c>
      <c r="G460" s="2">
        <v>46286.354166666664</v>
      </c>
      <c r="H460" s="2">
        <v>46409.729166666664</v>
      </c>
      <c r="I460" s="1">
        <v>46162</v>
      </c>
      <c r="J460" t="s">
        <v>1849</v>
      </c>
      <c r="K460" t="s">
        <v>1199</v>
      </c>
      <c r="P460" s="10"/>
    </row>
    <row r="461" spans="1:16">
      <c r="A461" t="s">
        <v>828</v>
      </c>
      <c r="B461" t="s">
        <v>1892</v>
      </c>
      <c r="C461" t="s">
        <v>1893</v>
      </c>
      <c r="D461" t="s">
        <v>21</v>
      </c>
      <c r="E461" t="s">
        <v>22</v>
      </c>
      <c r="F461">
        <v>14</v>
      </c>
      <c r="G461" s="2">
        <v>46286.354166666664</v>
      </c>
      <c r="H461" s="2">
        <v>46409.729166666664</v>
      </c>
      <c r="I461" s="1">
        <v>46163</v>
      </c>
      <c r="J461" t="s">
        <v>1849</v>
      </c>
      <c r="K461" t="s">
        <v>1199</v>
      </c>
      <c r="P461" s="10"/>
    </row>
    <row r="462" spans="1:16">
      <c r="A462" t="s">
        <v>828</v>
      </c>
      <c r="B462" t="s">
        <v>1894</v>
      </c>
      <c r="C462" t="s">
        <v>1895</v>
      </c>
      <c r="D462" t="s">
        <v>21</v>
      </c>
      <c r="E462" t="s">
        <v>22</v>
      </c>
      <c r="F462">
        <v>6</v>
      </c>
      <c r="G462" s="2">
        <v>46286.354166666664</v>
      </c>
      <c r="H462" s="2">
        <v>46409.729166666664</v>
      </c>
      <c r="I462" s="1">
        <v>46162</v>
      </c>
      <c r="J462" t="s">
        <v>1849</v>
      </c>
      <c r="K462" t="s">
        <v>1199</v>
      </c>
      <c r="P462" s="10"/>
    </row>
    <row r="463" spans="1:16">
      <c r="A463" t="s">
        <v>828</v>
      </c>
      <c r="B463" t="s">
        <v>1896</v>
      </c>
      <c r="C463" t="s">
        <v>1897</v>
      </c>
      <c r="D463" t="s">
        <v>21</v>
      </c>
      <c r="E463" t="s">
        <v>22</v>
      </c>
      <c r="F463">
        <v>6</v>
      </c>
      <c r="G463" s="2">
        <v>46286.354166666664</v>
      </c>
      <c r="H463" s="2">
        <v>46409.729166666664</v>
      </c>
      <c r="I463" s="1">
        <v>46162</v>
      </c>
      <c r="J463" t="s">
        <v>1849</v>
      </c>
      <c r="K463" t="s">
        <v>1199</v>
      </c>
      <c r="P463" s="10"/>
    </row>
    <row r="464" spans="1:16">
      <c r="A464" t="s">
        <v>828</v>
      </c>
      <c r="B464" t="s">
        <v>1898</v>
      </c>
      <c r="C464" t="s">
        <v>1899</v>
      </c>
      <c r="D464" t="s">
        <v>21</v>
      </c>
      <c r="E464" t="s">
        <v>22</v>
      </c>
      <c r="F464">
        <v>3</v>
      </c>
      <c r="G464" s="2">
        <v>46286.354166666664</v>
      </c>
      <c r="H464" s="2">
        <v>46409.729166666664</v>
      </c>
      <c r="I464" s="1">
        <v>46161</v>
      </c>
      <c r="J464" t="s">
        <v>1849</v>
      </c>
      <c r="K464" t="s">
        <v>1199</v>
      </c>
      <c r="P464" s="10"/>
    </row>
    <row r="465" spans="1:16">
      <c r="A465" t="s">
        <v>828</v>
      </c>
      <c r="B465" t="s">
        <v>1900</v>
      </c>
      <c r="C465" t="s">
        <v>1901</v>
      </c>
      <c r="D465" t="s">
        <v>21</v>
      </c>
      <c r="E465" t="s">
        <v>22</v>
      </c>
      <c r="F465">
        <v>3</v>
      </c>
      <c r="G465" s="2">
        <v>46286.354166666664</v>
      </c>
      <c r="H465" s="2">
        <v>46409.729166666664</v>
      </c>
      <c r="I465" s="1">
        <v>46155</v>
      </c>
      <c r="J465" t="s">
        <v>1849</v>
      </c>
      <c r="K465" t="s">
        <v>1199</v>
      </c>
      <c r="P465" s="10"/>
    </row>
    <row r="466" spans="1:16">
      <c r="A466" t="s">
        <v>828</v>
      </c>
      <c r="B466" t="s">
        <v>1902</v>
      </c>
      <c r="C466" t="s">
        <v>1903</v>
      </c>
      <c r="D466" t="s">
        <v>21</v>
      </c>
      <c r="E466" t="s">
        <v>22</v>
      </c>
      <c r="F466">
        <v>0</v>
      </c>
      <c r="G466" s="2">
        <v>46286.354166666664</v>
      </c>
      <c r="H466" s="2">
        <v>46409.729166666664</v>
      </c>
      <c r="I466" s="1">
        <v>45680</v>
      </c>
      <c r="J466" t="s">
        <v>1849</v>
      </c>
      <c r="K466" t="s">
        <v>1199</v>
      </c>
      <c r="P466" s="10"/>
    </row>
    <row r="467" spans="1:16">
      <c r="A467" t="s">
        <v>828</v>
      </c>
      <c r="B467" t="s">
        <v>1904</v>
      </c>
      <c r="C467" t="s">
        <v>1905</v>
      </c>
      <c r="D467" t="s">
        <v>21</v>
      </c>
      <c r="E467" t="s">
        <v>22</v>
      </c>
      <c r="F467">
        <v>2</v>
      </c>
      <c r="G467" s="2">
        <v>46286.354166666664</v>
      </c>
      <c r="H467" s="2">
        <v>46409.729166666664</v>
      </c>
      <c r="I467" s="1">
        <v>46155</v>
      </c>
      <c r="J467" t="s">
        <v>1849</v>
      </c>
      <c r="K467" t="s">
        <v>1199</v>
      </c>
      <c r="P467" s="10"/>
    </row>
    <row r="468" spans="1:16">
      <c r="A468" t="s">
        <v>828</v>
      </c>
      <c r="B468" t="s">
        <v>1906</v>
      </c>
      <c r="C468" t="s">
        <v>1907</v>
      </c>
      <c r="D468" t="s">
        <v>21</v>
      </c>
      <c r="E468" t="s">
        <v>22</v>
      </c>
      <c r="F468">
        <v>2</v>
      </c>
      <c r="G468" s="2">
        <v>46286.354166666664</v>
      </c>
      <c r="H468" s="2">
        <v>46409.729166666664</v>
      </c>
      <c r="I468" s="1">
        <v>46161</v>
      </c>
      <c r="J468" t="s">
        <v>1849</v>
      </c>
      <c r="K468" t="s">
        <v>1199</v>
      </c>
      <c r="P468" s="10"/>
    </row>
    <row r="469" spans="1:16">
      <c r="A469" t="s">
        <v>828</v>
      </c>
      <c r="B469" t="s">
        <v>1908</v>
      </c>
      <c r="C469" t="s">
        <v>1909</v>
      </c>
      <c r="D469" t="s">
        <v>21</v>
      </c>
      <c r="E469" t="s">
        <v>22</v>
      </c>
      <c r="F469">
        <v>1</v>
      </c>
      <c r="G469" s="2">
        <v>46286.354166666664</v>
      </c>
      <c r="H469" s="2">
        <v>46409.729166666664</v>
      </c>
      <c r="I469" s="1">
        <v>46154</v>
      </c>
      <c r="J469" t="s">
        <v>1849</v>
      </c>
      <c r="K469" t="s">
        <v>1199</v>
      </c>
      <c r="P469" s="10"/>
    </row>
    <row r="470" spans="1:16">
      <c r="A470" t="s">
        <v>828</v>
      </c>
      <c r="B470" t="s">
        <v>1910</v>
      </c>
      <c r="C470" t="s">
        <v>1911</v>
      </c>
      <c r="D470" t="s">
        <v>21</v>
      </c>
      <c r="E470" t="s">
        <v>22</v>
      </c>
      <c r="F470">
        <v>3</v>
      </c>
      <c r="G470" s="2">
        <v>46286.354166666664</v>
      </c>
      <c r="H470" s="2">
        <v>46409.729166666664</v>
      </c>
      <c r="I470" s="1">
        <v>46159</v>
      </c>
      <c r="J470" t="s">
        <v>1849</v>
      </c>
      <c r="K470" t="s">
        <v>1199</v>
      </c>
      <c r="P470" s="10"/>
    </row>
    <row r="471" spans="1:16">
      <c r="A471" t="s">
        <v>828</v>
      </c>
      <c r="B471" t="s">
        <v>1912</v>
      </c>
      <c r="C471" t="s">
        <v>1913</v>
      </c>
      <c r="D471" t="s">
        <v>21</v>
      </c>
      <c r="E471" t="s">
        <v>22</v>
      </c>
      <c r="F471">
        <v>1</v>
      </c>
      <c r="G471" s="2">
        <v>46286.354166666664</v>
      </c>
      <c r="H471" s="2">
        <v>46409.729166666664</v>
      </c>
      <c r="I471" s="1">
        <v>46154</v>
      </c>
      <c r="J471" t="s">
        <v>1849</v>
      </c>
      <c r="K471" t="s">
        <v>1199</v>
      </c>
      <c r="P471" s="10"/>
    </row>
    <row r="472" spans="1:16">
      <c r="A472" t="s">
        <v>828</v>
      </c>
      <c r="B472" t="s">
        <v>1914</v>
      </c>
      <c r="C472" t="s">
        <v>1915</v>
      </c>
      <c r="D472" t="s">
        <v>21</v>
      </c>
      <c r="E472" t="s">
        <v>22</v>
      </c>
      <c r="F472">
        <v>0</v>
      </c>
      <c r="G472" s="2">
        <v>46286.354166666664</v>
      </c>
      <c r="H472" s="2">
        <v>46409.729166666664</v>
      </c>
      <c r="I472" s="1">
        <v>45470</v>
      </c>
      <c r="J472" t="s">
        <v>1849</v>
      </c>
      <c r="K472" t="s">
        <v>1199</v>
      </c>
      <c r="P472" s="10"/>
    </row>
    <row r="473" spans="1:16">
      <c r="A473" t="s">
        <v>828</v>
      </c>
      <c r="B473" t="s">
        <v>1916</v>
      </c>
      <c r="C473" t="s">
        <v>1917</v>
      </c>
      <c r="D473" t="s">
        <v>21</v>
      </c>
      <c r="E473" t="s">
        <v>22</v>
      </c>
      <c r="F473">
        <v>0</v>
      </c>
      <c r="G473" s="2">
        <v>46286.354166666664</v>
      </c>
      <c r="H473" s="2">
        <v>46409.729166666664</v>
      </c>
      <c r="I473" s="1">
        <v>45684</v>
      </c>
      <c r="J473" t="s">
        <v>1849</v>
      </c>
      <c r="K473" t="s">
        <v>1199</v>
      </c>
      <c r="P473" s="10"/>
    </row>
    <row r="474" spans="1:16">
      <c r="A474" t="s">
        <v>828</v>
      </c>
      <c r="B474" t="s">
        <v>1918</v>
      </c>
      <c r="C474" t="s">
        <v>1919</v>
      </c>
      <c r="D474" t="s">
        <v>21</v>
      </c>
      <c r="E474" t="s">
        <v>22</v>
      </c>
      <c r="F474">
        <v>0</v>
      </c>
      <c r="G474" s="2">
        <v>46286.354166666664</v>
      </c>
      <c r="H474" s="2">
        <v>46409.729166666664</v>
      </c>
      <c r="I474" s="1">
        <v>45828</v>
      </c>
      <c r="J474" t="s">
        <v>1849</v>
      </c>
      <c r="K474" t="s">
        <v>1199</v>
      </c>
      <c r="P474" s="10"/>
    </row>
    <row r="475" spans="1:16">
      <c r="A475" t="s">
        <v>828</v>
      </c>
      <c r="B475" t="s">
        <v>1920</v>
      </c>
      <c r="C475" t="s">
        <v>1921</v>
      </c>
      <c r="D475" t="s">
        <v>21</v>
      </c>
      <c r="E475" t="s">
        <v>22</v>
      </c>
      <c r="F475">
        <v>2</v>
      </c>
      <c r="G475" s="2">
        <v>46286.354166666664</v>
      </c>
      <c r="H475" s="2">
        <v>46409.729166666664</v>
      </c>
      <c r="I475" s="1">
        <v>46153</v>
      </c>
      <c r="J475" t="s">
        <v>1849</v>
      </c>
      <c r="K475" t="s">
        <v>1199</v>
      </c>
      <c r="P475" s="10"/>
    </row>
    <row r="476" spans="1:16">
      <c r="A476" t="s">
        <v>828</v>
      </c>
      <c r="B476" t="s">
        <v>1922</v>
      </c>
      <c r="C476" t="s">
        <v>1923</v>
      </c>
      <c r="D476" t="s">
        <v>21</v>
      </c>
      <c r="E476" t="s">
        <v>22</v>
      </c>
      <c r="F476">
        <v>8</v>
      </c>
      <c r="G476" s="2">
        <v>46286.354166666664</v>
      </c>
      <c r="H476" s="2">
        <v>46409.729166666664</v>
      </c>
      <c r="I476" s="1">
        <v>46161</v>
      </c>
      <c r="J476" t="s">
        <v>1849</v>
      </c>
      <c r="K476" t="s">
        <v>1199</v>
      </c>
      <c r="P476" s="10"/>
    </row>
    <row r="477" spans="1:16">
      <c r="A477" t="s">
        <v>828</v>
      </c>
      <c r="B477" t="s">
        <v>1924</v>
      </c>
      <c r="C477" t="s">
        <v>1925</v>
      </c>
      <c r="D477" t="s">
        <v>21</v>
      </c>
      <c r="E477" t="s">
        <v>22</v>
      </c>
      <c r="F477">
        <v>5</v>
      </c>
      <c r="G477" s="2">
        <v>46286.354166666664</v>
      </c>
      <c r="H477" s="2">
        <v>46409.729166666664</v>
      </c>
      <c r="I477" s="1">
        <v>46161</v>
      </c>
      <c r="J477" t="s">
        <v>1849</v>
      </c>
      <c r="K477" t="s">
        <v>1199</v>
      </c>
      <c r="P477" s="10"/>
    </row>
    <row r="478" spans="1:16">
      <c r="A478" t="s">
        <v>828</v>
      </c>
      <c r="B478" t="s">
        <v>1926</v>
      </c>
      <c r="C478" t="s">
        <v>1927</v>
      </c>
      <c r="D478" t="s">
        <v>21</v>
      </c>
      <c r="E478" t="s">
        <v>22</v>
      </c>
      <c r="F478">
        <v>0</v>
      </c>
      <c r="G478" s="2">
        <v>46286.354166666664</v>
      </c>
      <c r="H478" s="2">
        <v>46409.729166666664</v>
      </c>
      <c r="I478" s="1">
        <v>46132</v>
      </c>
      <c r="J478" t="s">
        <v>1849</v>
      </c>
      <c r="K478" t="s">
        <v>1199</v>
      </c>
      <c r="P478" s="10"/>
    </row>
    <row r="479" spans="1:16">
      <c r="A479" t="s">
        <v>828</v>
      </c>
      <c r="B479" t="s">
        <v>1928</v>
      </c>
      <c r="C479" t="s">
        <v>1929</v>
      </c>
      <c r="D479" t="s">
        <v>21</v>
      </c>
      <c r="E479" t="s">
        <v>22</v>
      </c>
      <c r="F479">
        <v>8</v>
      </c>
      <c r="G479" s="2">
        <v>46286.354166666664</v>
      </c>
      <c r="H479" s="2">
        <v>46409.729166666664</v>
      </c>
      <c r="I479" s="1">
        <v>46162</v>
      </c>
      <c r="J479" t="s">
        <v>1849</v>
      </c>
      <c r="K479" t="s">
        <v>1199</v>
      </c>
      <c r="P479" s="10"/>
    </row>
    <row r="480" spans="1:16">
      <c r="A480" t="s">
        <v>828</v>
      </c>
      <c r="B480" t="s">
        <v>1930</v>
      </c>
      <c r="C480" t="s">
        <v>1931</v>
      </c>
      <c r="D480" t="s">
        <v>21</v>
      </c>
      <c r="E480" t="s">
        <v>22</v>
      </c>
      <c r="F480">
        <v>1</v>
      </c>
      <c r="G480" s="2">
        <v>46286.354166666664</v>
      </c>
      <c r="H480" s="2">
        <v>46409.729166666664</v>
      </c>
      <c r="I480" s="1">
        <v>46153</v>
      </c>
      <c r="J480" t="s">
        <v>1849</v>
      </c>
      <c r="K480" t="s">
        <v>1199</v>
      </c>
      <c r="P480" s="10"/>
    </row>
    <row r="481" spans="1:16">
      <c r="A481" t="s">
        <v>828</v>
      </c>
      <c r="B481" t="s">
        <v>1932</v>
      </c>
      <c r="C481" t="s">
        <v>1933</v>
      </c>
      <c r="D481" t="s">
        <v>21</v>
      </c>
      <c r="E481" t="s">
        <v>22</v>
      </c>
      <c r="F481">
        <v>4</v>
      </c>
      <c r="G481" s="2">
        <v>46286.354166666664</v>
      </c>
      <c r="H481" s="2">
        <v>46409.729166666664</v>
      </c>
      <c r="I481" s="1">
        <v>46157</v>
      </c>
      <c r="J481" t="s">
        <v>1849</v>
      </c>
      <c r="K481" t="s">
        <v>1199</v>
      </c>
      <c r="P481" s="10"/>
    </row>
    <row r="482" spans="1:16">
      <c r="A482" t="s">
        <v>828</v>
      </c>
      <c r="B482" t="s">
        <v>1934</v>
      </c>
      <c r="C482" t="s">
        <v>1935</v>
      </c>
      <c r="D482" t="s">
        <v>21</v>
      </c>
      <c r="E482" t="s">
        <v>22</v>
      </c>
      <c r="F482">
        <v>1</v>
      </c>
      <c r="G482" s="2">
        <v>46286.354166666664</v>
      </c>
      <c r="H482" s="2">
        <v>46409.729166666664</v>
      </c>
      <c r="I482" s="1">
        <v>46153</v>
      </c>
      <c r="J482" t="s">
        <v>1849</v>
      </c>
      <c r="K482" t="s">
        <v>1199</v>
      </c>
      <c r="P482" s="10"/>
    </row>
    <row r="483" spans="1:16">
      <c r="A483" t="s">
        <v>828</v>
      </c>
      <c r="B483" t="s">
        <v>1936</v>
      </c>
      <c r="C483" t="s">
        <v>1937</v>
      </c>
      <c r="D483" t="s">
        <v>21</v>
      </c>
      <c r="E483" t="s">
        <v>22</v>
      </c>
      <c r="F483">
        <v>1</v>
      </c>
      <c r="G483" s="2">
        <v>46286.354166666664</v>
      </c>
      <c r="H483" s="2">
        <v>46409.729166666664</v>
      </c>
      <c r="I483" s="1">
        <v>46153</v>
      </c>
      <c r="J483" t="s">
        <v>1849</v>
      </c>
      <c r="K483" t="s">
        <v>1199</v>
      </c>
      <c r="P483" s="10"/>
    </row>
    <row r="484" spans="1:16">
      <c r="A484" t="s">
        <v>828</v>
      </c>
      <c r="B484" t="s">
        <v>1938</v>
      </c>
      <c r="C484" t="s">
        <v>1939</v>
      </c>
      <c r="D484" t="s">
        <v>21</v>
      </c>
      <c r="E484" t="s">
        <v>22</v>
      </c>
      <c r="F484">
        <v>0</v>
      </c>
      <c r="G484" s="2">
        <v>46286.354166666664</v>
      </c>
      <c r="H484" s="2">
        <v>46409.729166666664</v>
      </c>
      <c r="I484" s="1">
        <v>46044</v>
      </c>
      <c r="J484" t="s">
        <v>1849</v>
      </c>
      <c r="K484" t="s">
        <v>1199</v>
      </c>
      <c r="P484" s="10"/>
    </row>
    <row r="485" spans="1:16">
      <c r="A485" t="s">
        <v>828</v>
      </c>
      <c r="B485" t="s">
        <v>1940</v>
      </c>
      <c r="C485" t="s">
        <v>1941</v>
      </c>
      <c r="D485" t="s">
        <v>21</v>
      </c>
      <c r="E485" t="s">
        <v>22</v>
      </c>
      <c r="F485">
        <v>0</v>
      </c>
      <c r="G485" s="2">
        <v>46286.354166666664</v>
      </c>
      <c r="H485" s="2">
        <v>46409.729166666664</v>
      </c>
      <c r="I485" s="1">
        <v>46071</v>
      </c>
      <c r="J485" t="s">
        <v>1849</v>
      </c>
      <c r="K485" t="s">
        <v>1199</v>
      </c>
      <c r="P485" s="10"/>
    </row>
    <row r="486" spans="1:16">
      <c r="A486" t="s">
        <v>828</v>
      </c>
      <c r="B486" t="s">
        <v>1942</v>
      </c>
      <c r="C486" t="s">
        <v>1943</v>
      </c>
      <c r="D486" t="s">
        <v>21</v>
      </c>
      <c r="E486" t="s">
        <v>22</v>
      </c>
      <c r="F486">
        <v>6</v>
      </c>
      <c r="G486" s="2">
        <v>46286.354166666664</v>
      </c>
      <c r="H486" s="2">
        <v>46409.729166666664</v>
      </c>
      <c r="I486" s="1">
        <v>46160</v>
      </c>
      <c r="J486" t="s">
        <v>1849</v>
      </c>
      <c r="K486" t="s">
        <v>1199</v>
      </c>
      <c r="P486" s="10"/>
    </row>
    <row r="487" spans="1:16">
      <c r="A487" t="s">
        <v>828</v>
      </c>
      <c r="B487" t="s">
        <v>1944</v>
      </c>
      <c r="C487" t="s">
        <v>1945</v>
      </c>
      <c r="D487" t="s">
        <v>21</v>
      </c>
      <c r="E487" t="s">
        <v>22</v>
      </c>
      <c r="F487">
        <v>1</v>
      </c>
      <c r="G487" s="2">
        <v>46286.354166666664</v>
      </c>
      <c r="H487" s="2">
        <v>46409.729166666664</v>
      </c>
      <c r="I487" s="1">
        <v>46162</v>
      </c>
      <c r="J487" t="s">
        <v>1849</v>
      </c>
      <c r="K487" t="s">
        <v>1199</v>
      </c>
      <c r="P487" s="10"/>
    </row>
    <row r="488" spans="1:16">
      <c r="A488" t="s">
        <v>828</v>
      </c>
      <c r="B488" t="s">
        <v>1946</v>
      </c>
      <c r="C488" t="s">
        <v>1947</v>
      </c>
      <c r="D488" t="s">
        <v>21</v>
      </c>
      <c r="E488" t="s">
        <v>22</v>
      </c>
      <c r="F488">
        <v>0</v>
      </c>
      <c r="G488" s="2">
        <v>46286.354166666664</v>
      </c>
      <c r="H488" s="2">
        <v>46409.729166666664</v>
      </c>
      <c r="I488" t="s">
        <v>198</v>
      </c>
      <c r="J488" t="s">
        <v>1849</v>
      </c>
      <c r="K488" t="s">
        <v>1199</v>
      </c>
      <c r="P488" s="10"/>
    </row>
    <row r="489" spans="1:16">
      <c r="A489" t="s">
        <v>828</v>
      </c>
      <c r="B489" t="s">
        <v>1948</v>
      </c>
      <c r="C489" t="s">
        <v>1949</v>
      </c>
      <c r="D489" t="s">
        <v>21</v>
      </c>
      <c r="E489" t="s">
        <v>22</v>
      </c>
      <c r="F489">
        <v>0</v>
      </c>
      <c r="G489" s="2">
        <v>46286.354166666664</v>
      </c>
      <c r="H489" s="2">
        <v>46409.729166666664</v>
      </c>
      <c r="I489" t="s">
        <v>198</v>
      </c>
      <c r="J489" t="s">
        <v>1849</v>
      </c>
      <c r="K489" t="s">
        <v>1199</v>
      </c>
      <c r="P489" s="10"/>
    </row>
    <row r="490" spans="1:16">
      <c r="A490" t="s">
        <v>828</v>
      </c>
      <c r="B490" t="s">
        <v>1950</v>
      </c>
      <c r="C490" t="s">
        <v>1951</v>
      </c>
      <c r="D490" t="s">
        <v>21</v>
      </c>
      <c r="E490" t="s">
        <v>22</v>
      </c>
      <c r="F490">
        <v>0</v>
      </c>
      <c r="G490" s="2">
        <v>46286.354166666664</v>
      </c>
      <c r="H490" s="2">
        <v>46409.729166666664</v>
      </c>
      <c r="I490" t="s">
        <v>198</v>
      </c>
      <c r="J490" t="s">
        <v>1849</v>
      </c>
      <c r="K490" t="s">
        <v>1199</v>
      </c>
      <c r="P490" s="10"/>
    </row>
    <row r="491" spans="1:16">
      <c r="A491" t="s">
        <v>828</v>
      </c>
      <c r="B491" t="s">
        <v>1952</v>
      </c>
      <c r="C491" t="s">
        <v>1953</v>
      </c>
      <c r="D491" t="s">
        <v>21</v>
      </c>
      <c r="E491" t="s">
        <v>22</v>
      </c>
      <c r="F491">
        <v>4</v>
      </c>
      <c r="G491" s="2">
        <v>46286.354166666664</v>
      </c>
      <c r="H491" s="2">
        <v>46409.729166666664</v>
      </c>
      <c r="I491" s="1">
        <v>46162</v>
      </c>
      <c r="J491" t="s">
        <v>1849</v>
      </c>
      <c r="K491" t="s">
        <v>1199</v>
      </c>
      <c r="P491" s="10"/>
    </row>
    <row r="492" spans="1:16">
      <c r="A492" t="s">
        <v>828</v>
      </c>
      <c r="B492" t="s">
        <v>1954</v>
      </c>
      <c r="C492" t="s">
        <v>1955</v>
      </c>
      <c r="D492" t="s">
        <v>21</v>
      </c>
      <c r="E492" t="s">
        <v>22</v>
      </c>
      <c r="F492">
        <v>3</v>
      </c>
      <c r="G492" s="2">
        <v>46286.354166666664</v>
      </c>
      <c r="H492" s="2">
        <v>46409.729166666664</v>
      </c>
      <c r="I492" s="1">
        <v>46163</v>
      </c>
      <c r="J492" t="s">
        <v>1849</v>
      </c>
      <c r="K492" t="s">
        <v>1199</v>
      </c>
      <c r="P492" s="10"/>
    </row>
    <row r="493" spans="1:16">
      <c r="A493" t="s">
        <v>828</v>
      </c>
      <c r="B493" t="s">
        <v>1956</v>
      </c>
      <c r="C493" t="s">
        <v>1957</v>
      </c>
      <c r="D493" t="s">
        <v>21</v>
      </c>
      <c r="E493" t="s">
        <v>22</v>
      </c>
      <c r="F493">
        <v>0</v>
      </c>
      <c r="G493" s="2">
        <v>46286.354166666664</v>
      </c>
      <c r="H493" s="2">
        <v>46409.729166666664</v>
      </c>
      <c r="I493" t="s">
        <v>198</v>
      </c>
      <c r="J493" t="s">
        <v>1849</v>
      </c>
      <c r="K493" t="s">
        <v>1199</v>
      </c>
      <c r="P493" s="10"/>
    </row>
    <row r="494" spans="1:16">
      <c r="A494" t="s">
        <v>828</v>
      </c>
      <c r="B494" t="s">
        <v>1958</v>
      </c>
      <c r="C494" t="s">
        <v>1959</v>
      </c>
      <c r="D494" t="s">
        <v>21</v>
      </c>
      <c r="E494" t="s">
        <v>22</v>
      </c>
      <c r="F494">
        <v>0</v>
      </c>
      <c r="G494" s="2">
        <v>46286.354166666664</v>
      </c>
      <c r="H494" s="2">
        <v>46409.729166666664</v>
      </c>
      <c r="I494" s="1">
        <v>45321</v>
      </c>
      <c r="J494" t="s">
        <v>1849</v>
      </c>
      <c r="K494" t="s">
        <v>1199</v>
      </c>
      <c r="P494" s="10"/>
    </row>
    <row r="495" spans="1:16">
      <c r="A495" t="s">
        <v>828</v>
      </c>
      <c r="B495" t="s">
        <v>1960</v>
      </c>
      <c r="C495" t="s">
        <v>1961</v>
      </c>
      <c r="D495" t="s">
        <v>21</v>
      </c>
      <c r="E495" t="s">
        <v>22</v>
      </c>
      <c r="F495">
        <v>1</v>
      </c>
      <c r="G495" s="2">
        <v>46286.354166666664</v>
      </c>
      <c r="H495" s="2">
        <v>46409.729166666664</v>
      </c>
      <c r="I495" s="1">
        <v>46161</v>
      </c>
      <c r="J495" t="s">
        <v>1849</v>
      </c>
      <c r="K495" t="s">
        <v>1199</v>
      </c>
      <c r="P495" s="10"/>
    </row>
    <row r="496" spans="1:16">
      <c r="A496" t="s">
        <v>828</v>
      </c>
      <c r="B496" t="s">
        <v>1962</v>
      </c>
      <c r="C496" t="s">
        <v>1963</v>
      </c>
      <c r="D496" t="s">
        <v>21</v>
      </c>
      <c r="E496" t="s">
        <v>22</v>
      </c>
      <c r="F496">
        <v>0</v>
      </c>
      <c r="G496" s="2">
        <v>46286.354166666664</v>
      </c>
      <c r="H496" s="2">
        <v>46409.729166666664</v>
      </c>
      <c r="I496" s="1">
        <v>45684</v>
      </c>
      <c r="J496" t="s">
        <v>1849</v>
      </c>
      <c r="K496" t="s">
        <v>1199</v>
      </c>
      <c r="P496" s="10"/>
    </row>
    <row r="497" spans="1:16">
      <c r="A497" t="s">
        <v>828</v>
      </c>
      <c r="B497" t="s">
        <v>1964</v>
      </c>
      <c r="C497" t="s">
        <v>1965</v>
      </c>
      <c r="D497" t="s">
        <v>21</v>
      </c>
      <c r="E497" t="s">
        <v>22</v>
      </c>
      <c r="F497">
        <v>1</v>
      </c>
      <c r="G497" s="2">
        <v>46286.354166666664</v>
      </c>
      <c r="H497" s="2">
        <v>46409.729166666664</v>
      </c>
      <c r="I497" s="1">
        <v>46153</v>
      </c>
      <c r="J497" t="s">
        <v>1849</v>
      </c>
      <c r="K497" t="s">
        <v>1199</v>
      </c>
      <c r="P497" s="10"/>
    </row>
    <row r="498" spans="1:16">
      <c r="A498" t="s">
        <v>828</v>
      </c>
      <c r="B498" t="s">
        <v>1966</v>
      </c>
      <c r="C498" t="s">
        <v>1967</v>
      </c>
      <c r="D498" t="s">
        <v>21</v>
      </c>
      <c r="E498" t="s">
        <v>22</v>
      </c>
      <c r="F498">
        <v>0</v>
      </c>
      <c r="G498" s="2">
        <v>46286.354166666664</v>
      </c>
      <c r="H498" s="2">
        <v>46409.729166666664</v>
      </c>
      <c r="I498" s="1">
        <v>46042</v>
      </c>
      <c r="J498" t="s">
        <v>1849</v>
      </c>
      <c r="K498" t="s">
        <v>1199</v>
      </c>
      <c r="P498" s="10"/>
    </row>
    <row r="499" spans="1:16">
      <c r="A499" t="s">
        <v>828</v>
      </c>
      <c r="B499" t="s">
        <v>1968</v>
      </c>
      <c r="C499" t="s">
        <v>1969</v>
      </c>
      <c r="D499" t="s">
        <v>21</v>
      </c>
      <c r="E499" t="s">
        <v>22</v>
      </c>
      <c r="F499">
        <v>4</v>
      </c>
      <c r="G499" s="2">
        <v>46286.520833333336</v>
      </c>
      <c r="H499" s="2">
        <v>46409.5625</v>
      </c>
      <c r="I499" s="1">
        <v>46153</v>
      </c>
      <c r="J499" t="s">
        <v>1970</v>
      </c>
      <c r="K499" t="s">
        <v>1199</v>
      </c>
      <c r="P499" s="10"/>
    </row>
    <row r="500" spans="1:16">
      <c r="A500" t="s">
        <v>828</v>
      </c>
      <c r="B500" t="s">
        <v>1971</v>
      </c>
      <c r="C500" t="s">
        <v>1972</v>
      </c>
      <c r="D500" t="s">
        <v>21</v>
      </c>
      <c r="E500" t="s">
        <v>22</v>
      </c>
      <c r="F500">
        <v>12</v>
      </c>
      <c r="G500" s="2">
        <v>46286.506944444445</v>
      </c>
      <c r="H500" s="2">
        <v>46409.5625</v>
      </c>
      <c r="I500" s="1">
        <v>46161</v>
      </c>
      <c r="J500" t="s">
        <v>1973</v>
      </c>
      <c r="K500" t="s">
        <v>1199</v>
      </c>
      <c r="P500" s="10"/>
    </row>
    <row r="501" spans="1:16">
      <c r="A501" t="s">
        <v>828</v>
      </c>
      <c r="B501" t="s">
        <v>1974</v>
      </c>
      <c r="C501" t="s">
        <v>1975</v>
      </c>
      <c r="D501" t="s">
        <v>21</v>
      </c>
      <c r="E501" t="s">
        <v>22</v>
      </c>
      <c r="F501">
        <v>101</v>
      </c>
      <c r="G501" s="2">
        <v>46286.354166666664</v>
      </c>
      <c r="H501" s="2">
        <v>46409.729166666664</v>
      </c>
      <c r="I501" s="1">
        <v>46163</v>
      </c>
      <c r="J501" t="s">
        <v>1849</v>
      </c>
      <c r="K501" t="s">
        <v>1199</v>
      </c>
      <c r="P501" s="10"/>
    </row>
    <row r="502" spans="1:16">
      <c r="A502" t="s">
        <v>828</v>
      </c>
      <c r="B502" t="s">
        <v>1976</v>
      </c>
      <c r="C502" t="s">
        <v>1977</v>
      </c>
      <c r="D502" t="s">
        <v>21</v>
      </c>
      <c r="E502" t="s">
        <v>22</v>
      </c>
      <c r="F502">
        <v>51</v>
      </c>
      <c r="G502" s="2">
        <v>46286.354166666664</v>
      </c>
      <c r="H502" s="2">
        <v>46409.729166666664</v>
      </c>
      <c r="I502" s="1">
        <v>46162</v>
      </c>
      <c r="J502" t="s">
        <v>1849</v>
      </c>
      <c r="K502" t="s">
        <v>1199</v>
      </c>
      <c r="P502" s="10"/>
    </row>
    <row r="503" spans="1:16">
      <c r="A503" t="s">
        <v>828</v>
      </c>
      <c r="B503" t="s">
        <v>1978</v>
      </c>
      <c r="C503" t="s">
        <v>1979</v>
      </c>
      <c r="D503" t="s">
        <v>21</v>
      </c>
      <c r="E503" t="s">
        <v>22</v>
      </c>
      <c r="F503">
        <v>60</v>
      </c>
      <c r="G503" s="2">
        <v>46286.354166666664</v>
      </c>
      <c r="H503" s="2">
        <v>46409.729166666664</v>
      </c>
      <c r="I503" s="1">
        <v>46163</v>
      </c>
      <c r="J503" t="s">
        <v>1849</v>
      </c>
      <c r="K503" t="s">
        <v>1199</v>
      </c>
      <c r="P503" s="10"/>
    </row>
    <row r="504" spans="1:16">
      <c r="A504" t="s">
        <v>828</v>
      </c>
      <c r="B504" t="s">
        <v>1980</v>
      </c>
      <c r="C504" t="s">
        <v>1981</v>
      </c>
      <c r="D504" t="s">
        <v>21</v>
      </c>
      <c r="E504" t="s">
        <v>22</v>
      </c>
      <c r="F504">
        <v>52</v>
      </c>
      <c r="G504" s="2">
        <v>46286.354166666664</v>
      </c>
      <c r="H504" s="2">
        <v>46409.729166666664</v>
      </c>
      <c r="I504" s="1">
        <v>46163</v>
      </c>
      <c r="J504" t="s">
        <v>1849</v>
      </c>
      <c r="K504" t="s">
        <v>1199</v>
      </c>
      <c r="P504" s="10"/>
    </row>
    <row r="505" spans="1:16">
      <c r="A505" t="s">
        <v>828</v>
      </c>
      <c r="B505" t="s">
        <v>1982</v>
      </c>
      <c r="C505" t="s">
        <v>1983</v>
      </c>
      <c r="D505" t="s">
        <v>21</v>
      </c>
      <c r="E505" t="s">
        <v>22</v>
      </c>
      <c r="F505">
        <v>52</v>
      </c>
      <c r="G505" s="2">
        <v>46286.354166666664</v>
      </c>
      <c r="H505" s="2">
        <v>46409.729166666664</v>
      </c>
      <c r="I505" s="1">
        <v>46163</v>
      </c>
      <c r="J505" t="s">
        <v>1849</v>
      </c>
      <c r="K505" t="s">
        <v>1199</v>
      </c>
      <c r="P505" s="10"/>
    </row>
    <row r="506" spans="1:16">
      <c r="A506" t="s">
        <v>828</v>
      </c>
      <c r="B506" t="s">
        <v>1984</v>
      </c>
      <c r="C506" t="s">
        <v>1985</v>
      </c>
      <c r="D506" t="s">
        <v>21</v>
      </c>
      <c r="E506" t="s">
        <v>22</v>
      </c>
      <c r="F506">
        <v>43</v>
      </c>
      <c r="G506" s="2">
        <v>46286.354166666664</v>
      </c>
      <c r="H506" s="2">
        <v>46409.729166666664</v>
      </c>
      <c r="I506" s="1">
        <v>46162</v>
      </c>
      <c r="J506" t="s">
        <v>1849</v>
      </c>
      <c r="K506" t="s">
        <v>1199</v>
      </c>
      <c r="P506" s="10"/>
    </row>
    <row r="507" spans="1:16">
      <c r="A507" t="s">
        <v>828</v>
      </c>
      <c r="B507" t="s">
        <v>1986</v>
      </c>
      <c r="C507" t="s">
        <v>1987</v>
      </c>
      <c r="D507" t="s">
        <v>21</v>
      </c>
      <c r="E507" t="s">
        <v>22</v>
      </c>
      <c r="F507">
        <v>33</v>
      </c>
      <c r="G507" s="2">
        <v>46286.354166666664</v>
      </c>
      <c r="H507" s="2">
        <v>46409.729166666664</v>
      </c>
      <c r="I507" s="1">
        <v>46162</v>
      </c>
      <c r="J507" t="s">
        <v>1849</v>
      </c>
      <c r="K507" t="s">
        <v>1199</v>
      </c>
      <c r="P507" s="10"/>
    </row>
    <row r="508" spans="1:16">
      <c r="A508" t="s">
        <v>828</v>
      </c>
      <c r="B508" t="s">
        <v>1988</v>
      </c>
      <c r="C508" t="s">
        <v>1989</v>
      </c>
      <c r="D508" t="s">
        <v>21</v>
      </c>
      <c r="E508" t="s">
        <v>22</v>
      </c>
      <c r="F508">
        <v>37</v>
      </c>
      <c r="G508" s="2">
        <v>46286.354166666664</v>
      </c>
      <c r="H508" s="2">
        <v>46409.729166666664</v>
      </c>
      <c r="I508" s="1">
        <v>46162</v>
      </c>
      <c r="J508" t="s">
        <v>1849</v>
      </c>
      <c r="K508" t="s">
        <v>1199</v>
      </c>
      <c r="P508" s="10"/>
    </row>
    <row r="509" spans="1:16">
      <c r="A509" t="s">
        <v>828</v>
      </c>
      <c r="B509" t="s">
        <v>1990</v>
      </c>
      <c r="C509" t="s">
        <v>1991</v>
      </c>
      <c r="D509" t="s">
        <v>21</v>
      </c>
      <c r="E509" t="s">
        <v>22</v>
      </c>
      <c r="F509">
        <v>4</v>
      </c>
      <c r="G509" s="2">
        <v>46286.520833333336</v>
      </c>
      <c r="H509" s="2">
        <v>46409.5625</v>
      </c>
      <c r="I509" s="1">
        <v>46156</v>
      </c>
      <c r="J509" t="s">
        <v>1970</v>
      </c>
      <c r="K509" t="s">
        <v>1199</v>
      </c>
      <c r="P509" s="10"/>
    </row>
    <row r="510" spans="1:16">
      <c r="A510" t="s">
        <v>828</v>
      </c>
      <c r="B510" t="s">
        <v>1992</v>
      </c>
      <c r="C510" t="s">
        <v>1993</v>
      </c>
      <c r="D510" t="s">
        <v>21</v>
      </c>
      <c r="E510" t="s">
        <v>22</v>
      </c>
      <c r="F510">
        <v>14</v>
      </c>
      <c r="G510" s="2">
        <v>46286.506944444445</v>
      </c>
      <c r="H510" s="2">
        <v>46409.5625</v>
      </c>
      <c r="I510" s="1">
        <v>46162</v>
      </c>
      <c r="J510" t="s">
        <v>1973</v>
      </c>
      <c r="K510" t="s">
        <v>1199</v>
      </c>
      <c r="P510" s="10"/>
    </row>
    <row r="511" spans="1:16">
      <c r="A511" t="s">
        <v>828</v>
      </c>
      <c r="B511" t="s">
        <v>1994</v>
      </c>
      <c r="C511" t="s">
        <v>1995</v>
      </c>
      <c r="D511" t="s">
        <v>21</v>
      </c>
      <c r="E511" t="s">
        <v>22</v>
      </c>
      <c r="F511">
        <v>5</v>
      </c>
      <c r="G511" s="2">
        <v>46286.354166666664</v>
      </c>
      <c r="H511" s="2">
        <v>46409.729166666664</v>
      </c>
      <c r="I511" s="1">
        <v>46162</v>
      </c>
      <c r="J511" t="s">
        <v>1849</v>
      </c>
      <c r="K511" t="s">
        <v>1199</v>
      </c>
      <c r="P511" s="10"/>
    </row>
    <row r="512" spans="1:16">
      <c r="A512" t="s">
        <v>828</v>
      </c>
      <c r="B512" t="s">
        <v>1996</v>
      </c>
      <c r="C512" t="s">
        <v>1997</v>
      </c>
      <c r="D512" t="s">
        <v>21</v>
      </c>
      <c r="E512" t="s">
        <v>22</v>
      </c>
      <c r="F512">
        <v>10</v>
      </c>
      <c r="G512" s="2">
        <v>46286.354166666664</v>
      </c>
      <c r="H512" s="2">
        <v>46409.729166666664</v>
      </c>
      <c r="I512" s="1">
        <v>46161</v>
      </c>
      <c r="J512" t="s">
        <v>1849</v>
      </c>
      <c r="K512" t="s">
        <v>1199</v>
      </c>
      <c r="P512" s="10"/>
    </row>
    <row r="513" spans="1:16">
      <c r="A513" t="s">
        <v>828</v>
      </c>
      <c r="B513" t="s">
        <v>1998</v>
      </c>
      <c r="C513" t="s">
        <v>1999</v>
      </c>
      <c r="D513" t="s">
        <v>21</v>
      </c>
      <c r="E513" t="s">
        <v>22</v>
      </c>
      <c r="F513">
        <v>12</v>
      </c>
      <c r="G513" s="2">
        <v>46286.354166666664</v>
      </c>
      <c r="H513" s="2">
        <v>46409.729166666664</v>
      </c>
      <c r="I513" s="1">
        <v>46163</v>
      </c>
      <c r="J513" t="s">
        <v>1849</v>
      </c>
      <c r="K513" t="s">
        <v>1199</v>
      </c>
      <c r="P513" s="10"/>
    </row>
    <row r="514" spans="1:16">
      <c r="A514" t="s">
        <v>828</v>
      </c>
      <c r="B514" t="s">
        <v>2000</v>
      </c>
      <c r="C514" t="s">
        <v>2001</v>
      </c>
      <c r="D514" t="s">
        <v>21</v>
      </c>
      <c r="E514" t="s">
        <v>22</v>
      </c>
      <c r="F514">
        <v>17</v>
      </c>
      <c r="G514" s="2">
        <v>46286.354166666664</v>
      </c>
      <c r="H514" s="2">
        <v>46409.729166666664</v>
      </c>
      <c r="I514" s="1">
        <v>46163</v>
      </c>
      <c r="J514" t="s">
        <v>1849</v>
      </c>
      <c r="K514" t="s">
        <v>1199</v>
      </c>
      <c r="P514" s="10"/>
    </row>
    <row r="515" spans="1:16">
      <c r="A515" t="s">
        <v>828</v>
      </c>
      <c r="B515" t="s">
        <v>2002</v>
      </c>
      <c r="C515" t="s">
        <v>2003</v>
      </c>
      <c r="D515" t="s">
        <v>21</v>
      </c>
      <c r="E515" t="s">
        <v>22</v>
      </c>
      <c r="F515">
        <v>23</v>
      </c>
      <c r="G515" s="2">
        <v>46286.354166666664</v>
      </c>
      <c r="H515" s="2">
        <v>46409.729166666664</v>
      </c>
      <c r="I515" s="1">
        <v>46163</v>
      </c>
      <c r="J515" t="s">
        <v>1849</v>
      </c>
      <c r="K515" t="s">
        <v>1199</v>
      </c>
      <c r="P515" s="10"/>
    </row>
    <row r="516" spans="1:16">
      <c r="A516" t="s">
        <v>828</v>
      </c>
      <c r="B516" t="s">
        <v>2004</v>
      </c>
      <c r="C516" t="s">
        <v>2005</v>
      </c>
      <c r="D516" t="s">
        <v>21</v>
      </c>
      <c r="E516" t="s">
        <v>22</v>
      </c>
      <c r="F516">
        <v>22</v>
      </c>
      <c r="G516" s="2">
        <v>46286.354166666664</v>
      </c>
      <c r="H516" s="2">
        <v>46409.729166666664</v>
      </c>
      <c r="I516" s="1">
        <v>46163</v>
      </c>
      <c r="J516" t="s">
        <v>1849</v>
      </c>
      <c r="K516" t="s">
        <v>1199</v>
      </c>
      <c r="P516" s="10"/>
    </row>
    <row r="517" spans="1:16">
      <c r="A517" t="s">
        <v>828</v>
      </c>
      <c r="B517" t="s">
        <v>2006</v>
      </c>
      <c r="C517" t="s">
        <v>2007</v>
      </c>
      <c r="D517" t="s">
        <v>21</v>
      </c>
      <c r="E517" t="s">
        <v>22</v>
      </c>
      <c r="F517">
        <v>32</v>
      </c>
      <c r="G517" s="2">
        <v>46286.354166666664</v>
      </c>
      <c r="H517" s="2">
        <v>46409.729166666664</v>
      </c>
      <c r="I517" s="1">
        <v>46163</v>
      </c>
      <c r="J517" t="s">
        <v>1849</v>
      </c>
      <c r="K517" t="s">
        <v>1199</v>
      </c>
      <c r="P517" s="10"/>
    </row>
    <row r="518" spans="1:16">
      <c r="A518" t="s">
        <v>828</v>
      </c>
      <c r="B518" t="s">
        <v>2008</v>
      </c>
      <c r="C518" t="s">
        <v>2009</v>
      </c>
      <c r="D518" t="s">
        <v>21</v>
      </c>
      <c r="E518" t="s">
        <v>22</v>
      </c>
      <c r="F518">
        <v>23</v>
      </c>
      <c r="G518" s="2">
        <v>46286.354166666664</v>
      </c>
      <c r="H518" s="2">
        <v>46409.729166666664</v>
      </c>
      <c r="I518" s="1">
        <v>46163</v>
      </c>
      <c r="J518" t="s">
        <v>1849</v>
      </c>
      <c r="K518" t="s">
        <v>1199</v>
      </c>
      <c r="P518" s="10"/>
    </row>
    <row r="519" spans="1:16">
      <c r="A519" t="s">
        <v>828</v>
      </c>
      <c r="B519" t="s">
        <v>2010</v>
      </c>
      <c r="C519" t="s">
        <v>2011</v>
      </c>
      <c r="D519" t="s">
        <v>21</v>
      </c>
      <c r="E519" t="s">
        <v>22</v>
      </c>
      <c r="F519">
        <v>25</v>
      </c>
      <c r="G519" s="2">
        <v>46286.354166666664</v>
      </c>
      <c r="H519" s="2">
        <v>46409.729166666664</v>
      </c>
      <c r="I519" s="1">
        <v>46163</v>
      </c>
      <c r="J519" t="s">
        <v>1849</v>
      </c>
      <c r="K519" t="s">
        <v>1199</v>
      </c>
      <c r="P519" s="10"/>
    </row>
    <row r="520" spans="1:16">
      <c r="A520" t="s">
        <v>828</v>
      </c>
      <c r="B520" t="s">
        <v>2012</v>
      </c>
      <c r="C520" t="s">
        <v>2013</v>
      </c>
      <c r="D520" t="s">
        <v>21</v>
      </c>
      <c r="E520" t="s">
        <v>22</v>
      </c>
      <c r="F520">
        <v>27</v>
      </c>
      <c r="G520" s="2">
        <v>46286.354166666664</v>
      </c>
      <c r="H520" s="2">
        <v>46409.729166666664</v>
      </c>
      <c r="I520" s="1">
        <v>46163</v>
      </c>
      <c r="J520" t="s">
        <v>1849</v>
      </c>
      <c r="K520" t="s">
        <v>1199</v>
      </c>
      <c r="P520" s="10"/>
    </row>
    <row r="521" spans="1:16">
      <c r="A521" t="s">
        <v>828</v>
      </c>
      <c r="B521" t="s">
        <v>2014</v>
      </c>
      <c r="C521" t="s">
        <v>2015</v>
      </c>
      <c r="D521" t="s">
        <v>21</v>
      </c>
      <c r="E521" t="s">
        <v>22</v>
      </c>
      <c r="F521">
        <v>22</v>
      </c>
      <c r="G521" s="2">
        <v>46286.354166666664</v>
      </c>
      <c r="H521" s="2">
        <v>46409.729166666664</v>
      </c>
      <c r="I521" s="1">
        <v>46163</v>
      </c>
      <c r="J521" t="s">
        <v>1849</v>
      </c>
      <c r="K521" t="s">
        <v>1199</v>
      </c>
      <c r="P521" s="10"/>
    </row>
    <row r="522" spans="1:16">
      <c r="A522" t="s">
        <v>828</v>
      </c>
      <c r="B522" t="s">
        <v>2016</v>
      </c>
      <c r="C522" t="s">
        <v>2017</v>
      </c>
      <c r="D522" t="s">
        <v>21</v>
      </c>
      <c r="E522" t="s">
        <v>22</v>
      </c>
      <c r="F522">
        <v>9</v>
      </c>
      <c r="G522" s="2">
        <v>46286.354166666664</v>
      </c>
      <c r="H522" s="2">
        <v>46409.729166666664</v>
      </c>
      <c r="I522" s="1">
        <v>46163</v>
      </c>
      <c r="J522" t="s">
        <v>1849</v>
      </c>
      <c r="K522" t="s">
        <v>1199</v>
      </c>
      <c r="P522" s="10"/>
    </row>
    <row r="523" spans="1:16">
      <c r="A523" t="s">
        <v>828</v>
      </c>
      <c r="B523" t="s">
        <v>2018</v>
      </c>
      <c r="C523" t="s">
        <v>2019</v>
      </c>
      <c r="D523" t="s">
        <v>21</v>
      </c>
      <c r="E523" t="s">
        <v>22</v>
      </c>
      <c r="F523">
        <v>0</v>
      </c>
      <c r="G523" s="2">
        <v>46286.354166666664</v>
      </c>
      <c r="H523" s="2">
        <v>46409.729166666664</v>
      </c>
      <c r="I523" s="1">
        <v>45839</v>
      </c>
      <c r="J523" t="s">
        <v>1849</v>
      </c>
      <c r="K523" t="s">
        <v>1199</v>
      </c>
      <c r="P523" s="10"/>
    </row>
    <row r="524" spans="1:16">
      <c r="A524" t="s">
        <v>828</v>
      </c>
      <c r="B524" t="s">
        <v>2020</v>
      </c>
      <c r="C524" t="s">
        <v>2021</v>
      </c>
      <c r="D524" t="s">
        <v>21</v>
      </c>
      <c r="E524" t="s">
        <v>22</v>
      </c>
      <c r="F524">
        <v>1</v>
      </c>
      <c r="G524" s="2">
        <v>46286.354166666664</v>
      </c>
      <c r="H524" s="2">
        <v>46409.729166666664</v>
      </c>
      <c r="I524" s="1">
        <v>46153</v>
      </c>
      <c r="J524" t="s">
        <v>1849</v>
      </c>
      <c r="K524" t="s">
        <v>1199</v>
      </c>
      <c r="P524" s="10"/>
    </row>
    <row r="525" spans="1:16">
      <c r="A525" t="s">
        <v>828</v>
      </c>
      <c r="B525" t="s">
        <v>2022</v>
      </c>
      <c r="C525" t="s">
        <v>2023</v>
      </c>
      <c r="D525" t="s">
        <v>21</v>
      </c>
      <c r="E525" t="s">
        <v>22</v>
      </c>
      <c r="F525">
        <v>0</v>
      </c>
      <c r="G525" s="2">
        <v>46286.354166666664</v>
      </c>
      <c r="H525" s="2">
        <v>46409.729166666664</v>
      </c>
      <c r="I525" s="1">
        <v>46062</v>
      </c>
      <c r="J525" t="s">
        <v>1849</v>
      </c>
      <c r="K525" t="s">
        <v>1199</v>
      </c>
      <c r="P525" s="10"/>
    </row>
    <row r="526" spans="1:16">
      <c r="A526" t="s">
        <v>828</v>
      </c>
      <c r="B526" t="s">
        <v>2024</v>
      </c>
      <c r="C526" t="s">
        <v>2025</v>
      </c>
      <c r="D526" t="s">
        <v>21</v>
      </c>
      <c r="E526" t="s">
        <v>22</v>
      </c>
      <c r="F526">
        <v>5</v>
      </c>
      <c r="G526" s="2">
        <v>46286.354166666664</v>
      </c>
      <c r="H526" s="2">
        <v>46409.729166666664</v>
      </c>
      <c r="I526" s="1">
        <v>46160</v>
      </c>
      <c r="J526" t="s">
        <v>1849</v>
      </c>
      <c r="K526" t="s">
        <v>1199</v>
      </c>
      <c r="P526" s="10"/>
    </row>
    <row r="527" spans="1:16">
      <c r="A527" t="s">
        <v>828</v>
      </c>
      <c r="B527" t="s">
        <v>2026</v>
      </c>
      <c r="C527" t="s">
        <v>2027</v>
      </c>
      <c r="D527" t="s">
        <v>21</v>
      </c>
      <c r="E527" t="s">
        <v>22</v>
      </c>
      <c r="F527">
        <v>0</v>
      </c>
      <c r="G527" s="2">
        <v>46286.354166666664</v>
      </c>
      <c r="H527" s="2">
        <v>46409.729166666664</v>
      </c>
      <c r="I527" t="s">
        <v>198</v>
      </c>
      <c r="J527" t="s">
        <v>1849</v>
      </c>
      <c r="K527" t="s">
        <v>1199</v>
      </c>
      <c r="P527" s="10"/>
    </row>
    <row r="528" spans="1:16">
      <c r="A528" t="s">
        <v>828</v>
      </c>
      <c r="B528" t="s">
        <v>2028</v>
      </c>
      <c r="C528" t="s">
        <v>2029</v>
      </c>
      <c r="D528" t="s">
        <v>21</v>
      </c>
      <c r="E528" t="s">
        <v>22</v>
      </c>
      <c r="F528">
        <v>0</v>
      </c>
      <c r="G528" s="2">
        <v>46286.354166666664</v>
      </c>
      <c r="H528" s="2">
        <v>46409.729166666664</v>
      </c>
      <c r="I528" t="s">
        <v>198</v>
      </c>
      <c r="J528" t="s">
        <v>1849</v>
      </c>
      <c r="K528" t="s">
        <v>1199</v>
      </c>
      <c r="P528" s="10"/>
    </row>
    <row r="529" spans="1:16">
      <c r="A529" t="s">
        <v>828</v>
      </c>
      <c r="B529" t="s">
        <v>2030</v>
      </c>
      <c r="C529" t="s">
        <v>2031</v>
      </c>
      <c r="D529" t="s">
        <v>21</v>
      </c>
      <c r="E529" t="s">
        <v>22</v>
      </c>
      <c r="F529">
        <v>0</v>
      </c>
      <c r="G529" s="2">
        <v>46286.354166666664</v>
      </c>
      <c r="H529" s="2">
        <v>46409.729166666664</v>
      </c>
      <c r="I529" s="1">
        <v>45316</v>
      </c>
      <c r="J529" t="s">
        <v>1849</v>
      </c>
      <c r="K529" t="s">
        <v>1199</v>
      </c>
      <c r="P529" s="10"/>
    </row>
    <row r="530" spans="1:16">
      <c r="A530" t="s">
        <v>828</v>
      </c>
      <c r="B530" t="s">
        <v>2032</v>
      </c>
      <c r="C530" t="s">
        <v>2033</v>
      </c>
      <c r="D530" t="s">
        <v>21</v>
      </c>
      <c r="E530" t="s">
        <v>22</v>
      </c>
      <c r="F530">
        <v>0</v>
      </c>
      <c r="G530" s="2">
        <v>46286.354166666664</v>
      </c>
      <c r="H530" s="2">
        <v>46409.729166666664</v>
      </c>
      <c r="I530" s="1">
        <v>45470</v>
      </c>
      <c r="J530" t="s">
        <v>1849</v>
      </c>
      <c r="K530" t="s">
        <v>1199</v>
      </c>
      <c r="P530" s="10"/>
    </row>
    <row r="531" spans="1:16">
      <c r="A531" t="s">
        <v>828</v>
      </c>
      <c r="B531" t="s">
        <v>2034</v>
      </c>
      <c r="C531" t="s">
        <v>2035</v>
      </c>
      <c r="D531" t="s">
        <v>21</v>
      </c>
      <c r="E531" t="s">
        <v>22</v>
      </c>
      <c r="F531">
        <v>5</v>
      </c>
      <c r="G531" s="2">
        <v>46286.354166666664</v>
      </c>
      <c r="H531" s="2">
        <v>46409.729166666664</v>
      </c>
      <c r="I531" s="1">
        <v>46163</v>
      </c>
      <c r="J531" t="s">
        <v>1849</v>
      </c>
      <c r="K531" t="s">
        <v>1199</v>
      </c>
      <c r="P531" s="10"/>
    </row>
    <row r="532" spans="1:16">
      <c r="A532" t="s">
        <v>828</v>
      </c>
      <c r="B532" t="s">
        <v>2036</v>
      </c>
      <c r="C532" t="s">
        <v>2037</v>
      </c>
      <c r="D532" t="s">
        <v>21</v>
      </c>
      <c r="E532" t="s">
        <v>22</v>
      </c>
      <c r="F532">
        <v>3</v>
      </c>
      <c r="G532" s="2">
        <v>46286.354166666664</v>
      </c>
      <c r="H532" s="2">
        <v>46409.729166666664</v>
      </c>
      <c r="I532" s="1">
        <v>46163</v>
      </c>
      <c r="J532" t="s">
        <v>1849</v>
      </c>
      <c r="K532" t="s">
        <v>1199</v>
      </c>
      <c r="P532" s="10"/>
    </row>
    <row r="533" spans="1:16">
      <c r="A533" t="s">
        <v>828</v>
      </c>
      <c r="B533" t="s">
        <v>2038</v>
      </c>
      <c r="C533" t="s">
        <v>2039</v>
      </c>
      <c r="D533" t="s">
        <v>21</v>
      </c>
      <c r="E533" t="s">
        <v>22</v>
      </c>
      <c r="F533">
        <v>0</v>
      </c>
      <c r="G533" s="2">
        <v>46286.354166666664</v>
      </c>
      <c r="H533" s="2">
        <v>46409.729166666664</v>
      </c>
      <c r="I533" s="1">
        <v>46043</v>
      </c>
      <c r="J533" t="s">
        <v>1849</v>
      </c>
      <c r="K533" t="s">
        <v>1199</v>
      </c>
      <c r="P533" s="10"/>
    </row>
    <row r="534" spans="1:16">
      <c r="A534" t="s">
        <v>828</v>
      </c>
      <c r="B534" t="s">
        <v>2040</v>
      </c>
      <c r="C534" t="s">
        <v>2041</v>
      </c>
      <c r="D534" t="s">
        <v>21</v>
      </c>
      <c r="E534" t="s">
        <v>22</v>
      </c>
      <c r="F534">
        <v>1</v>
      </c>
      <c r="G534" s="2">
        <v>46286.354166666664</v>
      </c>
      <c r="H534" s="2">
        <v>46409.729166666664</v>
      </c>
      <c r="I534" s="1">
        <v>46162</v>
      </c>
      <c r="J534" t="s">
        <v>1849</v>
      </c>
      <c r="K534" t="s">
        <v>1199</v>
      </c>
      <c r="P534" s="10"/>
    </row>
    <row r="535" spans="1:16">
      <c r="A535" t="s">
        <v>828</v>
      </c>
      <c r="B535" t="s">
        <v>2042</v>
      </c>
      <c r="C535" t="s">
        <v>2043</v>
      </c>
      <c r="D535" t="s">
        <v>21</v>
      </c>
      <c r="E535" t="s">
        <v>22</v>
      </c>
      <c r="F535">
        <v>1</v>
      </c>
      <c r="G535" s="2">
        <v>46286.354166666664</v>
      </c>
      <c r="H535" s="2">
        <v>46409.729166666664</v>
      </c>
      <c r="I535" s="1">
        <v>46153</v>
      </c>
      <c r="J535" t="s">
        <v>1849</v>
      </c>
      <c r="K535" t="s">
        <v>1199</v>
      </c>
      <c r="P535" s="10"/>
    </row>
    <row r="536" spans="1:16">
      <c r="A536" t="s">
        <v>828</v>
      </c>
      <c r="B536" t="s">
        <v>2044</v>
      </c>
      <c r="C536" t="s">
        <v>2045</v>
      </c>
      <c r="D536" t="s">
        <v>21</v>
      </c>
      <c r="E536" t="s">
        <v>22</v>
      </c>
      <c r="F536">
        <v>0</v>
      </c>
      <c r="G536" s="2">
        <v>46286.354166666664</v>
      </c>
      <c r="H536" s="2">
        <v>46409.729166666664</v>
      </c>
      <c r="I536" s="1">
        <v>46062</v>
      </c>
      <c r="J536" t="s">
        <v>1849</v>
      </c>
      <c r="K536" t="s">
        <v>1199</v>
      </c>
      <c r="P536" s="10"/>
    </row>
    <row r="537" spans="1:16">
      <c r="A537" t="s">
        <v>828</v>
      </c>
      <c r="B537" t="s">
        <v>2046</v>
      </c>
      <c r="C537" t="s">
        <v>2047</v>
      </c>
      <c r="D537" t="s">
        <v>21</v>
      </c>
      <c r="E537" t="s">
        <v>22</v>
      </c>
      <c r="F537">
        <v>7</v>
      </c>
      <c r="G537" s="2">
        <v>46286.354166666664</v>
      </c>
      <c r="H537" s="2">
        <v>46409.729166666664</v>
      </c>
      <c r="I537" s="1">
        <v>46161</v>
      </c>
      <c r="J537" t="s">
        <v>1849</v>
      </c>
      <c r="K537" t="s">
        <v>1199</v>
      </c>
      <c r="P537" s="10"/>
    </row>
    <row r="538" spans="1:16">
      <c r="A538" t="s">
        <v>828</v>
      </c>
      <c r="B538" t="s">
        <v>2048</v>
      </c>
      <c r="C538" t="s">
        <v>2049</v>
      </c>
      <c r="D538" t="s">
        <v>21</v>
      </c>
      <c r="E538" t="s">
        <v>22</v>
      </c>
      <c r="F538">
        <v>0</v>
      </c>
      <c r="G538" s="2">
        <v>46286.354166666664</v>
      </c>
      <c r="H538" s="2">
        <v>46409.729166666664</v>
      </c>
      <c r="I538" t="s">
        <v>198</v>
      </c>
      <c r="J538" t="s">
        <v>1849</v>
      </c>
      <c r="K538" t="s">
        <v>1199</v>
      </c>
      <c r="P538" s="10"/>
    </row>
    <row r="539" spans="1:16">
      <c r="A539" t="s">
        <v>828</v>
      </c>
      <c r="B539" t="s">
        <v>2050</v>
      </c>
      <c r="C539" t="s">
        <v>2051</v>
      </c>
      <c r="D539" t="s">
        <v>21</v>
      </c>
      <c r="E539" t="s">
        <v>22</v>
      </c>
      <c r="F539">
        <v>17</v>
      </c>
      <c r="G539" s="2">
        <v>46286.520833333336</v>
      </c>
      <c r="H539" s="2">
        <v>46409.5625</v>
      </c>
      <c r="I539" s="1">
        <v>46163</v>
      </c>
      <c r="J539" t="s">
        <v>1970</v>
      </c>
      <c r="K539" t="s">
        <v>1199</v>
      </c>
      <c r="P539" s="10"/>
    </row>
    <row r="540" spans="1:16">
      <c r="A540" t="s">
        <v>828</v>
      </c>
      <c r="B540" t="s">
        <v>2052</v>
      </c>
      <c r="C540" t="s">
        <v>2053</v>
      </c>
      <c r="D540" t="s">
        <v>21</v>
      </c>
      <c r="E540" t="s">
        <v>22</v>
      </c>
      <c r="F540">
        <v>54</v>
      </c>
      <c r="G540" s="2">
        <v>46286.506944444445</v>
      </c>
      <c r="H540" s="2">
        <v>46409.5625</v>
      </c>
      <c r="I540" s="1">
        <v>46163</v>
      </c>
      <c r="J540" t="s">
        <v>1973</v>
      </c>
      <c r="K540" t="s">
        <v>1199</v>
      </c>
      <c r="P540" s="10"/>
    </row>
    <row r="541" spans="1:16">
      <c r="A541" t="s">
        <v>828</v>
      </c>
      <c r="B541" t="s">
        <v>2054</v>
      </c>
      <c r="C541" t="s">
        <v>2055</v>
      </c>
      <c r="D541" t="s">
        <v>21</v>
      </c>
      <c r="E541" t="s">
        <v>22</v>
      </c>
      <c r="F541">
        <v>88</v>
      </c>
      <c r="G541" s="2">
        <v>46286.354166666664</v>
      </c>
      <c r="H541" s="2">
        <v>46409.729166666664</v>
      </c>
      <c r="I541" s="1">
        <v>46163</v>
      </c>
      <c r="J541" t="s">
        <v>1849</v>
      </c>
      <c r="K541" t="s">
        <v>1199</v>
      </c>
      <c r="P541" s="10"/>
    </row>
    <row r="542" spans="1:16">
      <c r="A542" t="s">
        <v>828</v>
      </c>
      <c r="B542" t="s">
        <v>2056</v>
      </c>
      <c r="C542" t="s">
        <v>2057</v>
      </c>
      <c r="D542" t="s">
        <v>21</v>
      </c>
      <c r="E542" t="s">
        <v>22</v>
      </c>
      <c r="F542">
        <v>111</v>
      </c>
      <c r="G542" s="2">
        <v>46286.354166666664</v>
      </c>
      <c r="H542" s="2">
        <v>46409.729166666664</v>
      </c>
      <c r="I542" s="1">
        <v>46163</v>
      </c>
      <c r="J542" t="s">
        <v>1849</v>
      </c>
      <c r="K542" t="s">
        <v>1199</v>
      </c>
      <c r="P542" s="10"/>
    </row>
    <row r="543" spans="1:16">
      <c r="A543" t="s">
        <v>828</v>
      </c>
      <c r="B543" t="s">
        <v>2058</v>
      </c>
      <c r="C543" t="s">
        <v>2059</v>
      </c>
      <c r="D543" t="s">
        <v>21</v>
      </c>
      <c r="E543" t="s">
        <v>22</v>
      </c>
      <c r="F543">
        <v>113</v>
      </c>
      <c r="G543" s="2">
        <v>46286.354166666664</v>
      </c>
      <c r="H543" s="2">
        <v>46409.729166666664</v>
      </c>
      <c r="I543" s="1">
        <v>46163</v>
      </c>
      <c r="J543" t="s">
        <v>1849</v>
      </c>
      <c r="K543" t="s">
        <v>1199</v>
      </c>
      <c r="P543" s="10"/>
    </row>
    <row r="544" spans="1:16">
      <c r="A544" t="s">
        <v>828</v>
      </c>
      <c r="B544" t="s">
        <v>2060</v>
      </c>
      <c r="C544" t="s">
        <v>2061</v>
      </c>
      <c r="D544" t="s">
        <v>21</v>
      </c>
      <c r="E544" t="s">
        <v>22</v>
      </c>
      <c r="F544">
        <v>141</v>
      </c>
      <c r="G544" s="2">
        <v>46286.354166666664</v>
      </c>
      <c r="H544" s="2">
        <v>46409.729166666664</v>
      </c>
      <c r="I544" s="1">
        <v>46163</v>
      </c>
      <c r="J544" t="s">
        <v>1849</v>
      </c>
      <c r="K544" t="s">
        <v>1199</v>
      </c>
      <c r="P544" s="10"/>
    </row>
    <row r="545" spans="1:16">
      <c r="A545" t="s">
        <v>828</v>
      </c>
      <c r="B545" t="s">
        <v>2062</v>
      </c>
      <c r="C545" t="s">
        <v>2063</v>
      </c>
      <c r="D545" t="s">
        <v>21</v>
      </c>
      <c r="E545" t="s">
        <v>22</v>
      </c>
      <c r="F545">
        <v>155</v>
      </c>
      <c r="G545" s="2">
        <v>46286.354166666664</v>
      </c>
      <c r="H545" s="2">
        <v>46409.729166666664</v>
      </c>
      <c r="I545" s="1">
        <v>46163</v>
      </c>
      <c r="J545" t="s">
        <v>1849</v>
      </c>
      <c r="K545" t="s">
        <v>1199</v>
      </c>
      <c r="P545" s="10"/>
    </row>
    <row r="546" spans="1:16">
      <c r="A546" t="s">
        <v>828</v>
      </c>
      <c r="B546" t="s">
        <v>2064</v>
      </c>
      <c r="C546" t="s">
        <v>2065</v>
      </c>
      <c r="D546" t="s">
        <v>21</v>
      </c>
      <c r="E546" t="s">
        <v>22</v>
      </c>
      <c r="F546">
        <v>166</v>
      </c>
      <c r="G546" s="2">
        <v>46286.354166666664</v>
      </c>
      <c r="H546" s="2">
        <v>46409.729166666664</v>
      </c>
      <c r="I546" s="1">
        <v>46163</v>
      </c>
      <c r="J546" t="s">
        <v>1849</v>
      </c>
      <c r="K546" t="s">
        <v>1199</v>
      </c>
      <c r="P546" s="10"/>
    </row>
    <row r="547" spans="1:16">
      <c r="A547" t="s">
        <v>828</v>
      </c>
      <c r="B547" t="s">
        <v>2066</v>
      </c>
      <c r="C547" t="s">
        <v>2067</v>
      </c>
      <c r="D547" t="s">
        <v>21</v>
      </c>
      <c r="E547" t="s">
        <v>22</v>
      </c>
      <c r="F547">
        <v>143</v>
      </c>
      <c r="G547" s="2">
        <v>46286.354166666664</v>
      </c>
      <c r="H547" s="2">
        <v>46409.729166666664</v>
      </c>
      <c r="I547" s="1">
        <v>46163</v>
      </c>
      <c r="J547" t="s">
        <v>1849</v>
      </c>
      <c r="K547" t="s">
        <v>1199</v>
      </c>
      <c r="P547" s="10"/>
    </row>
    <row r="548" spans="1:16">
      <c r="A548" t="s">
        <v>828</v>
      </c>
      <c r="B548" t="s">
        <v>2068</v>
      </c>
      <c r="C548" t="s">
        <v>2069</v>
      </c>
      <c r="D548" t="s">
        <v>21</v>
      </c>
      <c r="E548" t="s">
        <v>22</v>
      </c>
      <c r="F548">
        <v>150</v>
      </c>
      <c r="G548" s="2">
        <v>46286.354166666664</v>
      </c>
      <c r="H548" s="2">
        <v>46409.729166666664</v>
      </c>
      <c r="I548" s="1">
        <v>46163</v>
      </c>
      <c r="J548" t="s">
        <v>1849</v>
      </c>
      <c r="K548" t="s">
        <v>1199</v>
      </c>
      <c r="P548" s="10"/>
    </row>
    <row r="549" spans="1:16">
      <c r="A549" t="s">
        <v>828</v>
      </c>
      <c r="B549" t="s">
        <v>2070</v>
      </c>
      <c r="C549" t="s">
        <v>2071</v>
      </c>
      <c r="D549" t="s">
        <v>21</v>
      </c>
      <c r="E549" t="s">
        <v>22</v>
      </c>
      <c r="F549">
        <v>114</v>
      </c>
      <c r="G549" s="2">
        <v>46286.354166666664</v>
      </c>
      <c r="H549" s="2">
        <v>46409.729166666664</v>
      </c>
      <c r="I549" s="1">
        <v>46163</v>
      </c>
      <c r="J549" t="s">
        <v>1849</v>
      </c>
      <c r="K549" t="s">
        <v>1199</v>
      </c>
      <c r="P549" s="10"/>
    </row>
    <row r="550" spans="1:16">
      <c r="A550" t="s">
        <v>828</v>
      </c>
      <c r="B550" t="s">
        <v>2072</v>
      </c>
      <c r="C550" t="s">
        <v>2073</v>
      </c>
      <c r="D550" t="s">
        <v>21</v>
      </c>
      <c r="E550" t="s">
        <v>22</v>
      </c>
      <c r="F550">
        <v>105</v>
      </c>
      <c r="G550" s="2">
        <v>46286.354166666664</v>
      </c>
      <c r="H550" s="2">
        <v>46409.729166666664</v>
      </c>
      <c r="I550" s="1">
        <v>46163</v>
      </c>
      <c r="J550" t="s">
        <v>1849</v>
      </c>
      <c r="K550" t="s">
        <v>1199</v>
      </c>
      <c r="P550" s="10"/>
    </row>
    <row r="551" spans="1:16">
      <c r="A551" t="s">
        <v>828</v>
      </c>
      <c r="B551" t="s">
        <v>2074</v>
      </c>
      <c r="C551" t="s">
        <v>2075</v>
      </c>
      <c r="D551" t="s">
        <v>21</v>
      </c>
      <c r="E551" t="s">
        <v>22</v>
      </c>
      <c r="F551">
        <v>77</v>
      </c>
      <c r="G551" s="2">
        <v>46286.354166666664</v>
      </c>
      <c r="H551" s="2">
        <v>46409.729166666664</v>
      </c>
      <c r="I551" s="1">
        <v>46163</v>
      </c>
      <c r="J551" t="s">
        <v>1849</v>
      </c>
      <c r="K551" t="s">
        <v>1199</v>
      </c>
      <c r="P551" s="10"/>
    </row>
    <row r="552" spans="1:16">
      <c r="A552" t="s">
        <v>828</v>
      </c>
      <c r="B552" t="s">
        <v>2076</v>
      </c>
      <c r="C552" t="s">
        <v>2077</v>
      </c>
      <c r="D552" t="s">
        <v>21</v>
      </c>
      <c r="E552" t="s">
        <v>22</v>
      </c>
      <c r="F552">
        <v>46</v>
      </c>
      <c r="G552" s="2">
        <v>46286.354166666664</v>
      </c>
      <c r="H552" s="2">
        <v>46409.729166666664</v>
      </c>
      <c r="I552" s="1">
        <v>46163</v>
      </c>
      <c r="J552" t="s">
        <v>1849</v>
      </c>
      <c r="K552" t="s">
        <v>1199</v>
      </c>
      <c r="P552" s="10"/>
    </row>
    <row r="553" spans="1:16">
      <c r="A553" t="s">
        <v>828</v>
      </c>
      <c r="B553" t="s">
        <v>2078</v>
      </c>
      <c r="C553" t="s">
        <v>2079</v>
      </c>
      <c r="D553" t="s">
        <v>21</v>
      </c>
      <c r="E553" t="s">
        <v>22</v>
      </c>
      <c r="F553">
        <v>4</v>
      </c>
      <c r="G553" s="2">
        <v>46286.520833333336</v>
      </c>
      <c r="H553" s="2">
        <v>46409.5625</v>
      </c>
      <c r="I553" s="1">
        <v>46163</v>
      </c>
      <c r="J553" t="s">
        <v>1970</v>
      </c>
      <c r="K553" t="s">
        <v>1199</v>
      </c>
      <c r="P553" s="10"/>
    </row>
    <row r="554" spans="1:16">
      <c r="A554" t="s">
        <v>828</v>
      </c>
      <c r="B554" t="s">
        <v>2080</v>
      </c>
      <c r="C554" t="s">
        <v>2081</v>
      </c>
      <c r="D554" t="s">
        <v>21</v>
      </c>
      <c r="E554" t="s">
        <v>22</v>
      </c>
      <c r="F554">
        <v>6</v>
      </c>
      <c r="G554" s="2">
        <v>46286.506944444445</v>
      </c>
      <c r="H554" s="2">
        <v>46409.5625</v>
      </c>
      <c r="I554" s="1">
        <v>46163</v>
      </c>
      <c r="J554" t="s">
        <v>1973</v>
      </c>
      <c r="K554" t="s">
        <v>1199</v>
      </c>
      <c r="P554" s="10"/>
    </row>
    <row r="555" spans="1:16">
      <c r="A555" t="s">
        <v>828</v>
      </c>
      <c r="B555" t="s">
        <v>2082</v>
      </c>
      <c r="C555" t="s">
        <v>2083</v>
      </c>
      <c r="D555" t="s">
        <v>21</v>
      </c>
      <c r="E555" t="s">
        <v>22</v>
      </c>
      <c r="F555">
        <v>48</v>
      </c>
      <c r="G555" s="2">
        <v>46286.354166666664</v>
      </c>
      <c r="H555" s="2">
        <v>46409.729166666664</v>
      </c>
      <c r="I555" s="1">
        <v>46163</v>
      </c>
      <c r="J555" t="s">
        <v>1849</v>
      </c>
      <c r="K555" t="s">
        <v>1199</v>
      </c>
      <c r="P555" s="10"/>
    </row>
    <row r="556" spans="1:16">
      <c r="A556" t="s">
        <v>828</v>
      </c>
      <c r="B556" t="s">
        <v>2084</v>
      </c>
      <c r="C556" t="s">
        <v>2085</v>
      </c>
      <c r="D556" t="s">
        <v>21</v>
      </c>
      <c r="E556" t="s">
        <v>22</v>
      </c>
      <c r="F556">
        <v>38</v>
      </c>
      <c r="G556" s="2">
        <v>46286.354166666664</v>
      </c>
      <c r="H556" s="2">
        <v>46409.729166666664</v>
      </c>
      <c r="I556" s="1">
        <v>46162</v>
      </c>
      <c r="J556" t="s">
        <v>1849</v>
      </c>
      <c r="K556" t="s">
        <v>1199</v>
      </c>
      <c r="P556" s="10"/>
    </row>
    <row r="557" spans="1:16">
      <c r="A557" t="s">
        <v>828</v>
      </c>
      <c r="B557" t="s">
        <v>2086</v>
      </c>
      <c r="C557" t="s">
        <v>2087</v>
      </c>
      <c r="D557" t="s">
        <v>21</v>
      </c>
      <c r="E557" t="s">
        <v>22</v>
      </c>
      <c r="F557">
        <v>53</v>
      </c>
      <c r="G557" s="2">
        <v>46286.354166666664</v>
      </c>
      <c r="H557" s="2">
        <v>46409.729166666664</v>
      </c>
      <c r="I557" s="1">
        <v>46162</v>
      </c>
      <c r="J557" t="s">
        <v>1849</v>
      </c>
      <c r="K557" t="s">
        <v>1199</v>
      </c>
      <c r="P557" s="12"/>
    </row>
    <row r="558" spans="1:16">
      <c r="A558" t="s">
        <v>828</v>
      </c>
      <c r="B558" t="s">
        <v>2088</v>
      </c>
      <c r="C558" t="s">
        <v>2089</v>
      </c>
      <c r="D558" t="s">
        <v>21</v>
      </c>
      <c r="E558" t="s">
        <v>22</v>
      </c>
      <c r="F558">
        <v>36</v>
      </c>
      <c r="G558" s="2">
        <v>46286.354166666664</v>
      </c>
      <c r="H558" s="2">
        <v>46409.729166666664</v>
      </c>
      <c r="I558" s="1">
        <v>46162</v>
      </c>
      <c r="J558" t="s">
        <v>1849</v>
      </c>
      <c r="K558" t="s">
        <v>1199</v>
      </c>
      <c r="P558" s="12"/>
    </row>
    <row r="559" spans="1:16">
      <c r="A559" t="s">
        <v>828</v>
      </c>
      <c r="B559" t="s">
        <v>2090</v>
      </c>
      <c r="C559" t="s">
        <v>2091</v>
      </c>
      <c r="D559" t="s">
        <v>21</v>
      </c>
      <c r="E559" t="s">
        <v>22</v>
      </c>
      <c r="F559">
        <v>46</v>
      </c>
      <c r="G559" s="2">
        <v>46286.354166666664</v>
      </c>
      <c r="H559" s="2">
        <v>46409.729166666664</v>
      </c>
      <c r="I559" s="1">
        <v>46163</v>
      </c>
      <c r="J559" t="s">
        <v>1849</v>
      </c>
      <c r="K559" t="s">
        <v>1199</v>
      </c>
      <c r="P559" s="12"/>
    </row>
    <row r="560" spans="1:16">
      <c r="A560" t="s">
        <v>828</v>
      </c>
      <c r="B560" t="s">
        <v>2092</v>
      </c>
      <c r="C560" t="s">
        <v>2093</v>
      </c>
      <c r="D560" t="s">
        <v>21</v>
      </c>
      <c r="E560" t="s">
        <v>22</v>
      </c>
      <c r="F560">
        <v>35</v>
      </c>
      <c r="G560" s="2">
        <v>46286.354166666664</v>
      </c>
      <c r="H560" s="2">
        <v>46409.729166666664</v>
      </c>
      <c r="I560" s="1">
        <v>46163</v>
      </c>
      <c r="J560" t="s">
        <v>1849</v>
      </c>
      <c r="K560" t="s">
        <v>1199</v>
      </c>
      <c r="P560" s="12"/>
    </row>
    <row r="561" spans="1:16">
      <c r="A561" t="s">
        <v>828</v>
      </c>
      <c r="B561" t="s">
        <v>2094</v>
      </c>
      <c r="C561" t="s">
        <v>2095</v>
      </c>
      <c r="D561" t="s">
        <v>21</v>
      </c>
      <c r="E561" t="s">
        <v>22</v>
      </c>
      <c r="F561">
        <v>34</v>
      </c>
      <c r="G561" s="2">
        <v>46286.354166666664</v>
      </c>
      <c r="H561" s="2">
        <v>46409.729166666664</v>
      </c>
      <c r="I561" s="1">
        <v>46163</v>
      </c>
      <c r="J561" t="s">
        <v>1849</v>
      </c>
      <c r="K561" t="s">
        <v>1199</v>
      </c>
      <c r="P561" s="12"/>
    </row>
    <row r="562" spans="1:16">
      <c r="A562" t="s">
        <v>828</v>
      </c>
      <c r="B562" t="s">
        <v>2096</v>
      </c>
      <c r="C562" t="s">
        <v>2097</v>
      </c>
      <c r="D562" t="s">
        <v>21</v>
      </c>
      <c r="E562" t="s">
        <v>22</v>
      </c>
      <c r="F562">
        <v>31</v>
      </c>
      <c r="G562" s="2">
        <v>46286.354166666664</v>
      </c>
      <c r="H562" s="2">
        <v>46409.729166666664</v>
      </c>
      <c r="I562" s="1">
        <v>46163</v>
      </c>
      <c r="J562" t="s">
        <v>1849</v>
      </c>
      <c r="K562" t="s">
        <v>1199</v>
      </c>
      <c r="P562" s="12"/>
    </row>
    <row r="563" spans="1:16">
      <c r="A563" t="s">
        <v>828</v>
      </c>
      <c r="B563" t="s">
        <v>2098</v>
      </c>
      <c r="C563" t="s">
        <v>2099</v>
      </c>
      <c r="D563" t="s">
        <v>21</v>
      </c>
      <c r="E563" t="s">
        <v>22</v>
      </c>
      <c r="F563">
        <v>20</v>
      </c>
      <c r="G563" s="2">
        <v>46286.354166666664</v>
      </c>
      <c r="H563" s="2">
        <v>46409.729166666664</v>
      </c>
      <c r="I563" s="1">
        <v>46162</v>
      </c>
      <c r="J563" t="s">
        <v>1849</v>
      </c>
      <c r="K563" t="s">
        <v>1199</v>
      </c>
      <c r="P563" s="12"/>
    </row>
    <row r="564" spans="1:16">
      <c r="A564" t="s">
        <v>828</v>
      </c>
      <c r="B564" t="s">
        <v>2100</v>
      </c>
      <c r="C564" t="s">
        <v>2101</v>
      </c>
      <c r="D564" t="s">
        <v>21</v>
      </c>
      <c r="E564" t="s">
        <v>22</v>
      </c>
      <c r="F564">
        <v>19</v>
      </c>
      <c r="G564" s="2">
        <v>46286.354166666664</v>
      </c>
      <c r="H564" s="2">
        <v>46409.729166666664</v>
      </c>
      <c r="I564" s="1">
        <v>46162</v>
      </c>
      <c r="J564" t="s">
        <v>1849</v>
      </c>
      <c r="K564" t="s">
        <v>1199</v>
      </c>
      <c r="P564" s="12"/>
    </row>
    <row r="565" spans="1:16">
      <c r="A565" t="s">
        <v>828</v>
      </c>
      <c r="B565" t="s">
        <v>2102</v>
      </c>
      <c r="C565" t="s">
        <v>2103</v>
      </c>
      <c r="D565" t="s">
        <v>21</v>
      </c>
      <c r="E565" t="s">
        <v>22</v>
      </c>
      <c r="F565">
        <v>14</v>
      </c>
      <c r="G565" s="2">
        <v>46286.354166666664</v>
      </c>
      <c r="H565" s="2">
        <v>46409.729166666664</v>
      </c>
      <c r="I565" s="1">
        <v>46162</v>
      </c>
      <c r="J565" t="s">
        <v>1849</v>
      </c>
      <c r="K565" t="s">
        <v>1199</v>
      </c>
      <c r="P565" s="12"/>
    </row>
    <row r="566" spans="1:16">
      <c r="A566" t="s">
        <v>828</v>
      </c>
      <c r="B566" t="s">
        <v>2104</v>
      </c>
      <c r="C566" t="s">
        <v>2105</v>
      </c>
      <c r="D566" t="s">
        <v>21</v>
      </c>
      <c r="E566" t="s">
        <v>22</v>
      </c>
      <c r="F566">
        <v>10</v>
      </c>
      <c r="G566" s="2">
        <v>46286.354166666664</v>
      </c>
      <c r="H566" s="2">
        <v>46409.729166666664</v>
      </c>
      <c r="I566" s="1">
        <v>46163</v>
      </c>
      <c r="J566" t="s">
        <v>1849</v>
      </c>
      <c r="K566" t="s">
        <v>1199</v>
      </c>
      <c r="P566" s="12"/>
    </row>
    <row r="567" spans="1:16">
      <c r="A567" t="s">
        <v>828</v>
      </c>
      <c r="B567" t="s">
        <v>2106</v>
      </c>
      <c r="C567" t="s">
        <v>2107</v>
      </c>
      <c r="D567" t="s">
        <v>21</v>
      </c>
      <c r="E567" t="s">
        <v>22</v>
      </c>
      <c r="F567">
        <v>21</v>
      </c>
      <c r="G567" s="2">
        <v>46286.354166666664</v>
      </c>
      <c r="H567" s="2">
        <v>46409.729166666664</v>
      </c>
      <c r="I567" s="1">
        <v>46162</v>
      </c>
      <c r="J567" t="s">
        <v>1849</v>
      </c>
      <c r="K567" t="s">
        <v>1199</v>
      </c>
      <c r="P567" s="12"/>
    </row>
    <row r="568" spans="1:16">
      <c r="A568" t="s">
        <v>828</v>
      </c>
      <c r="B568" t="s">
        <v>2108</v>
      </c>
      <c r="C568" t="s">
        <v>2109</v>
      </c>
      <c r="D568" t="s">
        <v>21</v>
      </c>
      <c r="E568" t="s">
        <v>22</v>
      </c>
      <c r="F568">
        <v>23</v>
      </c>
      <c r="G568" s="2">
        <v>46286.354166666664</v>
      </c>
      <c r="H568" s="2">
        <v>46409.729166666664</v>
      </c>
      <c r="I568" s="1">
        <v>46161</v>
      </c>
      <c r="J568" t="s">
        <v>1849</v>
      </c>
      <c r="K568" t="s">
        <v>1199</v>
      </c>
      <c r="P568" s="12"/>
    </row>
    <row r="569" spans="1:16">
      <c r="A569" t="s">
        <v>828</v>
      </c>
      <c r="B569" t="s">
        <v>2110</v>
      </c>
      <c r="C569" t="s">
        <v>2111</v>
      </c>
      <c r="D569" t="s">
        <v>21</v>
      </c>
      <c r="E569" t="s">
        <v>22</v>
      </c>
      <c r="F569">
        <v>11</v>
      </c>
      <c r="G569" s="2">
        <v>46286.354166666664</v>
      </c>
      <c r="H569" s="2">
        <v>46409.729166666664</v>
      </c>
      <c r="I569" s="1">
        <v>46163</v>
      </c>
      <c r="J569" t="s">
        <v>1849</v>
      </c>
      <c r="K569" t="s">
        <v>1199</v>
      </c>
      <c r="P569" s="12"/>
    </row>
    <row r="570" spans="1:16">
      <c r="A570" t="s">
        <v>828</v>
      </c>
      <c r="B570" t="s">
        <v>2112</v>
      </c>
      <c r="C570" t="s">
        <v>2113</v>
      </c>
      <c r="D570" t="s">
        <v>21</v>
      </c>
      <c r="E570" t="s">
        <v>22</v>
      </c>
      <c r="F570">
        <v>4</v>
      </c>
      <c r="G570" s="2">
        <v>46286.354166666664</v>
      </c>
      <c r="H570" s="2">
        <v>46409.729166666664</v>
      </c>
      <c r="I570" s="1">
        <v>46153</v>
      </c>
      <c r="J570" t="s">
        <v>1849</v>
      </c>
      <c r="K570" t="s">
        <v>1199</v>
      </c>
      <c r="P570" s="10"/>
    </row>
    <row r="571" spans="1:16">
      <c r="A571" t="s">
        <v>828</v>
      </c>
      <c r="B571" t="s">
        <v>2114</v>
      </c>
      <c r="C571" t="s">
        <v>2115</v>
      </c>
      <c r="D571" t="s">
        <v>21</v>
      </c>
      <c r="E571" t="s">
        <v>22</v>
      </c>
      <c r="F571">
        <v>8</v>
      </c>
      <c r="G571" s="2">
        <v>46286.354166666664</v>
      </c>
      <c r="H571" s="2">
        <v>46409.729166666664</v>
      </c>
      <c r="I571" s="1">
        <v>46161</v>
      </c>
      <c r="J571" t="s">
        <v>1849</v>
      </c>
      <c r="K571" t="s">
        <v>1199</v>
      </c>
      <c r="P571" s="10"/>
    </row>
    <row r="572" spans="1:16">
      <c r="A572" t="s">
        <v>828</v>
      </c>
      <c r="B572" t="s">
        <v>2116</v>
      </c>
      <c r="C572" t="s">
        <v>2117</v>
      </c>
      <c r="D572" t="s">
        <v>21</v>
      </c>
      <c r="E572" t="s">
        <v>22</v>
      </c>
      <c r="F572">
        <v>11</v>
      </c>
      <c r="G572" s="2">
        <v>46286.354166666664</v>
      </c>
      <c r="H572" s="2">
        <v>46409.729166666664</v>
      </c>
      <c r="I572" s="1">
        <v>46162</v>
      </c>
      <c r="J572" t="s">
        <v>1849</v>
      </c>
      <c r="K572" t="s">
        <v>1199</v>
      </c>
      <c r="P572" s="10"/>
    </row>
    <row r="573" spans="1:16">
      <c r="A573" t="s">
        <v>828</v>
      </c>
      <c r="B573" t="s">
        <v>2118</v>
      </c>
      <c r="C573" t="s">
        <v>2119</v>
      </c>
      <c r="D573" t="s">
        <v>21</v>
      </c>
      <c r="E573" t="s">
        <v>22</v>
      </c>
      <c r="F573">
        <v>3</v>
      </c>
      <c r="G573" s="2">
        <v>46286.354166666664</v>
      </c>
      <c r="H573" s="2">
        <v>46409.729166666664</v>
      </c>
      <c r="I573" s="1">
        <v>46161</v>
      </c>
      <c r="J573" t="s">
        <v>1849</v>
      </c>
      <c r="K573" t="s">
        <v>1199</v>
      </c>
      <c r="P573" s="12"/>
    </row>
    <row r="574" spans="1:16">
      <c r="A574" t="s">
        <v>828</v>
      </c>
      <c r="B574" t="s">
        <v>2120</v>
      </c>
      <c r="C574" t="s">
        <v>2121</v>
      </c>
      <c r="D574" t="s">
        <v>21</v>
      </c>
      <c r="E574" t="s">
        <v>22</v>
      </c>
      <c r="F574">
        <v>7</v>
      </c>
      <c r="G574" s="2">
        <v>46286.354166666664</v>
      </c>
      <c r="H574" s="2">
        <v>46409.729166666664</v>
      </c>
      <c r="I574" s="1">
        <v>46161</v>
      </c>
      <c r="J574" t="s">
        <v>1849</v>
      </c>
      <c r="K574" t="s">
        <v>1199</v>
      </c>
      <c r="P574" s="12"/>
    </row>
    <row r="575" spans="1:16">
      <c r="A575" t="s">
        <v>828</v>
      </c>
      <c r="B575" t="s">
        <v>2122</v>
      </c>
      <c r="C575" t="s">
        <v>2123</v>
      </c>
      <c r="D575" t="s">
        <v>21</v>
      </c>
      <c r="E575" t="s">
        <v>22</v>
      </c>
      <c r="F575">
        <v>2</v>
      </c>
      <c r="G575" s="2">
        <v>46286.354166666664</v>
      </c>
      <c r="H575" s="2">
        <v>46409.729166666664</v>
      </c>
      <c r="I575" s="1">
        <v>46160</v>
      </c>
      <c r="J575" t="s">
        <v>1849</v>
      </c>
      <c r="K575" t="s">
        <v>1199</v>
      </c>
      <c r="P575" s="12"/>
    </row>
    <row r="576" spans="1:16">
      <c r="A576" t="s">
        <v>828</v>
      </c>
      <c r="B576" t="s">
        <v>2124</v>
      </c>
      <c r="C576" t="s">
        <v>2125</v>
      </c>
      <c r="D576" t="s">
        <v>21</v>
      </c>
      <c r="E576" t="s">
        <v>22</v>
      </c>
      <c r="F576">
        <v>1</v>
      </c>
      <c r="G576" s="2">
        <v>46286.354166666664</v>
      </c>
      <c r="H576" s="2">
        <v>46409.729166666664</v>
      </c>
      <c r="I576" s="1">
        <v>46156</v>
      </c>
      <c r="J576" t="s">
        <v>1849</v>
      </c>
      <c r="K576" t="s">
        <v>1199</v>
      </c>
      <c r="P576" s="12"/>
    </row>
    <row r="577" spans="1:16">
      <c r="A577" t="s">
        <v>828</v>
      </c>
      <c r="B577" t="s">
        <v>2126</v>
      </c>
      <c r="C577" t="s">
        <v>2127</v>
      </c>
      <c r="D577" t="s">
        <v>21</v>
      </c>
      <c r="E577" t="s">
        <v>22</v>
      </c>
      <c r="F577">
        <v>1</v>
      </c>
      <c r="G577" s="2">
        <v>46286.354166666664</v>
      </c>
      <c r="H577" s="2">
        <v>46409.729166666664</v>
      </c>
      <c r="I577" s="1">
        <v>46161</v>
      </c>
      <c r="J577" t="s">
        <v>1849</v>
      </c>
      <c r="K577" t="s">
        <v>1199</v>
      </c>
      <c r="P577" s="12"/>
    </row>
    <row r="578" spans="1:16">
      <c r="A578" t="s">
        <v>828</v>
      </c>
      <c r="B578" t="s">
        <v>2128</v>
      </c>
      <c r="C578" t="s">
        <v>2129</v>
      </c>
      <c r="D578" t="s">
        <v>21</v>
      </c>
      <c r="E578" t="s">
        <v>22</v>
      </c>
      <c r="F578">
        <v>4</v>
      </c>
      <c r="G578" s="2">
        <v>46286.354166666664</v>
      </c>
      <c r="H578" s="2">
        <v>46409.729166666664</v>
      </c>
      <c r="I578" s="1">
        <v>46154</v>
      </c>
      <c r="J578" t="s">
        <v>1849</v>
      </c>
      <c r="K578" t="s">
        <v>1199</v>
      </c>
      <c r="P578" s="12"/>
    </row>
    <row r="579" spans="1:16">
      <c r="A579" t="s">
        <v>828</v>
      </c>
      <c r="B579" t="s">
        <v>2130</v>
      </c>
      <c r="C579" t="s">
        <v>2131</v>
      </c>
      <c r="D579" t="s">
        <v>21</v>
      </c>
      <c r="E579" t="s">
        <v>22</v>
      </c>
      <c r="F579">
        <v>0</v>
      </c>
      <c r="G579" s="2">
        <v>46286.354166666664</v>
      </c>
      <c r="H579" s="2">
        <v>46409.729166666664</v>
      </c>
      <c r="I579" t="s">
        <v>198</v>
      </c>
      <c r="J579" t="s">
        <v>1849</v>
      </c>
      <c r="K579" t="s">
        <v>1199</v>
      </c>
      <c r="P579" s="12"/>
    </row>
    <row r="580" spans="1:16">
      <c r="A580" t="s">
        <v>828</v>
      </c>
      <c r="B580" t="s">
        <v>2132</v>
      </c>
      <c r="C580" t="s">
        <v>2133</v>
      </c>
      <c r="D580" t="s">
        <v>21</v>
      </c>
      <c r="E580" t="s">
        <v>22</v>
      </c>
      <c r="F580">
        <v>0</v>
      </c>
      <c r="G580" s="2">
        <v>46286.354166666664</v>
      </c>
      <c r="H580" s="2">
        <v>46409.729166666664</v>
      </c>
      <c r="I580" t="s">
        <v>198</v>
      </c>
      <c r="J580" t="s">
        <v>1849</v>
      </c>
      <c r="K580" t="s">
        <v>1199</v>
      </c>
      <c r="P580" s="12"/>
    </row>
    <row r="581" spans="1:16">
      <c r="A581" t="s">
        <v>828</v>
      </c>
      <c r="B581" t="s">
        <v>2134</v>
      </c>
      <c r="C581" t="s">
        <v>2135</v>
      </c>
      <c r="D581" t="s">
        <v>21</v>
      </c>
      <c r="E581" t="s">
        <v>22</v>
      </c>
      <c r="F581">
        <v>0</v>
      </c>
      <c r="G581" s="2">
        <v>46286.354166666664</v>
      </c>
      <c r="H581" s="2">
        <v>46409.729166666664</v>
      </c>
      <c r="I581" t="s">
        <v>198</v>
      </c>
      <c r="J581" t="s">
        <v>1849</v>
      </c>
      <c r="K581" t="s">
        <v>1199</v>
      </c>
      <c r="P581" s="12"/>
    </row>
    <row r="582" spans="1:16">
      <c r="A582" t="s">
        <v>828</v>
      </c>
      <c r="B582" t="s">
        <v>2136</v>
      </c>
      <c r="C582" t="s">
        <v>2137</v>
      </c>
      <c r="D582" t="s">
        <v>21</v>
      </c>
      <c r="E582" t="s">
        <v>22</v>
      </c>
      <c r="F582">
        <v>0</v>
      </c>
      <c r="G582" s="2">
        <v>46286.354166666664</v>
      </c>
      <c r="H582" s="2">
        <v>46409.729166666664</v>
      </c>
      <c r="I582" t="s">
        <v>198</v>
      </c>
      <c r="J582" t="s">
        <v>1849</v>
      </c>
      <c r="K582" t="s">
        <v>1199</v>
      </c>
      <c r="P582" s="12"/>
    </row>
    <row r="583" spans="1:16">
      <c r="A583" t="s">
        <v>828</v>
      </c>
      <c r="B583" t="s">
        <v>2138</v>
      </c>
      <c r="C583" t="s">
        <v>2139</v>
      </c>
      <c r="D583" t="s">
        <v>21</v>
      </c>
      <c r="E583" t="s">
        <v>22</v>
      </c>
      <c r="F583">
        <v>2</v>
      </c>
      <c r="G583" s="2">
        <v>46286.354166666664</v>
      </c>
      <c r="H583" s="2">
        <v>46409.729166666664</v>
      </c>
      <c r="I583" s="1">
        <v>46159</v>
      </c>
      <c r="J583" t="s">
        <v>1849</v>
      </c>
      <c r="K583" t="s">
        <v>1199</v>
      </c>
      <c r="P583" s="12"/>
    </row>
    <row r="584" spans="1:16">
      <c r="A584" t="s">
        <v>828</v>
      </c>
      <c r="B584" t="s">
        <v>2140</v>
      </c>
      <c r="C584" t="s">
        <v>2141</v>
      </c>
      <c r="D584" t="s">
        <v>21</v>
      </c>
      <c r="E584" t="s">
        <v>22</v>
      </c>
      <c r="F584">
        <v>5</v>
      </c>
      <c r="G584" s="2">
        <v>46286.354166666664</v>
      </c>
      <c r="H584" s="2">
        <v>46409.729166666664</v>
      </c>
      <c r="I584" s="1">
        <v>46162</v>
      </c>
      <c r="J584" t="s">
        <v>1849</v>
      </c>
      <c r="K584" t="s">
        <v>1199</v>
      </c>
      <c r="P584" s="12"/>
    </row>
    <row r="585" spans="1:16">
      <c r="A585" t="s">
        <v>828</v>
      </c>
      <c r="B585" t="s">
        <v>2142</v>
      </c>
      <c r="C585" t="s">
        <v>2143</v>
      </c>
      <c r="D585" t="s">
        <v>21</v>
      </c>
      <c r="E585" t="s">
        <v>22</v>
      </c>
      <c r="F585">
        <v>0</v>
      </c>
      <c r="G585" s="2">
        <v>46286.354166666664</v>
      </c>
      <c r="H585" s="2">
        <v>46409.729166666664</v>
      </c>
      <c r="I585" t="s">
        <v>198</v>
      </c>
      <c r="J585" t="s">
        <v>1849</v>
      </c>
      <c r="K585" t="s">
        <v>1199</v>
      </c>
      <c r="P585" s="12"/>
    </row>
    <row r="586" spans="1:16">
      <c r="A586" t="s">
        <v>828</v>
      </c>
      <c r="B586" t="s">
        <v>2144</v>
      </c>
      <c r="C586" t="s">
        <v>2145</v>
      </c>
      <c r="D586" t="s">
        <v>21</v>
      </c>
      <c r="E586" t="s">
        <v>22</v>
      </c>
      <c r="F586">
        <v>0</v>
      </c>
      <c r="G586" s="2">
        <v>46286.354166666664</v>
      </c>
      <c r="H586" s="2">
        <v>46409.729166666664</v>
      </c>
      <c r="I586" t="s">
        <v>198</v>
      </c>
      <c r="J586" t="s">
        <v>1849</v>
      </c>
      <c r="K586" t="s">
        <v>1199</v>
      </c>
      <c r="P586" s="12"/>
    </row>
    <row r="587" spans="1:16">
      <c r="A587" t="s">
        <v>828</v>
      </c>
      <c r="B587" t="s">
        <v>2146</v>
      </c>
      <c r="C587" t="s">
        <v>2147</v>
      </c>
      <c r="D587" t="s">
        <v>21</v>
      </c>
      <c r="E587" t="s">
        <v>22</v>
      </c>
      <c r="F587">
        <v>0</v>
      </c>
      <c r="G587" s="2">
        <v>46286.354166666664</v>
      </c>
      <c r="H587" s="2">
        <v>46409.729166666664</v>
      </c>
      <c r="I587" t="s">
        <v>198</v>
      </c>
      <c r="J587" t="s">
        <v>1849</v>
      </c>
      <c r="K587" t="s">
        <v>1199</v>
      </c>
      <c r="P587" s="12"/>
    </row>
    <row r="588" spans="1:16">
      <c r="A588" t="s">
        <v>828</v>
      </c>
      <c r="B588" t="s">
        <v>2148</v>
      </c>
      <c r="C588" t="s">
        <v>2149</v>
      </c>
      <c r="D588" t="s">
        <v>21</v>
      </c>
      <c r="E588" t="s">
        <v>22</v>
      </c>
      <c r="F588">
        <v>0</v>
      </c>
      <c r="G588" s="2">
        <v>46286.354166666664</v>
      </c>
      <c r="H588" s="2">
        <v>46409.729166666664</v>
      </c>
      <c r="I588" t="s">
        <v>198</v>
      </c>
      <c r="J588" t="s">
        <v>1849</v>
      </c>
      <c r="K588" t="s">
        <v>1199</v>
      </c>
      <c r="P588" s="12"/>
    </row>
    <row r="589" spans="1:16">
      <c r="A589" t="s">
        <v>828</v>
      </c>
      <c r="B589" t="s">
        <v>2150</v>
      </c>
      <c r="C589" t="s">
        <v>2151</v>
      </c>
      <c r="D589" t="s">
        <v>21</v>
      </c>
      <c r="E589" t="s">
        <v>22</v>
      </c>
      <c r="F589">
        <v>0</v>
      </c>
      <c r="G589" s="2">
        <v>46286.354166666664</v>
      </c>
      <c r="H589" s="2">
        <v>46409.729166666664</v>
      </c>
      <c r="I589" t="s">
        <v>198</v>
      </c>
      <c r="J589" t="s">
        <v>1849</v>
      </c>
      <c r="K589" t="s">
        <v>1199</v>
      </c>
      <c r="P589" s="12"/>
    </row>
    <row r="590" spans="1:16">
      <c r="A590" t="s">
        <v>828</v>
      </c>
      <c r="B590" t="s">
        <v>2152</v>
      </c>
      <c r="C590" t="s">
        <v>2153</v>
      </c>
      <c r="D590" t="s">
        <v>21</v>
      </c>
      <c r="E590" t="s">
        <v>22</v>
      </c>
      <c r="F590">
        <v>0</v>
      </c>
      <c r="G590" s="2">
        <v>46286.354166666664</v>
      </c>
      <c r="H590" s="2">
        <v>46409.729166666664</v>
      </c>
      <c r="I590" t="s">
        <v>198</v>
      </c>
      <c r="J590" t="s">
        <v>1849</v>
      </c>
      <c r="K590" t="s">
        <v>1199</v>
      </c>
      <c r="P590" s="12"/>
    </row>
    <row r="591" spans="1:16">
      <c r="A591" t="s">
        <v>828</v>
      </c>
      <c r="B591" t="s">
        <v>2154</v>
      </c>
      <c r="C591" t="s">
        <v>2155</v>
      </c>
      <c r="D591" t="s">
        <v>21</v>
      </c>
      <c r="E591" t="s">
        <v>22</v>
      </c>
      <c r="F591">
        <v>4</v>
      </c>
      <c r="G591" s="2">
        <v>46286.520833333336</v>
      </c>
      <c r="H591" s="2">
        <v>46409.5625</v>
      </c>
      <c r="I591" s="1">
        <v>46161</v>
      </c>
      <c r="J591" t="s">
        <v>1970</v>
      </c>
      <c r="K591" t="s">
        <v>1199</v>
      </c>
      <c r="P591" s="12"/>
    </row>
    <row r="592" spans="1:16">
      <c r="A592" t="s">
        <v>828</v>
      </c>
      <c r="B592" t="s">
        <v>2156</v>
      </c>
      <c r="C592" t="s">
        <v>2157</v>
      </c>
      <c r="D592" t="s">
        <v>21</v>
      </c>
      <c r="E592" t="s">
        <v>22</v>
      </c>
      <c r="F592">
        <v>15</v>
      </c>
      <c r="G592" s="2">
        <v>46286.506944444445</v>
      </c>
      <c r="H592" s="2">
        <v>46409.5625</v>
      </c>
      <c r="I592" s="1">
        <v>46163</v>
      </c>
      <c r="J592" t="s">
        <v>1973</v>
      </c>
      <c r="K592" t="s">
        <v>1199</v>
      </c>
      <c r="P592" s="12"/>
    </row>
    <row r="593" spans="1:16">
      <c r="A593" t="s">
        <v>828</v>
      </c>
      <c r="B593" t="s">
        <v>2158</v>
      </c>
      <c r="C593" t="s">
        <v>2159</v>
      </c>
      <c r="D593" t="s">
        <v>21</v>
      </c>
      <c r="E593" t="s">
        <v>22</v>
      </c>
      <c r="F593">
        <v>54</v>
      </c>
      <c r="G593" s="2">
        <v>46286.354166666664</v>
      </c>
      <c r="H593" s="2">
        <v>46409.729166666664</v>
      </c>
      <c r="I593" s="1">
        <v>46163</v>
      </c>
      <c r="J593" t="s">
        <v>1849</v>
      </c>
      <c r="K593" t="s">
        <v>1199</v>
      </c>
      <c r="P593" s="10"/>
    </row>
    <row r="594" spans="1:16">
      <c r="A594" t="s">
        <v>828</v>
      </c>
      <c r="B594" t="s">
        <v>2160</v>
      </c>
      <c r="C594" t="s">
        <v>2161</v>
      </c>
      <c r="D594" t="s">
        <v>21</v>
      </c>
      <c r="E594" t="s">
        <v>22</v>
      </c>
      <c r="F594">
        <v>58</v>
      </c>
      <c r="G594" s="2">
        <v>46286.354166666664</v>
      </c>
      <c r="H594" s="2">
        <v>46409.729166666664</v>
      </c>
      <c r="I594" s="1">
        <v>46162</v>
      </c>
      <c r="J594" t="s">
        <v>1849</v>
      </c>
      <c r="K594" t="s">
        <v>1199</v>
      </c>
      <c r="P594" s="10"/>
    </row>
    <row r="595" spans="1:16">
      <c r="A595" t="s">
        <v>828</v>
      </c>
      <c r="B595" t="s">
        <v>2162</v>
      </c>
      <c r="C595" t="s">
        <v>2163</v>
      </c>
      <c r="D595" t="s">
        <v>21</v>
      </c>
      <c r="E595" t="s">
        <v>22</v>
      </c>
      <c r="F595">
        <v>52</v>
      </c>
      <c r="G595" s="2">
        <v>46286.354166666664</v>
      </c>
      <c r="H595" s="2">
        <v>46409.729166666664</v>
      </c>
      <c r="I595" s="1">
        <v>46163</v>
      </c>
      <c r="J595" t="s">
        <v>1849</v>
      </c>
      <c r="K595" t="s">
        <v>1199</v>
      </c>
      <c r="P595" s="10"/>
    </row>
    <row r="596" spans="1:16">
      <c r="A596" t="s">
        <v>828</v>
      </c>
      <c r="B596" t="s">
        <v>2164</v>
      </c>
      <c r="C596" t="s">
        <v>2165</v>
      </c>
      <c r="D596" t="s">
        <v>21</v>
      </c>
      <c r="E596" t="s">
        <v>22</v>
      </c>
      <c r="F596">
        <v>40</v>
      </c>
      <c r="G596" s="2">
        <v>46286.354166666664</v>
      </c>
      <c r="H596" s="2">
        <v>46409.729166666664</v>
      </c>
      <c r="I596" s="1">
        <v>46163</v>
      </c>
      <c r="J596" t="s">
        <v>1849</v>
      </c>
      <c r="K596" t="s">
        <v>1199</v>
      </c>
      <c r="P596" s="10"/>
    </row>
    <row r="597" spans="1:16">
      <c r="A597" t="s">
        <v>828</v>
      </c>
      <c r="B597" t="s">
        <v>2166</v>
      </c>
      <c r="C597" t="s">
        <v>2167</v>
      </c>
      <c r="D597" t="s">
        <v>21</v>
      </c>
      <c r="E597" t="s">
        <v>22</v>
      </c>
      <c r="F597">
        <v>44</v>
      </c>
      <c r="G597" s="2">
        <v>46286.354166666664</v>
      </c>
      <c r="H597" s="2">
        <v>46409.729166666664</v>
      </c>
      <c r="I597" s="1">
        <v>46163</v>
      </c>
      <c r="J597" t="s">
        <v>1849</v>
      </c>
      <c r="K597" t="s">
        <v>1199</v>
      </c>
      <c r="P597" s="10"/>
    </row>
    <row r="598" spans="1:16">
      <c r="A598" t="s">
        <v>828</v>
      </c>
      <c r="B598" t="s">
        <v>2168</v>
      </c>
      <c r="C598" t="s">
        <v>2169</v>
      </c>
      <c r="D598" t="s">
        <v>21</v>
      </c>
      <c r="E598" t="s">
        <v>22</v>
      </c>
      <c r="F598">
        <v>52</v>
      </c>
      <c r="G598" s="2">
        <v>46286.354166666664</v>
      </c>
      <c r="H598" s="2">
        <v>46409.729166666664</v>
      </c>
      <c r="I598" s="1">
        <v>46163</v>
      </c>
      <c r="J598" t="s">
        <v>1849</v>
      </c>
      <c r="K598" t="s">
        <v>1199</v>
      </c>
      <c r="P598" s="12"/>
    </row>
    <row r="599" spans="1:16">
      <c r="A599" t="s">
        <v>828</v>
      </c>
      <c r="B599" t="s">
        <v>2170</v>
      </c>
      <c r="C599" t="s">
        <v>2171</v>
      </c>
      <c r="D599" t="s">
        <v>21</v>
      </c>
      <c r="E599" t="s">
        <v>22</v>
      </c>
      <c r="F599">
        <v>36</v>
      </c>
      <c r="G599" s="2">
        <v>46286.354166666664</v>
      </c>
      <c r="H599" s="2">
        <v>46409.729166666664</v>
      </c>
      <c r="I599" s="1">
        <v>46163</v>
      </c>
      <c r="J599" t="s">
        <v>1849</v>
      </c>
      <c r="K599" t="s">
        <v>1199</v>
      </c>
      <c r="P599" s="12"/>
    </row>
    <row r="600" spans="1:16">
      <c r="A600" t="s">
        <v>828</v>
      </c>
      <c r="B600" t="s">
        <v>2172</v>
      </c>
      <c r="C600" t="s">
        <v>2173</v>
      </c>
      <c r="D600" t="s">
        <v>21</v>
      </c>
      <c r="E600" t="s">
        <v>22</v>
      </c>
      <c r="F600">
        <v>34</v>
      </c>
      <c r="G600" s="2">
        <v>46286.354166666664</v>
      </c>
      <c r="H600" s="2">
        <v>46409.729166666664</v>
      </c>
      <c r="I600" s="1">
        <v>46162</v>
      </c>
      <c r="J600" t="s">
        <v>1849</v>
      </c>
      <c r="K600" t="s">
        <v>1199</v>
      </c>
      <c r="P600" s="12"/>
    </row>
    <row r="601" spans="1:16">
      <c r="A601" t="s">
        <v>828</v>
      </c>
      <c r="B601" t="s">
        <v>2174</v>
      </c>
      <c r="C601" t="s">
        <v>2175</v>
      </c>
      <c r="D601" t="s">
        <v>21</v>
      </c>
      <c r="E601" t="s">
        <v>22</v>
      </c>
      <c r="F601">
        <v>1</v>
      </c>
      <c r="G601" s="2">
        <v>46286.354166666664</v>
      </c>
      <c r="H601" s="2">
        <v>46409.729166666664</v>
      </c>
      <c r="I601" s="1">
        <v>46161</v>
      </c>
      <c r="J601" t="s">
        <v>1849</v>
      </c>
      <c r="K601" t="s">
        <v>1199</v>
      </c>
      <c r="P601" s="12"/>
    </row>
    <row r="602" spans="1:16">
      <c r="A602" t="s">
        <v>828</v>
      </c>
      <c r="B602" t="s">
        <v>2176</v>
      </c>
      <c r="C602" t="s">
        <v>2177</v>
      </c>
      <c r="D602" t="s">
        <v>21</v>
      </c>
      <c r="E602" t="s">
        <v>22</v>
      </c>
      <c r="F602">
        <v>0</v>
      </c>
      <c r="G602" s="2">
        <v>46286.354166666664</v>
      </c>
      <c r="H602" s="2">
        <v>46409.729166666664</v>
      </c>
      <c r="I602" t="s">
        <v>198</v>
      </c>
      <c r="J602" t="s">
        <v>1849</v>
      </c>
      <c r="K602" t="s">
        <v>1199</v>
      </c>
      <c r="P602" s="12"/>
    </row>
    <row r="603" spans="1:16">
      <c r="A603" t="s">
        <v>828</v>
      </c>
      <c r="B603" t="s">
        <v>2178</v>
      </c>
      <c r="C603" t="s">
        <v>2179</v>
      </c>
      <c r="D603" t="s">
        <v>21</v>
      </c>
      <c r="E603" t="s">
        <v>22</v>
      </c>
      <c r="F603">
        <v>0</v>
      </c>
      <c r="G603" s="2">
        <v>46286.354166666664</v>
      </c>
      <c r="H603" s="2">
        <v>46409.729166666664</v>
      </c>
      <c r="I603" s="1">
        <v>45316</v>
      </c>
      <c r="J603" t="s">
        <v>1849</v>
      </c>
      <c r="K603" t="s">
        <v>1199</v>
      </c>
      <c r="P603" s="12"/>
    </row>
    <row r="604" spans="1:16">
      <c r="A604" t="s">
        <v>828</v>
      </c>
      <c r="B604" t="s">
        <v>2180</v>
      </c>
      <c r="C604" t="s">
        <v>2181</v>
      </c>
      <c r="D604" t="s">
        <v>21</v>
      </c>
      <c r="E604" t="s">
        <v>22</v>
      </c>
      <c r="F604">
        <v>0</v>
      </c>
      <c r="G604" s="2">
        <v>46286.354166666664</v>
      </c>
      <c r="H604" s="2">
        <v>46409.729166666664</v>
      </c>
      <c r="I604" s="1">
        <v>45471</v>
      </c>
      <c r="J604" t="s">
        <v>1849</v>
      </c>
      <c r="K604" t="s">
        <v>1199</v>
      </c>
      <c r="P604" s="12"/>
    </row>
    <row r="605" spans="1:16">
      <c r="A605" t="s">
        <v>828</v>
      </c>
      <c r="B605" t="s">
        <v>2182</v>
      </c>
      <c r="C605" t="s">
        <v>2183</v>
      </c>
      <c r="D605" t="s">
        <v>21</v>
      </c>
      <c r="E605" t="s">
        <v>22</v>
      </c>
      <c r="F605">
        <v>0</v>
      </c>
      <c r="G605" s="2">
        <v>46286.354166666664</v>
      </c>
      <c r="H605" s="2">
        <v>46409.729166666664</v>
      </c>
      <c r="I605" s="1">
        <v>45685</v>
      </c>
      <c r="J605" t="s">
        <v>1849</v>
      </c>
      <c r="K605" t="s">
        <v>1199</v>
      </c>
      <c r="P605" s="12"/>
    </row>
    <row r="606" spans="1:16">
      <c r="A606" t="s">
        <v>828</v>
      </c>
      <c r="B606" t="s">
        <v>2184</v>
      </c>
      <c r="C606" t="s">
        <v>2185</v>
      </c>
      <c r="D606" t="s">
        <v>21</v>
      </c>
      <c r="E606" t="s">
        <v>22</v>
      </c>
      <c r="F606">
        <v>0</v>
      </c>
      <c r="G606" s="2">
        <v>46286.354166666664</v>
      </c>
      <c r="H606" s="2">
        <v>46409.729166666664</v>
      </c>
      <c r="I606" s="1">
        <v>45833</v>
      </c>
      <c r="J606" t="s">
        <v>1849</v>
      </c>
      <c r="K606" t="s">
        <v>1199</v>
      </c>
      <c r="P606" s="12"/>
    </row>
    <row r="607" spans="1:16">
      <c r="A607" t="s">
        <v>828</v>
      </c>
      <c r="B607" t="s">
        <v>2186</v>
      </c>
      <c r="C607" t="s">
        <v>2187</v>
      </c>
      <c r="D607" t="s">
        <v>21</v>
      </c>
      <c r="E607" t="s">
        <v>22</v>
      </c>
      <c r="F607">
        <v>0</v>
      </c>
      <c r="G607" s="2">
        <v>46286.354166666664</v>
      </c>
      <c r="H607" s="2">
        <v>46409.729166666664</v>
      </c>
      <c r="I607" s="1">
        <v>46048</v>
      </c>
      <c r="J607" t="s">
        <v>1849</v>
      </c>
      <c r="K607" t="s">
        <v>1199</v>
      </c>
      <c r="P607" s="12"/>
    </row>
    <row r="608" spans="1:16">
      <c r="A608" t="s">
        <v>828</v>
      </c>
      <c r="B608" t="s">
        <v>2188</v>
      </c>
      <c r="C608" t="s">
        <v>2189</v>
      </c>
      <c r="D608" t="s">
        <v>21</v>
      </c>
      <c r="E608" t="s">
        <v>22</v>
      </c>
      <c r="F608">
        <v>0</v>
      </c>
      <c r="G608" s="2">
        <v>46286.354166666664</v>
      </c>
      <c r="H608" s="2">
        <v>46409.729166666664</v>
      </c>
      <c r="I608" s="1">
        <v>46066</v>
      </c>
      <c r="J608" t="s">
        <v>1849</v>
      </c>
      <c r="K608" t="s">
        <v>1199</v>
      </c>
      <c r="P608" s="12"/>
    </row>
    <row r="609" spans="1:16">
      <c r="A609" t="s">
        <v>828</v>
      </c>
      <c r="B609" t="s">
        <v>2190</v>
      </c>
      <c r="C609" t="s">
        <v>2191</v>
      </c>
      <c r="D609" t="s">
        <v>21</v>
      </c>
      <c r="E609" t="s">
        <v>22</v>
      </c>
      <c r="F609">
        <v>2</v>
      </c>
      <c r="G609" s="2">
        <v>46286.354166666664</v>
      </c>
      <c r="H609" s="2">
        <v>46409.729166666664</v>
      </c>
      <c r="I609" s="1">
        <v>46154</v>
      </c>
      <c r="J609" t="s">
        <v>1849</v>
      </c>
      <c r="K609" t="s">
        <v>1199</v>
      </c>
      <c r="P609" s="12"/>
    </row>
    <row r="610" spans="1:16">
      <c r="A610" t="s">
        <v>828</v>
      </c>
      <c r="B610" t="s">
        <v>2192</v>
      </c>
      <c r="C610" t="s">
        <v>2193</v>
      </c>
      <c r="D610" t="s">
        <v>21</v>
      </c>
      <c r="E610" t="s">
        <v>22</v>
      </c>
      <c r="F610">
        <v>0</v>
      </c>
      <c r="G610" s="2">
        <v>46286.354166666664</v>
      </c>
      <c r="H610" s="2">
        <v>46409.729166666664</v>
      </c>
      <c r="I610" t="s">
        <v>198</v>
      </c>
      <c r="J610" t="s">
        <v>1849</v>
      </c>
      <c r="K610" t="s">
        <v>1199</v>
      </c>
      <c r="P610" s="12"/>
    </row>
    <row r="611" spans="1:16">
      <c r="A611" t="s">
        <v>828</v>
      </c>
      <c r="B611" t="s">
        <v>2194</v>
      </c>
      <c r="C611" t="s">
        <v>2195</v>
      </c>
      <c r="D611" t="s">
        <v>21</v>
      </c>
      <c r="E611" t="s">
        <v>22</v>
      </c>
      <c r="F611">
        <v>0</v>
      </c>
      <c r="G611" s="2">
        <v>46286.354166666664</v>
      </c>
      <c r="H611" s="2">
        <v>46409.729166666664</v>
      </c>
      <c r="I611" t="s">
        <v>198</v>
      </c>
      <c r="J611" t="s">
        <v>1849</v>
      </c>
      <c r="K611" t="s">
        <v>1199</v>
      </c>
      <c r="P611" s="12"/>
    </row>
    <row r="612" spans="1:16">
      <c r="A612" t="s">
        <v>828</v>
      </c>
      <c r="B612" t="s">
        <v>2196</v>
      </c>
      <c r="C612" t="s">
        <v>2197</v>
      </c>
      <c r="D612" t="s">
        <v>21</v>
      </c>
      <c r="E612" t="s">
        <v>22</v>
      </c>
      <c r="F612">
        <v>0</v>
      </c>
      <c r="G612" s="2">
        <v>46286.354166666664</v>
      </c>
      <c r="H612" s="2">
        <v>46409.729166666664</v>
      </c>
      <c r="I612" t="s">
        <v>198</v>
      </c>
      <c r="J612" t="s">
        <v>1849</v>
      </c>
      <c r="K612" t="s">
        <v>1199</v>
      </c>
      <c r="P612" s="12"/>
    </row>
    <row r="613" spans="1:16">
      <c r="A613" t="s">
        <v>828</v>
      </c>
      <c r="B613" t="s">
        <v>2198</v>
      </c>
      <c r="C613" t="s">
        <v>2199</v>
      </c>
      <c r="D613" t="s">
        <v>21</v>
      </c>
      <c r="E613" t="s">
        <v>22</v>
      </c>
      <c r="F613">
        <v>0</v>
      </c>
      <c r="G613" s="2">
        <v>46286.354166666664</v>
      </c>
      <c r="H613" s="2">
        <v>46409.729166666664</v>
      </c>
      <c r="I613" s="1">
        <v>46050</v>
      </c>
      <c r="J613" t="s">
        <v>1849</v>
      </c>
      <c r="K613" t="s">
        <v>1199</v>
      </c>
      <c r="P613" s="12"/>
    </row>
    <row r="614" spans="1:16">
      <c r="A614" t="s">
        <v>828</v>
      </c>
      <c r="B614" t="s">
        <v>2200</v>
      </c>
      <c r="C614" t="s">
        <v>2201</v>
      </c>
      <c r="D614" t="s">
        <v>21</v>
      </c>
      <c r="E614" t="s">
        <v>22</v>
      </c>
      <c r="F614">
        <v>2</v>
      </c>
      <c r="G614" s="2">
        <v>46286.354166666664</v>
      </c>
      <c r="H614" s="2">
        <v>46409.729166666664</v>
      </c>
      <c r="I614" s="1">
        <v>46162</v>
      </c>
      <c r="J614" t="s">
        <v>1849</v>
      </c>
      <c r="K614" t="s">
        <v>1199</v>
      </c>
      <c r="P614" s="12"/>
    </row>
    <row r="615" spans="1:16">
      <c r="A615" t="s">
        <v>828</v>
      </c>
      <c r="B615" t="s">
        <v>2202</v>
      </c>
      <c r="C615" t="s">
        <v>2203</v>
      </c>
      <c r="D615" t="s">
        <v>21</v>
      </c>
      <c r="E615" t="s">
        <v>22</v>
      </c>
      <c r="F615">
        <v>0</v>
      </c>
      <c r="G615" s="2">
        <v>46286.354166666664</v>
      </c>
      <c r="H615" s="2">
        <v>46409.729166666664</v>
      </c>
      <c r="I615" s="1">
        <v>45471</v>
      </c>
      <c r="J615" t="s">
        <v>1849</v>
      </c>
      <c r="K615" t="s">
        <v>1199</v>
      </c>
      <c r="P615" s="12"/>
    </row>
    <row r="616" spans="1:16">
      <c r="A616" t="s">
        <v>828</v>
      </c>
      <c r="B616" t="s">
        <v>2204</v>
      </c>
      <c r="C616" t="s">
        <v>2205</v>
      </c>
      <c r="D616" t="s">
        <v>21</v>
      </c>
      <c r="E616" t="s">
        <v>22</v>
      </c>
      <c r="F616">
        <v>0</v>
      </c>
      <c r="G616" s="2">
        <v>46286.354166666664</v>
      </c>
      <c r="H616" s="2">
        <v>46409.729166666664</v>
      </c>
      <c r="I616" s="1">
        <v>45683</v>
      </c>
      <c r="J616" t="s">
        <v>1849</v>
      </c>
      <c r="K616" t="s">
        <v>1199</v>
      </c>
      <c r="P616" s="12"/>
    </row>
    <row r="617" spans="1:16">
      <c r="A617" t="s">
        <v>828</v>
      </c>
      <c r="B617" t="s">
        <v>2206</v>
      </c>
      <c r="C617" t="s">
        <v>2207</v>
      </c>
      <c r="D617" t="s">
        <v>21</v>
      </c>
      <c r="E617" t="s">
        <v>22</v>
      </c>
      <c r="F617">
        <v>2</v>
      </c>
      <c r="G617" s="2">
        <v>46286.354166666664</v>
      </c>
      <c r="H617" s="2">
        <v>46409.729166666664</v>
      </c>
      <c r="I617" s="1">
        <v>46154</v>
      </c>
      <c r="J617" t="s">
        <v>1849</v>
      </c>
      <c r="K617" t="s">
        <v>1199</v>
      </c>
      <c r="P617" s="12"/>
    </row>
    <row r="618" spans="1:16">
      <c r="A618" t="s">
        <v>828</v>
      </c>
      <c r="B618" t="s">
        <v>2208</v>
      </c>
      <c r="C618" t="s">
        <v>2209</v>
      </c>
      <c r="D618" t="s">
        <v>21</v>
      </c>
      <c r="E618" t="s">
        <v>22</v>
      </c>
      <c r="F618">
        <v>2</v>
      </c>
      <c r="G618" s="2">
        <v>46286.354166666664</v>
      </c>
      <c r="H618" s="2">
        <v>46409.729166666664</v>
      </c>
      <c r="I618" s="1">
        <v>46163</v>
      </c>
      <c r="J618" t="s">
        <v>1849</v>
      </c>
      <c r="K618" t="s">
        <v>1199</v>
      </c>
      <c r="P618" s="12"/>
    </row>
    <row r="619" spans="1:16">
      <c r="A619" t="s">
        <v>828</v>
      </c>
      <c r="B619" t="s">
        <v>2210</v>
      </c>
      <c r="C619" t="s">
        <v>2211</v>
      </c>
      <c r="D619" t="s">
        <v>21</v>
      </c>
      <c r="E619" t="s">
        <v>22</v>
      </c>
      <c r="F619">
        <v>0</v>
      </c>
      <c r="G619" s="2">
        <v>46286.354166666664</v>
      </c>
      <c r="H619" s="2">
        <v>46409.729166666664</v>
      </c>
      <c r="I619" t="s">
        <v>198</v>
      </c>
      <c r="J619" t="s">
        <v>1849</v>
      </c>
      <c r="K619" t="s">
        <v>1199</v>
      </c>
      <c r="P619" s="12"/>
    </row>
    <row r="620" spans="1:16">
      <c r="A620" t="s">
        <v>828</v>
      </c>
      <c r="B620" t="s">
        <v>2212</v>
      </c>
      <c r="C620" t="s">
        <v>2213</v>
      </c>
      <c r="D620" t="s">
        <v>21</v>
      </c>
      <c r="E620" t="s">
        <v>22</v>
      </c>
      <c r="F620">
        <v>0</v>
      </c>
      <c r="G620" s="2">
        <v>46286.354166666664</v>
      </c>
      <c r="H620" s="2">
        <v>46409.729166666664</v>
      </c>
      <c r="I620" t="s">
        <v>198</v>
      </c>
      <c r="J620" t="s">
        <v>1849</v>
      </c>
      <c r="K620" t="s">
        <v>1199</v>
      </c>
      <c r="P620" s="10"/>
    </row>
    <row r="621" spans="1:16">
      <c r="A621" t="s">
        <v>828</v>
      </c>
      <c r="B621" t="s">
        <v>2214</v>
      </c>
      <c r="C621" t="s">
        <v>2215</v>
      </c>
      <c r="D621" t="s">
        <v>21</v>
      </c>
      <c r="E621" t="s">
        <v>22</v>
      </c>
      <c r="F621">
        <v>0</v>
      </c>
      <c r="G621" s="2">
        <v>46286.354166666664</v>
      </c>
      <c r="H621" s="2">
        <v>46409.729166666664</v>
      </c>
      <c r="I621" t="s">
        <v>198</v>
      </c>
      <c r="J621" t="s">
        <v>1849</v>
      </c>
      <c r="K621" t="s">
        <v>1199</v>
      </c>
      <c r="P621" s="10"/>
    </row>
    <row r="622" spans="1:16">
      <c r="A622" t="s">
        <v>828</v>
      </c>
      <c r="B622" t="s">
        <v>2216</v>
      </c>
      <c r="C622" t="s">
        <v>2217</v>
      </c>
      <c r="D622" t="s">
        <v>21</v>
      </c>
      <c r="E622" t="s">
        <v>22</v>
      </c>
      <c r="F622">
        <v>0</v>
      </c>
      <c r="G622" s="2">
        <v>46286.354166666664</v>
      </c>
      <c r="H622" s="2">
        <v>46409.729166666664</v>
      </c>
      <c r="I622" t="s">
        <v>198</v>
      </c>
      <c r="J622" t="s">
        <v>1849</v>
      </c>
      <c r="K622" t="s">
        <v>1199</v>
      </c>
      <c r="P622" s="12"/>
    </row>
    <row r="623" spans="1:16">
      <c r="A623" t="s">
        <v>828</v>
      </c>
      <c r="B623" t="s">
        <v>2218</v>
      </c>
      <c r="C623" t="s">
        <v>2219</v>
      </c>
      <c r="D623" t="s">
        <v>21</v>
      </c>
      <c r="E623" t="s">
        <v>22</v>
      </c>
      <c r="F623">
        <v>0</v>
      </c>
      <c r="G623" s="2">
        <v>46286.354166666664</v>
      </c>
      <c r="H623" s="2">
        <v>46409.729166666664</v>
      </c>
      <c r="I623" t="s">
        <v>198</v>
      </c>
      <c r="J623" t="s">
        <v>1849</v>
      </c>
      <c r="K623" t="s">
        <v>1199</v>
      </c>
      <c r="P623" s="10"/>
    </row>
    <row r="624" spans="1:16">
      <c r="A624" t="s">
        <v>828</v>
      </c>
      <c r="B624" t="s">
        <v>2220</v>
      </c>
      <c r="C624" t="s">
        <v>2221</v>
      </c>
      <c r="D624" t="s">
        <v>21</v>
      </c>
      <c r="E624" t="s">
        <v>22</v>
      </c>
      <c r="F624">
        <v>0</v>
      </c>
      <c r="G624" s="2">
        <v>46286.354166666664</v>
      </c>
      <c r="H624" s="2">
        <v>46409.729166666664</v>
      </c>
      <c r="I624" t="s">
        <v>198</v>
      </c>
      <c r="J624" t="s">
        <v>1849</v>
      </c>
      <c r="K624" t="s">
        <v>1199</v>
      </c>
      <c r="P624" s="10"/>
    </row>
    <row r="625" spans="1:16">
      <c r="A625" t="s">
        <v>828</v>
      </c>
      <c r="B625" t="s">
        <v>2222</v>
      </c>
      <c r="C625" t="s">
        <v>2223</v>
      </c>
      <c r="D625" t="s">
        <v>21</v>
      </c>
      <c r="E625" t="s">
        <v>22</v>
      </c>
      <c r="F625">
        <v>7</v>
      </c>
      <c r="G625" s="2">
        <v>46286.354166666664</v>
      </c>
      <c r="H625" s="2">
        <v>46409.729166666664</v>
      </c>
      <c r="I625" s="1">
        <v>46161</v>
      </c>
      <c r="J625" t="s">
        <v>1849</v>
      </c>
      <c r="K625" t="s">
        <v>1199</v>
      </c>
      <c r="P625" s="10"/>
    </row>
    <row r="626" spans="1:16">
      <c r="A626" t="s">
        <v>828</v>
      </c>
      <c r="B626" t="s">
        <v>2224</v>
      </c>
      <c r="C626" t="s">
        <v>2225</v>
      </c>
      <c r="D626" t="s">
        <v>21</v>
      </c>
      <c r="E626" t="s">
        <v>22</v>
      </c>
      <c r="F626">
        <v>6</v>
      </c>
      <c r="G626" s="2">
        <v>46286.354166666664</v>
      </c>
      <c r="H626" s="2">
        <v>46409.729166666664</v>
      </c>
      <c r="I626" s="1">
        <v>46161</v>
      </c>
      <c r="J626" t="s">
        <v>1849</v>
      </c>
      <c r="K626" t="s">
        <v>1199</v>
      </c>
      <c r="P626" s="10"/>
    </row>
    <row r="627" spans="1:16">
      <c r="A627" t="s">
        <v>828</v>
      </c>
      <c r="B627" t="s">
        <v>2226</v>
      </c>
      <c r="C627" t="s">
        <v>2227</v>
      </c>
      <c r="D627" t="s">
        <v>21</v>
      </c>
      <c r="E627" t="s">
        <v>22</v>
      </c>
      <c r="F627">
        <v>7</v>
      </c>
      <c r="G627" s="2">
        <v>46286.354166666664</v>
      </c>
      <c r="H627" s="2">
        <v>46409.729166666664</v>
      </c>
      <c r="I627" s="1">
        <v>46161</v>
      </c>
      <c r="J627" t="s">
        <v>1849</v>
      </c>
      <c r="K627" t="s">
        <v>1199</v>
      </c>
      <c r="P627" s="10"/>
    </row>
    <row r="628" spans="1:16">
      <c r="A628" t="s">
        <v>828</v>
      </c>
      <c r="B628" t="s">
        <v>2228</v>
      </c>
      <c r="C628" t="s">
        <v>2229</v>
      </c>
      <c r="D628" t="s">
        <v>21</v>
      </c>
      <c r="E628" t="s">
        <v>22</v>
      </c>
      <c r="F628">
        <v>10</v>
      </c>
      <c r="G628" s="2">
        <v>46286.354166666664</v>
      </c>
      <c r="H628" s="2">
        <v>46409.729166666664</v>
      </c>
      <c r="I628" s="1">
        <v>46163</v>
      </c>
      <c r="J628" t="s">
        <v>1849</v>
      </c>
      <c r="K628" t="s">
        <v>1199</v>
      </c>
      <c r="P628" s="10"/>
    </row>
    <row r="629" spans="1:16">
      <c r="A629" t="s">
        <v>828</v>
      </c>
      <c r="B629" t="s">
        <v>2230</v>
      </c>
      <c r="C629" t="s">
        <v>2231</v>
      </c>
      <c r="D629" t="s">
        <v>21</v>
      </c>
      <c r="E629" t="s">
        <v>22</v>
      </c>
      <c r="F629">
        <v>11</v>
      </c>
      <c r="G629" s="2">
        <v>46286.354166666664</v>
      </c>
      <c r="H629" s="2">
        <v>46409.729166666664</v>
      </c>
      <c r="I629" s="1">
        <v>46160</v>
      </c>
      <c r="J629" t="s">
        <v>1849</v>
      </c>
      <c r="K629" t="s">
        <v>1199</v>
      </c>
      <c r="P629" s="10"/>
    </row>
    <row r="630" spans="1:16">
      <c r="A630" t="s">
        <v>828</v>
      </c>
      <c r="B630" t="s">
        <v>2232</v>
      </c>
      <c r="C630" t="s">
        <v>2233</v>
      </c>
      <c r="D630" t="s">
        <v>21</v>
      </c>
      <c r="E630" t="s">
        <v>22</v>
      </c>
      <c r="F630">
        <v>1</v>
      </c>
      <c r="G630" s="2">
        <v>46286.354166666664</v>
      </c>
      <c r="H630" s="2">
        <v>46409.729166666664</v>
      </c>
      <c r="I630" s="1">
        <v>46153</v>
      </c>
      <c r="J630" t="s">
        <v>1849</v>
      </c>
      <c r="K630" t="s">
        <v>1199</v>
      </c>
      <c r="P630" s="10"/>
    </row>
    <row r="631" spans="1:16">
      <c r="A631" t="s">
        <v>828</v>
      </c>
      <c r="B631" t="s">
        <v>2234</v>
      </c>
      <c r="C631" t="s">
        <v>2235</v>
      </c>
      <c r="D631" t="s">
        <v>21</v>
      </c>
      <c r="E631" t="s">
        <v>22</v>
      </c>
      <c r="F631">
        <v>0</v>
      </c>
      <c r="G631" s="2">
        <v>46286.354166666664</v>
      </c>
      <c r="H631" s="2">
        <v>46409.729166666664</v>
      </c>
      <c r="I631" s="1">
        <v>46063</v>
      </c>
      <c r="J631" t="s">
        <v>1849</v>
      </c>
      <c r="K631" t="s">
        <v>1199</v>
      </c>
      <c r="P631" s="10"/>
    </row>
    <row r="632" spans="1:16">
      <c r="A632" t="s">
        <v>828</v>
      </c>
      <c r="B632" t="s">
        <v>2236</v>
      </c>
      <c r="C632" t="s">
        <v>2237</v>
      </c>
      <c r="D632" t="s">
        <v>21</v>
      </c>
      <c r="E632" t="s">
        <v>22</v>
      </c>
      <c r="F632">
        <v>7</v>
      </c>
      <c r="G632" s="2">
        <v>46286.354166666664</v>
      </c>
      <c r="H632" s="2">
        <v>46409.729166666664</v>
      </c>
      <c r="I632" s="1">
        <v>46153</v>
      </c>
      <c r="J632" t="s">
        <v>1849</v>
      </c>
      <c r="K632" t="s">
        <v>1199</v>
      </c>
      <c r="P632" s="10"/>
    </row>
    <row r="633" spans="1:16">
      <c r="A633" t="s">
        <v>828</v>
      </c>
      <c r="B633" t="s">
        <v>2238</v>
      </c>
      <c r="C633" t="s">
        <v>2239</v>
      </c>
      <c r="D633" t="s">
        <v>21</v>
      </c>
      <c r="E633" t="s">
        <v>22</v>
      </c>
      <c r="F633">
        <v>20</v>
      </c>
      <c r="G633" s="2">
        <v>46286.354166666664</v>
      </c>
      <c r="H633" s="2">
        <v>46409.729166666664</v>
      </c>
      <c r="I633" s="1">
        <v>46160</v>
      </c>
      <c r="J633" t="s">
        <v>1849</v>
      </c>
      <c r="K633" t="s">
        <v>1199</v>
      </c>
      <c r="P633" s="10"/>
    </row>
    <row r="634" spans="1:16">
      <c r="A634" t="s">
        <v>828</v>
      </c>
      <c r="B634" t="s">
        <v>2240</v>
      </c>
      <c r="C634" t="s">
        <v>2241</v>
      </c>
      <c r="D634" t="s">
        <v>21</v>
      </c>
      <c r="E634" t="s">
        <v>22</v>
      </c>
      <c r="F634">
        <v>21</v>
      </c>
      <c r="G634" s="2">
        <v>46286.354166666664</v>
      </c>
      <c r="H634" s="2">
        <v>46409.729166666664</v>
      </c>
      <c r="I634" s="1">
        <v>46163</v>
      </c>
      <c r="J634" t="s">
        <v>1849</v>
      </c>
      <c r="K634" t="s">
        <v>1199</v>
      </c>
      <c r="P634" s="10"/>
    </row>
    <row r="635" spans="1:16">
      <c r="A635" t="s">
        <v>828</v>
      </c>
      <c r="B635" t="s">
        <v>2242</v>
      </c>
      <c r="C635" t="s">
        <v>2243</v>
      </c>
      <c r="D635" t="s">
        <v>21</v>
      </c>
      <c r="E635" t="s">
        <v>22</v>
      </c>
      <c r="F635">
        <v>20</v>
      </c>
      <c r="G635" s="2">
        <v>46286.354166666664</v>
      </c>
      <c r="H635" s="2">
        <v>46409.729166666664</v>
      </c>
      <c r="I635" s="1">
        <v>46163</v>
      </c>
      <c r="J635" t="s">
        <v>1849</v>
      </c>
      <c r="K635" t="s">
        <v>1199</v>
      </c>
      <c r="P635" s="10"/>
    </row>
    <row r="636" spans="1:16">
      <c r="A636" t="s">
        <v>828</v>
      </c>
      <c r="B636" t="s">
        <v>2244</v>
      </c>
      <c r="C636" t="s">
        <v>2245</v>
      </c>
      <c r="D636" t="s">
        <v>21</v>
      </c>
      <c r="E636" t="s">
        <v>22</v>
      </c>
      <c r="F636">
        <v>12</v>
      </c>
      <c r="G636" s="2">
        <v>46286.354166666664</v>
      </c>
      <c r="H636" s="2">
        <v>46409.729166666664</v>
      </c>
      <c r="I636" s="1">
        <v>46163</v>
      </c>
      <c r="J636" t="s">
        <v>1849</v>
      </c>
      <c r="K636" t="s">
        <v>1199</v>
      </c>
      <c r="P636" s="10"/>
    </row>
    <row r="637" spans="1:16">
      <c r="A637" t="s">
        <v>828</v>
      </c>
      <c r="B637" t="s">
        <v>2246</v>
      </c>
      <c r="C637" t="s">
        <v>2247</v>
      </c>
      <c r="D637" t="s">
        <v>21</v>
      </c>
      <c r="E637" t="s">
        <v>22</v>
      </c>
      <c r="F637">
        <v>18</v>
      </c>
      <c r="G637" s="2">
        <v>46286.354166666664</v>
      </c>
      <c r="H637" s="2">
        <v>46409.729166666664</v>
      </c>
      <c r="I637" s="1">
        <v>46163</v>
      </c>
      <c r="J637" t="s">
        <v>1849</v>
      </c>
      <c r="K637" t="s">
        <v>1199</v>
      </c>
      <c r="P637" s="10"/>
    </row>
    <row r="638" spans="1:16">
      <c r="A638" t="s">
        <v>828</v>
      </c>
      <c r="B638" t="s">
        <v>2248</v>
      </c>
      <c r="C638" t="s">
        <v>2249</v>
      </c>
      <c r="D638" t="s">
        <v>21</v>
      </c>
      <c r="E638" t="s">
        <v>22</v>
      </c>
      <c r="F638">
        <v>12</v>
      </c>
      <c r="G638" s="2">
        <v>46286.354166666664</v>
      </c>
      <c r="H638" s="2">
        <v>46409.729166666664</v>
      </c>
      <c r="I638" s="1">
        <v>46163</v>
      </c>
      <c r="J638" t="s">
        <v>1849</v>
      </c>
      <c r="K638" t="s">
        <v>1199</v>
      </c>
      <c r="P638" s="10"/>
    </row>
    <row r="639" spans="1:16">
      <c r="A639" t="s">
        <v>828</v>
      </c>
      <c r="B639" t="s">
        <v>2250</v>
      </c>
      <c r="C639" t="s">
        <v>2251</v>
      </c>
      <c r="D639" t="s">
        <v>21</v>
      </c>
      <c r="E639" t="s">
        <v>22</v>
      </c>
      <c r="F639">
        <v>14</v>
      </c>
      <c r="G639" s="2">
        <v>46286.354166666664</v>
      </c>
      <c r="H639" s="2">
        <v>46409.729166666664</v>
      </c>
      <c r="I639" s="1">
        <v>46161</v>
      </c>
      <c r="J639" t="s">
        <v>1849</v>
      </c>
      <c r="K639" t="s">
        <v>1199</v>
      </c>
      <c r="P639" s="10"/>
    </row>
    <row r="640" spans="1:16">
      <c r="A640" t="s">
        <v>828</v>
      </c>
      <c r="B640" t="s">
        <v>2252</v>
      </c>
      <c r="C640" t="s">
        <v>2253</v>
      </c>
      <c r="D640" t="s">
        <v>21</v>
      </c>
      <c r="E640" t="s">
        <v>22</v>
      </c>
      <c r="F640">
        <v>9</v>
      </c>
      <c r="G640" s="2">
        <v>46286.354166666664</v>
      </c>
      <c r="H640" s="2">
        <v>46409.729166666664</v>
      </c>
      <c r="I640" s="1">
        <v>46160</v>
      </c>
      <c r="J640" t="s">
        <v>1849</v>
      </c>
      <c r="K640" t="s">
        <v>1199</v>
      </c>
      <c r="P640" s="10"/>
    </row>
    <row r="641" spans="1:16">
      <c r="A641" t="s">
        <v>828</v>
      </c>
      <c r="B641" t="s">
        <v>2254</v>
      </c>
      <c r="C641" t="s">
        <v>2255</v>
      </c>
      <c r="D641" t="s">
        <v>21</v>
      </c>
      <c r="E641" t="s">
        <v>22</v>
      </c>
      <c r="F641">
        <v>4</v>
      </c>
      <c r="G641" s="2">
        <v>46286.354166666664</v>
      </c>
      <c r="H641" s="2">
        <v>46409.729166666664</v>
      </c>
      <c r="I641" s="1">
        <v>46163</v>
      </c>
      <c r="J641" t="s">
        <v>1849</v>
      </c>
      <c r="K641" t="s">
        <v>1199</v>
      </c>
      <c r="P641" s="10"/>
    </row>
    <row r="642" spans="1:16">
      <c r="A642" t="s">
        <v>828</v>
      </c>
      <c r="B642" t="s">
        <v>2256</v>
      </c>
      <c r="C642" t="s">
        <v>2257</v>
      </c>
      <c r="D642" t="s">
        <v>21</v>
      </c>
      <c r="E642" t="s">
        <v>22</v>
      </c>
      <c r="F642">
        <v>7</v>
      </c>
      <c r="G642" s="2">
        <v>46286.354166666664</v>
      </c>
      <c r="H642" s="2">
        <v>46409.729166666664</v>
      </c>
      <c r="I642" s="1">
        <v>46162</v>
      </c>
      <c r="J642" t="s">
        <v>1849</v>
      </c>
      <c r="K642" t="s">
        <v>1199</v>
      </c>
      <c r="P642" s="10"/>
    </row>
    <row r="643" spans="1:16">
      <c r="A643" t="s">
        <v>828</v>
      </c>
      <c r="B643" t="s">
        <v>2258</v>
      </c>
      <c r="C643" t="s">
        <v>2259</v>
      </c>
      <c r="D643" t="s">
        <v>21</v>
      </c>
      <c r="E643" t="s">
        <v>22</v>
      </c>
      <c r="F643">
        <v>3</v>
      </c>
      <c r="G643" s="2">
        <v>46286.354166666664</v>
      </c>
      <c r="H643" s="2">
        <v>46409.729166666664</v>
      </c>
      <c r="I643" s="1">
        <v>46153</v>
      </c>
      <c r="J643" t="s">
        <v>1849</v>
      </c>
      <c r="K643" t="s">
        <v>1199</v>
      </c>
      <c r="P643" s="10"/>
    </row>
    <row r="644" spans="1:16">
      <c r="A644" t="s">
        <v>828</v>
      </c>
      <c r="B644" t="s">
        <v>2260</v>
      </c>
      <c r="C644" t="s">
        <v>2261</v>
      </c>
      <c r="D644" t="s">
        <v>21</v>
      </c>
      <c r="E644" t="s">
        <v>22</v>
      </c>
      <c r="F644">
        <v>1</v>
      </c>
      <c r="G644" s="2">
        <v>46286.354166666664</v>
      </c>
      <c r="H644" s="2">
        <v>46409.729166666664</v>
      </c>
      <c r="I644" s="1">
        <v>46161</v>
      </c>
      <c r="J644" t="s">
        <v>1849</v>
      </c>
      <c r="K644" t="s">
        <v>1199</v>
      </c>
      <c r="P644" s="10"/>
    </row>
    <row r="645" spans="1:16">
      <c r="A645" t="s">
        <v>828</v>
      </c>
      <c r="B645" t="s">
        <v>2262</v>
      </c>
      <c r="C645" t="s">
        <v>2263</v>
      </c>
      <c r="D645" t="s">
        <v>21</v>
      </c>
      <c r="E645" t="s">
        <v>22</v>
      </c>
      <c r="F645">
        <v>0</v>
      </c>
      <c r="G645" s="2">
        <v>46286.354166666664</v>
      </c>
      <c r="H645" s="2">
        <v>46409.729166666664</v>
      </c>
      <c r="I645" s="1">
        <v>46043</v>
      </c>
      <c r="J645" t="s">
        <v>1849</v>
      </c>
      <c r="K645" t="s">
        <v>1199</v>
      </c>
      <c r="P645" s="10"/>
    </row>
    <row r="646" spans="1:16">
      <c r="A646" t="s">
        <v>828</v>
      </c>
      <c r="B646" t="s">
        <v>2264</v>
      </c>
      <c r="C646" t="s">
        <v>2265</v>
      </c>
      <c r="D646" t="s">
        <v>21</v>
      </c>
      <c r="E646" t="s">
        <v>22</v>
      </c>
      <c r="F646">
        <v>0</v>
      </c>
      <c r="G646" s="2">
        <v>46286.354166666664</v>
      </c>
      <c r="H646" s="2">
        <v>46409.729166666664</v>
      </c>
      <c r="I646" s="1">
        <v>46062</v>
      </c>
      <c r="J646" t="s">
        <v>1849</v>
      </c>
      <c r="K646" t="s">
        <v>1199</v>
      </c>
      <c r="P646" s="10"/>
    </row>
    <row r="647" spans="1:16">
      <c r="A647" t="s">
        <v>828</v>
      </c>
      <c r="B647" t="s">
        <v>2266</v>
      </c>
      <c r="C647" t="s">
        <v>2267</v>
      </c>
      <c r="D647" t="s">
        <v>21</v>
      </c>
      <c r="E647" t="s">
        <v>22</v>
      </c>
      <c r="F647">
        <v>5</v>
      </c>
      <c r="G647" s="2">
        <v>46286.354166666664</v>
      </c>
      <c r="H647" s="2">
        <v>46409.729166666664</v>
      </c>
      <c r="I647" s="1">
        <v>46162</v>
      </c>
      <c r="J647" t="s">
        <v>1849</v>
      </c>
      <c r="K647" t="s">
        <v>1199</v>
      </c>
      <c r="P647" s="10"/>
    </row>
    <row r="648" spans="1:16">
      <c r="A648" t="s">
        <v>828</v>
      </c>
      <c r="B648" t="s">
        <v>2268</v>
      </c>
      <c r="C648" t="s">
        <v>2269</v>
      </c>
      <c r="D648" t="s">
        <v>21</v>
      </c>
      <c r="E648" t="s">
        <v>22</v>
      </c>
      <c r="F648">
        <v>0</v>
      </c>
      <c r="G648" s="2">
        <v>46286.354166666664</v>
      </c>
      <c r="H648" s="2">
        <v>46409.729166666664</v>
      </c>
      <c r="I648" s="1">
        <v>45470</v>
      </c>
      <c r="J648" t="s">
        <v>1849</v>
      </c>
      <c r="K648" t="s">
        <v>1199</v>
      </c>
      <c r="P648" s="10"/>
    </row>
    <row r="649" spans="1:16">
      <c r="A649" t="s">
        <v>828</v>
      </c>
      <c r="B649" t="s">
        <v>2270</v>
      </c>
      <c r="C649" t="s">
        <v>2271</v>
      </c>
      <c r="D649" t="s">
        <v>21</v>
      </c>
      <c r="E649" t="s">
        <v>22</v>
      </c>
      <c r="F649">
        <v>10</v>
      </c>
      <c r="G649" s="2">
        <v>46286.354166666664</v>
      </c>
      <c r="H649" s="2">
        <v>46409.729166666664</v>
      </c>
      <c r="I649" s="1">
        <v>46163</v>
      </c>
      <c r="J649" t="s">
        <v>1849</v>
      </c>
      <c r="K649" t="s">
        <v>1199</v>
      </c>
      <c r="P649" s="10"/>
    </row>
    <row r="650" spans="1:16">
      <c r="A650" t="s">
        <v>828</v>
      </c>
      <c r="B650" t="s">
        <v>2272</v>
      </c>
      <c r="C650" t="s">
        <v>2273</v>
      </c>
      <c r="D650" t="s">
        <v>21</v>
      </c>
      <c r="E650" t="s">
        <v>22</v>
      </c>
      <c r="F650">
        <v>4</v>
      </c>
      <c r="G650" s="2">
        <v>46286.354166666664</v>
      </c>
      <c r="H650" s="2">
        <v>46409.729166666664</v>
      </c>
      <c r="I650" s="1">
        <v>46161</v>
      </c>
      <c r="J650" t="s">
        <v>1849</v>
      </c>
      <c r="K650" t="s">
        <v>1199</v>
      </c>
      <c r="P650" s="10"/>
    </row>
    <row r="651" spans="1:16">
      <c r="A651" t="s">
        <v>828</v>
      </c>
      <c r="B651" t="s">
        <v>2274</v>
      </c>
      <c r="C651" t="s">
        <v>2275</v>
      </c>
      <c r="D651" t="s">
        <v>21</v>
      </c>
      <c r="E651" t="s">
        <v>22</v>
      </c>
      <c r="F651">
        <v>5</v>
      </c>
      <c r="G651" s="2">
        <v>46286.354166666664</v>
      </c>
      <c r="H651" s="2">
        <v>46409.729166666664</v>
      </c>
      <c r="I651" s="1">
        <v>46163</v>
      </c>
      <c r="J651" t="s">
        <v>1849</v>
      </c>
      <c r="K651" t="s">
        <v>1199</v>
      </c>
      <c r="P651" s="10"/>
    </row>
    <row r="652" spans="1:16">
      <c r="A652" t="s">
        <v>828</v>
      </c>
      <c r="B652" t="s">
        <v>2276</v>
      </c>
      <c r="C652" t="s">
        <v>2277</v>
      </c>
      <c r="D652" t="s">
        <v>21</v>
      </c>
      <c r="E652" t="s">
        <v>22</v>
      </c>
      <c r="F652">
        <v>8</v>
      </c>
      <c r="G652" s="2">
        <v>46286.354166666664</v>
      </c>
      <c r="H652" s="2">
        <v>46409.729166666664</v>
      </c>
      <c r="I652" s="1">
        <v>46161</v>
      </c>
      <c r="J652" t="s">
        <v>1849</v>
      </c>
      <c r="K652" t="s">
        <v>1199</v>
      </c>
      <c r="P652" s="10"/>
    </row>
    <row r="653" spans="1:16">
      <c r="A653" t="s">
        <v>828</v>
      </c>
      <c r="B653" t="s">
        <v>2278</v>
      </c>
      <c r="C653" t="s">
        <v>2279</v>
      </c>
      <c r="D653" t="s">
        <v>21</v>
      </c>
      <c r="E653" t="s">
        <v>22</v>
      </c>
      <c r="F653">
        <v>5</v>
      </c>
      <c r="G653" s="2">
        <v>46286.354166666664</v>
      </c>
      <c r="H653" s="2">
        <v>46409.729166666664</v>
      </c>
      <c r="I653" s="1">
        <v>46162</v>
      </c>
      <c r="J653" t="s">
        <v>1849</v>
      </c>
      <c r="K653" t="s">
        <v>1199</v>
      </c>
      <c r="P653" s="10"/>
    </row>
    <row r="654" spans="1:16">
      <c r="A654" t="s">
        <v>828</v>
      </c>
      <c r="B654" t="s">
        <v>2280</v>
      </c>
      <c r="C654" t="s">
        <v>2281</v>
      </c>
      <c r="D654" t="s">
        <v>21</v>
      </c>
      <c r="E654" t="s">
        <v>22</v>
      </c>
      <c r="F654">
        <v>2</v>
      </c>
      <c r="G654" s="2">
        <v>46286.354166666664</v>
      </c>
      <c r="H654" s="2">
        <v>46409.729166666664</v>
      </c>
      <c r="I654" s="1">
        <v>46153</v>
      </c>
      <c r="J654" t="s">
        <v>1849</v>
      </c>
      <c r="K654" t="s">
        <v>1199</v>
      </c>
      <c r="P654" s="10"/>
    </row>
    <row r="655" spans="1:16">
      <c r="A655" t="s">
        <v>828</v>
      </c>
      <c r="B655" t="s">
        <v>2282</v>
      </c>
      <c r="C655" t="s">
        <v>2283</v>
      </c>
      <c r="D655" t="s">
        <v>21</v>
      </c>
      <c r="E655" t="s">
        <v>22</v>
      </c>
      <c r="F655">
        <v>4</v>
      </c>
      <c r="G655" s="2">
        <v>46286.354166666664</v>
      </c>
      <c r="H655" s="2">
        <v>46409.729166666664</v>
      </c>
      <c r="I655" s="1">
        <v>46155</v>
      </c>
      <c r="J655" t="s">
        <v>1849</v>
      </c>
      <c r="K655" t="s">
        <v>1199</v>
      </c>
      <c r="P655" s="10"/>
    </row>
    <row r="656" spans="1:16">
      <c r="A656" t="s">
        <v>828</v>
      </c>
      <c r="B656" t="s">
        <v>2284</v>
      </c>
      <c r="C656" t="s">
        <v>2285</v>
      </c>
      <c r="D656" t="s">
        <v>21</v>
      </c>
      <c r="E656" t="s">
        <v>22</v>
      </c>
      <c r="F656">
        <v>3</v>
      </c>
      <c r="G656" s="2">
        <v>46286.354166666664</v>
      </c>
      <c r="H656" s="2">
        <v>46409.729166666664</v>
      </c>
      <c r="I656" s="1">
        <v>46160</v>
      </c>
      <c r="J656" t="s">
        <v>1849</v>
      </c>
      <c r="K656" t="s">
        <v>1199</v>
      </c>
      <c r="P656" s="10"/>
    </row>
    <row r="657" spans="1:16">
      <c r="A657" t="s">
        <v>828</v>
      </c>
      <c r="B657" t="s">
        <v>2286</v>
      </c>
      <c r="C657" t="s">
        <v>2287</v>
      </c>
      <c r="D657" t="s">
        <v>21</v>
      </c>
      <c r="E657" t="s">
        <v>22</v>
      </c>
      <c r="F657">
        <v>1</v>
      </c>
      <c r="G657" s="2">
        <v>46286.354166666664</v>
      </c>
      <c r="H657" s="2">
        <v>46409.729166666664</v>
      </c>
      <c r="I657" s="1">
        <v>46155</v>
      </c>
      <c r="J657" t="s">
        <v>1849</v>
      </c>
      <c r="K657" t="s">
        <v>1199</v>
      </c>
      <c r="P657" s="10"/>
    </row>
    <row r="658" spans="1:16">
      <c r="A658" t="s">
        <v>828</v>
      </c>
      <c r="B658" t="s">
        <v>2288</v>
      </c>
      <c r="C658" t="s">
        <v>2289</v>
      </c>
      <c r="D658" t="s">
        <v>21</v>
      </c>
      <c r="E658" t="s">
        <v>22</v>
      </c>
      <c r="F658">
        <v>4</v>
      </c>
      <c r="G658" s="2">
        <v>46286.354166666664</v>
      </c>
      <c r="H658" s="2">
        <v>46409.729166666664</v>
      </c>
      <c r="I658" s="1">
        <v>46162</v>
      </c>
      <c r="J658" t="s">
        <v>1849</v>
      </c>
      <c r="K658" t="s">
        <v>1199</v>
      </c>
      <c r="P658" s="10"/>
    </row>
    <row r="659" spans="1:16">
      <c r="A659" t="s">
        <v>828</v>
      </c>
      <c r="B659" t="s">
        <v>2290</v>
      </c>
      <c r="C659" t="s">
        <v>2291</v>
      </c>
      <c r="D659" t="s">
        <v>21</v>
      </c>
      <c r="E659" t="s">
        <v>22</v>
      </c>
      <c r="F659">
        <v>2</v>
      </c>
      <c r="G659" s="2">
        <v>46286.354166666664</v>
      </c>
      <c r="H659" s="2">
        <v>46409.729166666664</v>
      </c>
      <c r="I659" s="1">
        <v>46162</v>
      </c>
      <c r="J659" t="s">
        <v>1849</v>
      </c>
      <c r="K659" t="s">
        <v>1199</v>
      </c>
      <c r="P659" s="10"/>
    </row>
    <row r="660" spans="1:16">
      <c r="A660" t="s">
        <v>828</v>
      </c>
      <c r="B660" t="s">
        <v>2292</v>
      </c>
      <c r="C660" t="s">
        <v>2293</v>
      </c>
      <c r="D660" t="s">
        <v>21</v>
      </c>
      <c r="E660" t="s">
        <v>22</v>
      </c>
      <c r="F660">
        <v>3</v>
      </c>
      <c r="G660" s="2">
        <v>46286.354166666664</v>
      </c>
      <c r="H660" s="2">
        <v>46409.729166666664</v>
      </c>
      <c r="I660" s="1">
        <v>46163</v>
      </c>
      <c r="J660" t="s">
        <v>1849</v>
      </c>
      <c r="K660" t="s">
        <v>1199</v>
      </c>
      <c r="P660" s="10"/>
    </row>
    <row r="661" spans="1:16">
      <c r="A661" t="s">
        <v>828</v>
      </c>
      <c r="B661" t="s">
        <v>2294</v>
      </c>
      <c r="C661" t="s">
        <v>2295</v>
      </c>
      <c r="D661" t="s">
        <v>21</v>
      </c>
      <c r="E661" t="s">
        <v>22</v>
      </c>
      <c r="F661">
        <v>0</v>
      </c>
      <c r="G661" s="2">
        <v>46286.354166666664</v>
      </c>
      <c r="H661" s="2">
        <v>46409.729166666664</v>
      </c>
      <c r="I661" s="1">
        <v>45315</v>
      </c>
      <c r="J661" t="s">
        <v>1849</v>
      </c>
      <c r="K661" t="s">
        <v>1199</v>
      </c>
      <c r="P661" s="10"/>
    </row>
    <row r="662" spans="1:16">
      <c r="A662" t="s">
        <v>828</v>
      </c>
      <c r="B662" t="s">
        <v>2296</v>
      </c>
      <c r="C662" t="s">
        <v>2297</v>
      </c>
      <c r="D662" t="s">
        <v>21</v>
      </c>
      <c r="E662" t="s">
        <v>22</v>
      </c>
      <c r="F662">
        <v>0</v>
      </c>
      <c r="G662" s="2">
        <v>46286.354166666664</v>
      </c>
      <c r="H662" s="2">
        <v>46409.729166666664</v>
      </c>
      <c r="I662" t="s">
        <v>198</v>
      </c>
      <c r="J662" t="s">
        <v>1849</v>
      </c>
      <c r="K662" t="s">
        <v>1199</v>
      </c>
      <c r="P662" s="10"/>
    </row>
    <row r="663" spans="1:16">
      <c r="A663" t="s">
        <v>828</v>
      </c>
      <c r="B663" t="s">
        <v>2298</v>
      </c>
      <c r="C663" t="s">
        <v>2299</v>
      </c>
      <c r="D663" t="s">
        <v>21</v>
      </c>
      <c r="E663" t="s">
        <v>22</v>
      </c>
      <c r="F663">
        <v>0</v>
      </c>
      <c r="G663" s="2">
        <v>46286.354166666664</v>
      </c>
      <c r="H663" s="2">
        <v>46409.729166666664</v>
      </c>
      <c r="I663" t="s">
        <v>198</v>
      </c>
      <c r="J663" t="s">
        <v>1849</v>
      </c>
      <c r="K663" t="s">
        <v>1199</v>
      </c>
      <c r="P663" s="10"/>
    </row>
    <row r="664" spans="1:16">
      <c r="A664" t="s">
        <v>828</v>
      </c>
      <c r="B664" t="s">
        <v>2300</v>
      </c>
      <c r="C664" t="s">
        <v>2301</v>
      </c>
      <c r="D664" t="s">
        <v>21</v>
      </c>
      <c r="E664" t="s">
        <v>22</v>
      </c>
      <c r="F664">
        <v>1</v>
      </c>
      <c r="G664" s="2">
        <v>46286.354166666664</v>
      </c>
      <c r="H664" s="2">
        <v>46409.729166666664</v>
      </c>
      <c r="I664" s="1">
        <v>46153</v>
      </c>
      <c r="J664" t="s">
        <v>1849</v>
      </c>
      <c r="K664" t="s">
        <v>1199</v>
      </c>
      <c r="P664" s="10"/>
    </row>
    <row r="665" spans="1:16">
      <c r="A665" t="s">
        <v>828</v>
      </c>
      <c r="B665" t="s">
        <v>2302</v>
      </c>
      <c r="C665" t="s">
        <v>2303</v>
      </c>
      <c r="D665" t="s">
        <v>21</v>
      </c>
      <c r="E665" t="s">
        <v>22</v>
      </c>
      <c r="F665">
        <v>3</v>
      </c>
      <c r="G665" s="2">
        <v>46286.354166666664</v>
      </c>
      <c r="H665" s="2">
        <v>46409.729166666664</v>
      </c>
      <c r="I665" s="1">
        <v>46163</v>
      </c>
      <c r="J665" t="s">
        <v>1849</v>
      </c>
      <c r="K665" t="s">
        <v>1199</v>
      </c>
      <c r="P665" s="10"/>
    </row>
    <row r="666" spans="1:16">
      <c r="A666" t="s">
        <v>828</v>
      </c>
      <c r="B666" t="s">
        <v>2304</v>
      </c>
      <c r="C666" t="s">
        <v>2305</v>
      </c>
      <c r="D666" t="s">
        <v>21</v>
      </c>
      <c r="E666" t="s">
        <v>22</v>
      </c>
      <c r="F666">
        <v>1</v>
      </c>
      <c r="G666" s="2">
        <v>46286.354166666664</v>
      </c>
      <c r="H666" s="2">
        <v>46409.729166666664</v>
      </c>
      <c r="I666" s="1">
        <v>46161</v>
      </c>
      <c r="J666" t="s">
        <v>1849</v>
      </c>
      <c r="K666" t="s">
        <v>1199</v>
      </c>
      <c r="P666" s="10"/>
    </row>
    <row r="667" spans="1:16">
      <c r="A667" t="s">
        <v>828</v>
      </c>
      <c r="B667" t="s">
        <v>2306</v>
      </c>
      <c r="C667" t="s">
        <v>2307</v>
      </c>
      <c r="D667" t="s">
        <v>21</v>
      </c>
      <c r="E667" t="s">
        <v>22</v>
      </c>
      <c r="F667">
        <v>0</v>
      </c>
      <c r="G667" s="2">
        <v>46286.354166666664</v>
      </c>
      <c r="H667" s="2">
        <v>46409.729166666664</v>
      </c>
      <c r="I667" s="1">
        <v>46062</v>
      </c>
      <c r="J667" t="s">
        <v>1849</v>
      </c>
      <c r="K667" t="s">
        <v>1199</v>
      </c>
      <c r="P667" s="10"/>
    </row>
    <row r="668" spans="1:16">
      <c r="A668" t="s">
        <v>828</v>
      </c>
      <c r="B668" t="s">
        <v>2308</v>
      </c>
      <c r="C668" t="s">
        <v>2309</v>
      </c>
      <c r="D668" t="s">
        <v>21</v>
      </c>
      <c r="E668" t="s">
        <v>22</v>
      </c>
      <c r="F668">
        <v>2</v>
      </c>
      <c r="G668" s="2">
        <v>46286.354166666664</v>
      </c>
      <c r="H668" s="2">
        <v>46409.729166666664</v>
      </c>
      <c r="I668" s="1">
        <v>46161</v>
      </c>
      <c r="J668" t="s">
        <v>1849</v>
      </c>
      <c r="K668" t="s">
        <v>1199</v>
      </c>
      <c r="P668" s="10"/>
    </row>
    <row r="669" spans="1:16">
      <c r="A669" t="s">
        <v>828</v>
      </c>
      <c r="B669" t="s">
        <v>2310</v>
      </c>
      <c r="C669" t="s">
        <v>2311</v>
      </c>
      <c r="D669" t="s">
        <v>21</v>
      </c>
      <c r="E669" t="s">
        <v>22</v>
      </c>
      <c r="F669">
        <v>1</v>
      </c>
      <c r="G669" s="2">
        <v>46286.354166666664</v>
      </c>
      <c r="H669" s="2">
        <v>46409.729166666664</v>
      </c>
      <c r="I669" s="1">
        <v>46155</v>
      </c>
      <c r="J669" t="s">
        <v>1849</v>
      </c>
      <c r="K669" t="s">
        <v>1199</v>
      </c>
      <c r="P669" s="10"/>
    </row>
    <row r="670" spans="1:16">
      <c r="A670" t="s">
        <v>828</v>
      </c>
      <c r="B670" t="s">
        <v>2312</v>
      </c>
      <c r="C670" t="s">
        <v>2313</v>
      </c>
      <c r="D670" t="s">
        <v>21</v>
      </c>
      <c r="E670" t="s">
        <v>22</v>
      </c>
      <c r="F670">
        <v>0</v>
      </c>
      <c r="G670" s="2">
        <v>46286.354166666664</v>
      </c>
      <c r="H670" s="2">
        <v>46409.729166666664</v>
      </c>
      <c r="I670" t="s">
        <v>198</v>
      </c>
      <c r="J670" t="s">
        <v>1849</v>
      </c>
      <c r="K670" t="s">
        <v>1199</v>
      </c>
      <c r="P670" s="10"/>
    </row>
    <row r="671" spans="1:16">
      <c r="A671" t="s">
        <v>828</v>
      </c>
      <c r="B671" t="s">
        <v>2314</v>
      </c>
      <c r="C671" t="s">
        <v>2315</v>
      </c>
      <c r="D671" t="s">
        <v>21</v>
      </c>
      <c r="E671" t="s">
        <v>22</v>
      </c>
      <c r="F671">
        <v>0</v>
      </c>
      <c r="G671" s="2">
        <v>46286.354166666664</v>
      </c>
      <c r="H671" s="2">
        <v>46409.729166666664</v>
      </c>
      <c r="I671" t="s">
        <v>198</v>
      </c>
      <c r="J671" t="s">
        <v>1849</v>
      </c>
      <c r="K671" t="s">
        <v>1199</v>
      </c>
      <c r="P671" s="10"/>
    </row>
    <row r="672" spans="1:16">
      <c r="A672" t="s">
        <v>828</v>
      </c>
      <c r="B672" t="s">
        <v>2316</v>
      </c>
      <c r="C672" t="s">
        <v>2317</v>
      </c>
      <c r="D672" t="s">
        <v>21</v>
      </c>
      <c r="E672" t="s">
        <v>22</v>
      </c>
      <c r="F672">
        <v>0</v>
      </c>
      <c r="G672" s="2">
        <v>46286.354166666664</v>
      </c>
      <c r="H672" s="2">
        <v>46409.729166666664</v>
      </c>
      <c r="I672" t="s">
        <v>198</v>
      </c>
      <c r="J672" t="s">
        <v>1849</v>
      </c>
      <c r="K672" t="s">
        <v>1199</v>
      </c>
      <c r="P672" s="10"/>
    </row>
    <row r="673" spans="1:16">
      <c r="A673" t="s">
        <v>828</v>
      </c>
      <c r="B673" t="s">
        <v>2318</v>
      </c>
      <c r="C673" t="s">
        <v>2319</v>
      </c>
      <c r="D673" t="s">
        <v>21</v>
      </c>
      <c r="E673" t="s">
        <v>22</v>
      </c>
      <c r="F673">
        <v>2</v>
      </c>
      <c r="G673" s="2">
        <v>46286.520833333336</v>
      </c>
      <c r="H673" s="2">
        <v>46409.5625</v>
      </c>
      <c r="I673" s="1">
        <v>46162</v>
      </c>
      <c r="J673" t="s">
        <v>1970</v>
      </c>
      <c r="K673" t="s">
        <v>1199</v>
      </c>
      <c r="P673" s="10"/>
    </row>
    <row r="674" spans="1:16">
      <c r="A674" t="s">
        <v>828</v>
      </c>
      <c r="B674" t="s">
        <v>2320</v>
      </c>
      <c r="C674" t="s">
        <v>2321</v>
      </c>
      <c r="D674" t="s">
        <v>21</v>
      </c>
      <c r="E674" t="s">
        <v>22</v>
      </c>
      <c r="F674">
        <v>25</v>
      </c>
      <c r="G674" s="2">
        <v>46286.506944444445</v>
      </c>
      <c r="H674" s="2">
        <v>46409.5625</v>
      </c>
      <c r="I674" s="1">
        <v>46163</v>
      </c>
      <c r="J674" t="s">
        <v>1973</v>
      </c>
      <c r="K674" t="s">
        <v>1199</v>
      </c>
      <c r="P674" s="10"/>
    </row>
    <row r="675" spans="1:16">
      <c r="A675" t="s">
        <v>828</v>
      </c>
      <c r="B675" t="s">
        <v>2322</v>
      </c>
      <c r="C675" t="s">
        <v>2323</v>
      </c>
      <c r="D675" t="s">
        <v>21</v>
      </c>
      <c r="E675" t="s">
        <v>22</v>
      </c>
      <c r="F675">
        <v>81</v>
      </c>
      <c r="G675" s="2">
        <v>46286.354166666664</v>
      </c>
      <c r="H675" s="2">
        <v>46409.729166666664</v>
      </c>
      <c r="I675" s="1">
        <v>46163</v>
      </c>
      <c r="J675" t="s">
        <v>1849</v>
      </c>
      <c r="K675" t="s">
        <v>1199</v>
      </c>
      <c r="P675" s="10"/>
    </row>
    <row r="676" spans="1:16">
      <c r="A676" t="s">
        <v>828</v>
      </c>
      <c r="B676" t="s">
        <v>2324</v>
      </c>
      <c r="C676" t="s">
        <v>2325</v>
      </c>
      <c r="D676" t="s">
        <v>21</v>
      </c>
      <c r="E676" t="s">
        <v>22</v>
      </c>
      <c r="F676">
        <v>70</v>
      </c>
      <c r="G676" s="2">
        <v>46286.354166666664</v>
      </c>
      <c r="H676" s="2">
        <v>46409.729166666664</v>
      </c>
      <c r="I676" s="1">
        <v>46162</v>
      </c>
      <c r="J676" t="s">
        <v>1849</v>
      </c>
      <c r="K676" t="s">
        <v>1199</v>
      </c>
      <c r="P676" s="10"/>
    </row>
    <row r="677" spans="1:16">
      <c r="A677" t="s">
        <v>828</v>
      </c>
      <c r="B677" t="s">
        <v>2326</v>
      </c>
      <c r="C677" t="s">
        <v>2327</v>
      </c>
      <c r="D677" t="s">
        <v>21</v>
      </c>
      <c r="E677" t="s">
        <v>22</v>
      </c>
      <c r="F677">
        <v>76</v>
      </c>
      <c r="G677" s="2">
        <v>46286.354166666664</v>
      </c>
      <c r="H677" s="2">
        <v>46409.729166666664</v>
      </c>
      <c r="I677" s="1">
        <v>46163</v>
      </c>
      <c r="J677" t="s">
        <v>1849</v>
      </c>
      <c r="K677" t="s">
        <v>1199</v>
      </c>
      <c r="P677" s="10"/>
    </row>
    <row r="678" spans="1:16">
      <c r="A678" t="s">
        <v>828</v>
      </c>
      <c r="B678" t="s">
        <v>2328</v>
      </c>
      <c r="C678" t="s">
        <v>2329</v>
      </c>
      <c r="D678" t="s">
        <v>21</v>
      </c>
      <c r="E678" t="s">
        <v>22</v>
      </c>
      <c r="F678">
        <v>77</v>
      </c>
      <c r="G678" s="2">
        <v>46286.354166666664</v>
      </c>
      <c r="H678" s="2">
        <v>46409.729166666664</v>
      </c>
      <c r="I678" s="1">
        <v>46163</v>
      </c>
      <c r="J678" t="s">
        <v>1849</v>
      </c>
      <c r="K678" t="s">
        <v>1199</v>
      </c>
      <c r="P678" s="10"/>
    </row>
    <row r="679" spans="1:16">
      <c r="A679" t="s">
        <v>828</v>
      </c>
      <c r="B679" t="s">
        <v>2330</v>
      </c>
      <c r="C679" t="s">
        <v>2331</v>
      </c>
      <c r="D679" t="s">
        <v>21</v>
      </c>
      <c r="E679" t="s">
        <v>22</v>
      </c>
      <c r="F679">
        <v>69</v>
      </c>
      <c r="G679" s="2">
        <v>46286.354166666664</v>
      </c>
      <c r="H679" s="2">
        <v>46409.729166666664</v>
      </c>
      <c r="I679" s="1">
        <v>46162</v>
      </c>
      <c r="J679" t="s">
        <v>1849</v>
      </c>
      <c r="K679" t="s">
        <v>1199</v>
      </c>
      <c r="P679" s="10"/>
    </row>
    <row r="680" spans="1:16">
      <c r="A680" t="s">
        <v>828</v>
      </c>
      <c r="B680" t="s">
        <v>2332</v>
      </c>
      <c r="C680" t="s">
        <v>2333</v>
      </c>
      <c r="D680" t="s">
        <v>21</v>
      </c>
      <c r="E680" t="s">
        <v>22</v>
      </c>
      <c r="F680">
        <v>59</v>
      </c>
      <c r="G680" s="2">
        <v>46286.354166666664</v>
      </c>
      <c r="H680" s="2">
        <v>46409.729166666664</v>
      </c>
      <c r="I680" s="1">
        <v>46163</v>
      </c>
      <c r="J680" t="s">
        <v>1849</v>
      </c>
      <c r="K680" t="s">
        <v>1199</v>
      </c>
      <c r="P680" s="10"/>
    </row>
    <row r="681" spans="1:16">
      <c r="A681" t="s">
        <v>828</v>
      </c>
      <c r="B681" t="s">
        <v>2334</v>
      </c>
      <c r="C681" t="s">
        <v>2335</v>
      </c>
      <c r="D681" t="s">
        <v>21</v>
      </c>
      <c r="E681" t="s">
        <v>22</v>
      </c>
      <c r="F681">
        <v>52</v>
      </c>
      <c r="G681" s="2">
        <v>46286.354166666664</v>
      </c>
      <c r="H681" s="2">
        <v>46409.729166666664</v>
      </c>
      <c r="I681" s="1">
        <v>46162</v>
      </c>
      <c r="J681" t="s">
        <v>1849</v>
      </c>
      <c r="K681" t="s">
        <v>1199</v>
      </c>
      <c r="P681" s="10"/>
    </row>
    <row r="682" spans="1:16">
      <c r="A682" t="s">
        <v>828</v>
      </c>
      <c r="B682" t="s">
        <v>2336</v>
      </c>
      <c r="C682" t="s">
        <v>2337</v>
      </c>
      <c r="D682" t="s">
        <v>21</v>
      </c>
      <c r="E682" t="s">
        <v>22</v>
      </c>
      <c r="F682">
        <v>53</v>
      </c>
      <c r="G682" s="2">
        <v>46286.354166666664</v>
      </c>
      <c r="H682" s="2">
        <v>46409.729166666664</v>
      </c>
      <c r="I682" s="1">
        <v>46163</v>
      </c>
      <c r="J682" t="s">
        <v>1849</v>
      </c>
      <c r="K682" t="s">
        <v>1199</v>
      </c>
      <c r="P682" s="10"/>
    </row>
    <row r="683" spans="1:16">
      <c r="A683" t="s">
        <v>828</v>
      </c>
      <c r="B683" t="s">
        <v>2338</v>
      </c>
      <c r="C683" t="s">
        <v>2339</v>
      </c>
      <c r="D683" t="s">
        <v>21</v>
      </c>
      <c r="E683" t="s">
        <v>22</v>
      </c>
      <c r="F683">
        <v>6</v>
      </c>
      <c r="G683" s="2">
        <v>46286.354166666664</v>
      </c>
      <c r="H683" s="2">
        <v>46409.729166666664</v>
      </c>
      <c r="I683" s="1">
        <v>46161</v>
      </c>
      <c r="J683" t="s">
        <v>1849</v>
      </c>
      <c r="K683" t="s">
        <v>1199</v>
      </c>
      <c r="P683" s="10"/>
    </row>
    <row r="684" spans="1:16">
      <c r="A684" t="s">
        <v>828</v>
      </c>
      <c r="B684" t="s">
        <v>2340</v>
      </c>
      <c r="C684" t="s">
        <v>2341</v>
      </c>
      <c r="D684" t="s">
        <v>21</v>
      </c>
      <c r="E684" t="s">
        <v>22</v>
      </c>
      <c r="F684">
        <v>4</v>
      </c>
      <c r="G684" s="2">
        <v>46286.354166666664</v>
      </c>
      <c r="H684" s="2">
        <v>46409.729166666664</v>
      </c>
      <c r="I684" s="1">
        <v>46153</v>
      </c>
      <c r="J684" t="s">
        <v>1849</v>
      </c>
      <c r="K684" t="s">
        <v>1199</v>
      </c>
      <c r="P684" s="10"/>
    </row>
    <row r="685" spans="1:16">
      <c r="A685" t="s">
        <v>828</v>
      </c>
      <c r="B685" t="s">
        <v>2342</v>
      </c>
      <c r="C685" t="s">
        <v>2343</v>
      </c>
      <c r="D685" t="s">
        <v>21</v>
      </c>
      <c r="E685" t="s">
        <v>22</v>
      </c>
      <c r="F685">
        <v>11</v>
      </c>
      <c r="G685" s="2">
        <v>46286.354166666664</v>
      </c>
      <c r="H685" s="2">
        <v>46409.729166666664</v>
      </c>
      <c r="I685" s="1">
        <v>46162</v>
      </c>
      <c r="J685" t="s">
        <v>1849</v>
      </c>
      <c r="K685" t="s">
        <v>1199</v>
      </c>
      <c r="P685" s="10"/>
    </row>
    <row r="686" spans="1:16">
      <c r="A686" t="s">
        <v>828</v>
      </c>
      <c r="B686" t="s">
        <v>2344</v>
      </c>
      <c r="C686" t="s">
        <v>2345</v>
      </c>
      <c r="D686" t="s">
        <v>21</v>
      </c>
      <c r="E686" t="s">
        <v>22</v>
      </c>
      <c r="F686">
        <v>3</v>
      </c>
      <c r="G686" s="2">
        <v>46286.354166666664</v>
      </c>
      <c r="H686" s="2">
        <v>46409.729166666664</v>
      </c>
      <c r="I686" s="1">
        <v>46158</v>
      </c>
      <c r="J686" t="s">
        <v>1849</v>
      </c>
      <c r="K686" t="s">
        <v>1199</v>
      </c>
      <c r="P686" s="10"/>
    </row>
    <row r="687" spans="1:16">
      <c r="A687" t="s">
        <v>828</v>
      </c>
      <c r="B687" t="s">
        <v>2346</v>
      </c>
      <c r="C687" t="s">
        <v>2347</v>
      </c>
      <c r="D687" t="s">
        <v>21</v>
      </c>
      <c r="E687" t="s">
        <v>22</v>
      </c>
      <c r="F687">
        <v>9</v>
      </c>
      <c r="G687" s="2">
        <v>46286.354166666664</v>
      </c>
      <c r="H687" s="2">
        <v>46409.729166666664</v>
      </c>
      <c r="I687" s="1">
        <v>46162</v>
      </c>
      <c r="J687" t="s">
        <v>1849</v>
      </c>
      <c r="K687" t="s">
        <v>1199</v>
      </c>
      <c r="P687" s="10"/>
    </row>
    <row r="688" spans="1:16">
      <c r="A688" t="s">
        <v>828</v>
      </c>
      <c r="B688" t="s">
        <v>2348</v>
      </c>
      <c r="C688" t="s">
        <v>2349</v>
      </c>
      <c r="D688" t="s">
        <v>21</v>
      </c>
      <c r="E688" t="s">
        <v>22</v>
      </c>
      <c r="F688">
        <v>2</v>
      </c>
      <c r="G688" s="2">
        <v>46286.354166666664</v>
      </c>
      <c r="H688" s="2">
        <v>46409.729166666664</v>
      </c>
      <c r="I688" s="1">
        <v>46160</v>
      </c>
      <c r="J688" t="s">
        <v>1849</v>
      </c>
      <c r="K688" t="s">
        <v>1199</v>
      </c>
      <c r="P688" s="10"/>
    </row>
    <row r="689" spans="1:16">
      <c r="A689" t="s">
        <v>828</v>
      </c>
      <c r="B689" t="s">
        <v>2350</v>
      </c>
      <c r="C689" t="s">
        <v>2351</v>
      </c>
      <c r="D689" t="s">
        <v>21</v>
      </c>
      <c r="E689" t="s">
        <v>22</v>
      </c>
      <c r="F689">
        <v>0</v>
      </c>
      <c r="G689" s="2">
        <v>46286.354166666664</v>
      </c>
      <c r="H689" s="2">
        <v>46409.729166666664</v>
      </c>
      <c r="I689" s="1">
        <v>46046</v>
      </c>
      <c r="J689" t="s">
        <v>1849</v>
      </c>
      <c r="K689" t="s">
        <v>1199</v>
      </c>
      <c r="P689" s="10"/>
    </row>
    <row r="690" spans="1:16">
      <c r="A690" t="s">
        <v>828</v>
      </c>
      <c r="B690" t="s">
        <v>2352</v>
      </c>
      <c r="C690" t="s">
        <v>2353</v>
      </c>
      <c r="D690" t="s">
        <v>21</v>
      </c>
      <c r="E690" t="s">
        <v>22</v>
      </c>
      <c r="F690">
        <v>0</v>
      </c>
      <c r="G690" s="2">
        <v>46286.354166666664</v>
      </c>
      <c r="H690" s="2">
        <v>46409.729166666664</v>
      </c>
      <c r="I690" s="1">
        <v>46107</v>
      </c>
      <c r="J690" t="s">
        <v>1849</v>
      </c>
      <c r="K690" t="s">
        <v>1199</v>
      </c>
      <c r="P690" s="10"/>
    </row>
    <row r="691" spans="1:16">
      <c r="A691" t="s">
        <v>828</v>
      </c>
      <c r="B691" t="s">
        <v>2354</v>
      </c>
      <c r="C691" t="s">
        <v>2355</v>
      </c>
      <c r="D691" t="s">
        <v>21</v>
      </c>
      <c r="E691" t="s">
        <v>22</v>
      </c>
      <c r="F691">
        <v>8</v>
      </c>
      <c r="G691" s="2">
        <v>46286.354166666664</v>
      </c>
      <c r="H691" s="2">
        <v>46409.729166666664</v>
      </c>
      <c r="I691" s="1">
        <v>46162</v>
      </c>
      <c r="J691" t="s">
        <v>1849</v>
      </c>
      <c r="K691" t="s">
        <v>1199</v>
      </c>
      <c r="P691" s="10"/>
    </row>
    <row r="692" spans="1:16">
      <c r="A692" t="s">
        <v>828</v>
      </c>
      <c r="B692" t="s">
        <v>2356</v>
      </c>
      <c r="C692" t="s">
        <v>2357</v>
      </c>
      <c r="D692" t="s">
        <v>21</v>
      </c>
      <c r="E692" t="s">
        <v>22</v>
      </c>
      <c r="F692">
        <v>4</v>
      </c>
      <c r="G692" s="2">
        <v>46286.354166666664</v>
      </c>
      <c r="H692" s="2">
        <v>46409.729166666664</v>
      </c>
      <c r="I692" s="1">
        <v>46161</v>
      </c>
      <c r="J692" t="s">
        <v>1849</v>
      </c>
      <c r="K692" t="s">
        <v>1199</v>
      </c>
      <c r="P692" s="10"/>
    </row>
    <row r="693" spans="1:16">
      <c r="A693" t="s">
        <v>828</v>
      </c>
      <c r="B693" t="s">
        <v>2358</v>
      </c>
      <c r="C693" t="s">
        <v>2359</v>
      </c>
      <c r="D693" t="s">
        <v>21</v>
      </c>
      <c r="E693" t="s">
        <v>22</v>
      </c>
      <c r="F693">
        <v>0</v>
      </c>
      <c r="G693" s="2">
        <v>46286.354166666664</v>
      </c>
      <c r="H693" s="2">
        <v>46409.729166666664</v>
      </c>
      <c r="I693" s="1">
        <v>46103</v>
      </c>
      <c r="J693" t="s">
        <v>1849</v>
      </c>
      <c r="K693" t="s">
        <v>1199</v>
      </c>
      <c r="P693" s="10"/>
    </row>
    <row r="694" spans="1:16">
      <c r="A694" t="s">
        <v>828</v>
      </c>
      <c r="B694" t="s">
        <v>2360</v>
      </c>
      <c r="C694" t="s">
        <v>2361</v>
      </c>
      <c r="D694" t="s">
        <v>21</v>
      </c>
      <c r="E694" t="s">
        <v>22</v>
      </c>
      <c r="F694">
        <v>9</v>
      </c>
      <c r="G694" s="2">
        <v>46286.354166666664</v>
      </c>
      <c r="H694" s="2">
        <v>46409.729166666664</v>
      </c>
      <c r="I694" s="1">
        <v>46161</v>
      </c>
      <c r="J694" t="s">
        <v>1849</v>
      </c>
      <c r="K694" t="s">
        <v>1199</v>
      </c>
      <c r="P694" s="10"/>
    </row>
    <row r="695" spans="1:16">
      <c r="A695" t="s">
        <v>828</v>
      </c>
      <c r="B695" t="s">
        <v>2362</v>
      </c>
      <c r="C695" t="s">
        <v>2363</v>
      </c>
      <c r="D695" t="s">
        <v>21</v>
      </c>
      <c r="E695" t="s">
        <v>22</v>
      </c>
      <c r="F695">
        <v>2</v>
      </c>
      <c r="G695" s="2">
        <v>46286.354166666664</v>
      </c>
      <c r="H695" s="2">
        <v>46409.729166666664</v>
      </c>
      <c r="I695" s="1">
        <v>46161</v>
      </c>
      <c r="J695" t="s">
        <v>1849</v>
      </c>
      <c r="K695" t="s">
        <v>1199</v>
      </c>
      <c r="P695" s="10"/>
    </row>
    <row r="696" spans="1:16">
      <c r="A696" t="s">
        <v>828</v>
      </c>
      <c r="B696" t="s">
        <v>2364</v>
      </c>
      <c r="C696" t="s">
        <v>2365</v>
      </c>
      <c r="D696" t="s">
        <v>21</v>
      </c>
      <c r="E696" t="s">
        <v>22</v>
      </c>
      <c r="F696">
        <v>1</v>
      </c>
      <c r="G696" s="2">
        <v>46286.354166666664</v>
      </c>
      <c r="H696" s="2">
        <v>46409.729166666664</v>
      </c>
      <c r="I696" s="1">
        <v>46154</v>
      </c>
      <c r="J696" t="s">
        <v>1849</v>
      </c>
      <c r="K696" t="s">
        <v>1199</v>
      </c>
      <c r="P696" s="10"/>
    </row>
    <row r="697" spans="1:16">
      <c r="A697" t="s">
        <v>828</v>
      </c>
      <c r="B697" t="s">
        <v>2366</v>
      </c>
      <c r="C697" t="s">
        <v>2367</v>
      </c>
      <c r="D697" t="s">
        <v>21</v>
      </c>
      <c r="E697" t="s">
        <v>22</v>
      </c>
      <c r="F697">
        <v>1</v>
      </c>
      <c r="G697" s="2">
        <v>46286.354166666664</v>
      </c>
      <c r="H697" s="2">
        <v>46409.729166666664</v>
      </c>
      <c r="I697" s="1">
        <v>46153</v>
      </c>
      <c r="J697" t="s">
        <v>1849</v>
      </c>
      <c r="K697" t="s">
        <v>1199</v>
      </c>
      <c r="P697" s="10"/>
    </row>
    <row r="698" spans="1:16">
      <c r="A698" t="s">
        <v>828</v>
      </c>
      <c r="B698" t="s">
        <v>2368</v>
      </c>
      <c r="C698" t="s">
        <v>2369</v>
      </c>
      <c r="D698" t="s">
        <v>21</v>
      </c>
      <c r="E698" t="s">
        <v>22</v>
      </c>
      <c r="F698">
        <v>0</v>
      </c>
      <c r="G698" s="2">
        <v>46286.354166666664</v>
      </c>
      <c r="H698" s="2">
        <v>46409.729166666664</v>
      </c>
      <c r="I698" t="s">
        <v>198</v>
      </c>
      <c r="J698" t="s">
        <v>1849</v>
      </c>
      <c r="K698" t="s">
        <v>1199</v>
      </c>
      <c r="P698" s="10"/>
    </row>
    <row r="699" spans="1:16">
      <c r="A699" t="s">
        <v>828</v>
      </c>
      <c r="B699" t="s">
        <v>2370</v>
      </c>
      <c r="C699" t="s">
        <v>2371</v>
      </c>
      <c r="D699" t="s">
        <v>21</v>
      </c>
      <c r="E699" t="s">
        <v>22</v>
      </c>
      <c r="F699">
        <v>14</v>
      </c>
      <c r="G699" s="2">
        <v>46286.354166666664</v>
      </c>
      <c r="H699" s="2">
        <v>46409.729166666664</v>
      </c>
      <c r="I699" s="1">
        <v>46161</v>
      </c>
      <c r="J699" t="s">
        <v>1849</v>
      </c>
      <c r="K699" t="s">
        <v>1199</v>
      </c>
      <c r="P699" s="10"/>
    </row>
    <row r="700" spans="1:16">
      <c r="A700" t="s">
        <v>828</v>
      </c>
      <c r="B700" t="s">
        <v>2372</v>
      </c>
      <c r="C700" t="s">
        <v>2373</v>
      </c>
      <c r="D700" t="s">
        <v>21</v>
      </c>
      <c r="E700" t="s">
        <v>22</v>
      </c>
      <c r="F700">
        <v>2</v>
      </c>
      <c r="G700" s="2">
        <v>46286.354166666664</v>
      </c>
      <c r="H700" s="2">
        <v>46409.729166666664</v>
      </c>
      <c r="I700" s="1">
        <v>46160</v>
      </c>
      <c r="J700" t="s">
        <v>1849</v>
      </c>
      <c r="K700" t="s">
        <v>1199</v>
      </c>
      <c r="P700" s="10"/>
    </row>
    <row r="701" spans="1:16">
      <c r="A701" t="s">
        <v>828</v>
      </c>
      <c r="B701" t="s">
        <v>2374</v>
      </c>
      <c r="C701" t="s">
        <v>2375</v>
      </c>
      <c r="D701" t="s">
        <v>21</v>
      </c>
      <c r="E701" t="s">
        <v>22</v>
      </c>
      <c r="F701">
        <v>3</v>
      </c>
      <c r="G701" s="2">
        <v>46286.354166666664</v>
      </c>
      <c r="H701" s="2">
        <v>46409.729166666664</v>
      </c>
      <c r="I701" s="1">
        <v>46154</v>
      </c>
      <c r="J701" t="s">
        <v>1849</v>
      </c>
      <c r="K701" t="s">
        <v>1199</v>
      </c>
      <c r="P701" s="10"/>
    </row>
    <row r="702" spans="1:16">
      <c r="A702" t="s">
        <v>828</v>
      </c>
      <c r="B702" t="s">
        <v>2376</v>
      </c>
      <c r="C702" t="s">
        <v>2377</v>
      </c>
      <c r="D702" t="s">
        <v>21</v>
      </c>
      <c r="E702" t="s">
        <v>22</v>
      </c>
      <c r="F702">
        <v>7</v>
      </c>
      <c r="G702" s="2">
        <v>46286.354166666664</v>
      </c>
      <c r="H702" s="2">
        <v>46409.729166666664</v>
      </c>
      <c r="I702" s="1">
        <v>46160</v>
      </c>
      <c r="J702" t="s">
        <v>1849</v>
      </c>
      <c r="K702" t="s">
        <v>1199</v>
      </c>
      <c r="P702" s="10"/>
    </row>
    <row r="703" spans="1:16">
      <c r="A703" t="s">
        <v>828</v>
      </c>
      <c r="B703" t="s">
        <v>2378</v>
      </c>
      <c r="C703" t="s">
        <v>2379</v>
      </c>
      <c r="D703" t="s">
        <v>21</v>
      </c>
      <c r="E703" t="s">
        <v>22</v>
      </c>
      <c r="F703">
        <v>0</v>
      </c>
      <c r="G703" s="2">
        <v>46286.354166666664</v>
      </c>
      <c r="H703" s="2">
        <v>46409.729166666664</v>
      </c>
      <c r="I703" t="s">
        <v>198</v>
      </c>
      <c r="J703" t="s">
        <v>1849</v>
      </c>
      <c r="K703" t="s">
        <v>1199</v>
      </c>
      <c r="P703" s="10"/>
    </row>
    <row r="704" spans="1:16">
      <c r="A704" t="s">
        <v>828</v>
      </c>
      <c r="B704" t="s">
        <v>2380</v>
      </c>
      <c r="C704" t="s">
        <v>2381</v>
      </c>
      <c r="D704" t="s">
        <v>21</v>
      </c>
      <c r="E704" t="s">
        <v>22</v>
      </c>
      <c r="F704">
        <v>1</v>
      </c>
      <c r="G704" s="2">
        <v>46286.354166666664</v>
      </c>
      <c r="H704" s="2">
        <v>46409.729166666664</v>
      </c>
      <c r="I704" s="1">
        <v>46162</v>
      </c>
      <c r="J704" t="s">
        <v>1849</v>
      </c>
      <c r="K704" t="s">
        <v>1199</v>
      </c>
      <c r="P704" s="10"/>
    </row>
    <row r="705" spans="1:16">
      <c r="A705" t="s">
        <v>828</v>
      </c>
      <c r="B705" t="s">
        <v>2382</v>
      </c>
      <c r="C705" t="s">
        <v>2383</v>
      </c>
      <c r="D705" t="s">
        <v>21</v>
      </c>
      <c r="E705" t="s">
        <v>22</v>
      </c>
      <c r="F705">
        <v>1</v>
      </c>
      <c r="G705" s="2">
        <v>46286.354166666664</v>
      </c>
      <c r="H705" s="2">
        <v>46409.729166666664</v>
      </c>
      <c r="I705" s="1">
        <v>46153</v>
      </c>
      <c r="J705" t="s">
        <v>1849</v>
      </c>
      <c r="K705" t="s">
        <v>1199</v>
      </c>
      <c r="P705" s="10"/>
    </row>
    <row r="706" spans="1:16">
      <c r="A706" t="s">
        <v>828</v>
      </c>
      <c r="B706" t="s">
        <v>2384</v>
      </c>
      <c r="C706" t="s">
        <v>2385</v>
      </c>
      <c r="D706" t="s">
        <v>21</v>
      </c>
      <c r="E706" t="s">
        <v>22</v>
      </c>
      <c r="F706">
        <v>1</v>
      </c>
      <c r="G706" s="2">
        <v>46286.354166666664</v>
      </c>
      <c r="H706" s="2">
        <v>46409.729166666664</v>
      </c>
      <c r="I706" s="1">
        <v>46161</v>
      </c>
      <c r="J706" t="s">
        <v>1849</v>
      </c>
      <c r="K706" t="s">
        <v>1199</v>
      </c>
      <c r="P706" s="10"/>
    </row>
    <row r="707" spans="1:16">
      <c r="A707" t="s">
        <v>828</v>
      </c>
      <c r="B707" t="s">
        <v>831</v>
      </c>
      <c r="C707" t="s">
        <v>830</v>
      </c>
      <c r="D707" t="s">
        <v>16</v>
      </c>
      <c r="G707" s="2">
        <v>45943.333333333336</v>
      </c>
      <c r="H707" s="2">
        <v>46387.999305555553</v>
      </c>
      <c r="I707" s="1">
        <v>46142</v>
      </c>
      <c r="J707" t="s">
        <v>1698</v>
      </c>
      <c r="K707" t="s">
        <v>1199</v>
      </c>
      <c r="P707" s="10"/>
    </row>
    <row r="708" spans="1:16">
      <c r="A708" t="s">
        <v>828</v>
      </c>
      <c r="B708" t="s">
        <v>833</v>
      </c>
      <c r="C708" t="s">
        <v>832</v>
      </c>
      <c r="D708" t="s">
        <v>16</v>
      </c>
      <c r="G708" s="2">
        <v>45943.333333333336</v>
      </c>
      <c r="H708" s="2">
        <v>46387.999305555553</v>
      </c>
      <c r="I708" s="1">
        <v>46162</v>
      </c>
      <c r="J708" t="s">
        <v>1698</v>
      </c>
      <c r="K708" t="s">
        <v>1199</v>
      </c>
      <c r="P708" s="10"/>
    </row>
    <row r="709" spans="1:16">
      <c r="A709" t="s">
        <v>828</v>
      </c>
      <c r="B709" t="s">
        <v>835</v>
      </c>
      <c r="C709" t="s">
        <v>834</v>
      </c>
      <c r="D709" t="s">
        <v>16</v>
      </c>
      <c r="G709" s="2">
        <v>45943.333333333336</v>
      </c>
      <c r="H709" s="2">
        <v>46387.999305555553</v>
      </c>
      <c r="I709" s="1">
        <v>46161</v>
      </c>
      <c r="J709" t="s">
        <v>1698</v>
      </c>
      <c r="K709" t="s">
        <v>1199</v>
      </c>
      <c r="P709" s="10"/>
    </row>
    <row r="710" spans="1:16">
      <c r="A710" t="s">
        <v>828</v>
      </c>
      <c r="B710" t="s">
        <v>837</v>
      </c>
      <c r="C710" t="s">
        <v>836</v>
      </c>
      <c r="D710" t="s">
        <v>16</v>
      </c>
      <c r="G710" s="2">
        <v>45943.333333333336</v>
      </c>
      <c r="H710" s="2">
        <v>46387.999305555553</v>
      </c>
      <c r="I710" s="1">
        <v>46159</v>
      </c>
      <c r="J710" t="s">
        <v>1698</v>
      </c>
      <c r="K710" t="s">
        <v>1199</v>
      </c>
      <c r="P710" s="10"/>
    </row>
    <row r="711" spans="1:16">
      <c r="A711" t="s">
        <v>828</v>
      </c>
      <c r="B711" t="s">
        <v>839</v>
      </c>
      <c r="C711" t="s">
        <v>838</v>
      </c>
      <c r="D711" t="s">
        <v>16</v>
      </c>
      <c r="G711" s="2">
        <v>45943.333333333336</v>
      </c>
      <c r="H711" s="2">
        <v>46387.999305555553</v>
      </c>
      <c r="I711" s="1">
        <v>46163</v>
      </c>
      <c r="J711" t="s">
        <v>1698</v>
      </c>
      <c r="K711" t="s">
        <v>1199</v>
      </c>
      <c r="P711" s="10"/>
    </row>
    <row r="712" spans="1:16">
      <c r="A712" t="s">
        <v>828</v>
      </c>
      <c r="B712" t="s">
        <v>841</v>
      </c>
      <c r="C712" t="s">
        <v>840</v>
      </c>
      <c r="D712" t="s">
        <v>16</v>
      </c>
      <c r="G712" s="2">
        <v>45943.333333333336</v>
      </c>
      <c r="H712" s="2">
        <v>46387.999305555553</v>
      </c>
      <c r="I712" s="1">
        <v>46163</v>
      </c>
      <c r="J712" t="s">
        <v>1698</v>
      </c>
      <c r="K712" t="s">
        <v>1199</v>
      </c>
      <c r="P712" s="10"/>
    </row>
    <row r="713" spans="1:16">
      <c r="A713" t="s">
        <v>828</v>
      </c>
      <c r="B713" t="s">
        <v>843</v>
      </c>
      <c r="C713" t="s">
        <v>842</v>
      </c>
      <c r="D713" t="s">
        <v>16</v>
      </c>
      <c r="G713" s="2">
        <v>45943.333333333336</v>
      </c>
      <c r="H713" s="2">
        <v>46387.999305555553</v>
      </c>
      <c r="I713" s="1">
        <v>46163</v>
      </c>
      <c r="J713" t="s">
        <v>1698</v>
      </c>
      <c r="K713" t="s">
        <v>1199</v>
      </c>
      <c r="P713" s="10"/>
    </row>
    <row r="714" spans="1:16">
      <c r="A714" t="s">
        <v>828</v>
      </c>
      <c r="B714" t="s">
        <v>845</v>
      </c>
      <c r="C714" t="s">
        <v>844</v>
      </c>
      <c r="D714" t="s">
        <v>16</v>
      </c>
      <c r="G714" s="2">
        <v>45943.333333333336</v>
      </c>
      <c r="H714" s="2">
        <v>46387.999305555553</v>
      </c>
      <c r="J714" t="s">
        <v>1698</v>
      </c>
      <c r="K714" t="s">
        <v>1199</v>
      </c>
      <c r="P714" s="10"/>
    </row>
    <row r="715" spans="1:16">
      <c r="A715" t="s">
        <v>828</v>
      </c>
      <c r="B715" t="s">
        <v>847</v>
      </c>
      <c r="C715" t="s">
        <v>846</v>
      </c>
      <c r="D715" t="s">
        <v>16</v>
      </c>
      <c r="G715" s="2">
        <v>45943.333333333336</v>
      </c>
      <c r="H715" s="2">
        <v>46387.999305555553</v>
      </c>
      <c r="I715" s="1">
        <v>46153</v>
      </c>
      <c r="J715" t="s">
        <v>1698</v>
      </c>
      <c r="K715" t="s">
        <v>1199</v>
      </c>
    </row>
    <row r="716" spans="1:16">
      <c r="A716" t="s">
        <v>828</v>
      </c>
      <c r="B716" t="s">
        <v>849</v>
      </c>
      <c r="C716" t="s">
        <v>848</v>
      </c>
      <c r="D716" t="s">
        <v>16</v>
      </c>
      <c r="G716" s="2">
        <v>45943.333333333336</v>
      </c>
      <c r="H716" s="2">
        <v>46387.999305555553</v>
      </c>
      <c r="I716" s="1">
        <v>46163</v>
      </c>
      <c r="J716" t="s">
        <v>1698</v>
      </c>
      <c r="K716" t="s">
        <v>1199</v>
      </c>
    </row>
    <row r="717" spans="1:16">
      <c r="A717" t="s">
        <v>828</v>
      </c>
      <c r="B717" t="s">
        <v>851</v>
      </c>
      <c r="C717" t="s">
        <v>850</v>
      </c>
      <c r="D717" t="s">
        <v>16</v>
      </c>
      <c r="G717" s="2">
        <v>45943.333333333336</v>
      </c>
      <c r="H717" s="2">
        <v>46387.999305555553</v>
      </c>
      <c r="I717" s="1">
        <v>46163</v>
      </c>
      <c r="J717" t="s">
        <v>1698</v>
      </c>
      <c r="K717" t="s">
        <v>1199</v>
      </c>
    </row>
    <row r="718" spans="1:16">
      <c r="A718" t="s">
        <v>828</v>
      </c>
      <c r="B718" t="s">
        <v>853</v>
      </c>
      <c r="C718" t="s">
        <v>852</v>
      </c>
      <c r="D718" t="s">
        <v>16</v>
      </c>
      <c r="G718" s="2">
        <v>45943.333333333336</v>
      </c>
      <c r="H718" s="2">
        <v>46387.999305555553</v>
      </c>
      <c r="I718" s="1">
        <v>46162</v>
      </c>
      <c r="J718" t="s">
        <v>1698</v>
      </c>
      <c r="K718" t="s">
        <v>1199</v>
      </c>
    </row>
    <row r="719" spans="1:16">
      <c r="A719" t="s">
        <v>828</v>
      </c>
      <c r="B719" t="s">
        <v>855</v>
      </c>
      <c r="C719" t="s">
        <v>854</v>
      </c>
      <c r="D719" t="s">
        <v>16</v>
      </c>
      <c r="G719" s="2">
        <v>45943.333333333336</v>
      </c>
      <c r="H719" s="2">
        <v>46387.999305555553</v>
      </c>
      <c r="I719" s="1">
        <v>46132</v>
      </c>
      <c r="J719" t="s">
        <v>1698</v>
      </c>
      <c r="K719" t="s">
        <v>1199</v>
      </c>
    </row>
    <row r="720" spans="1:16">
      <c r="A720" t="s">
        <v>828</v>
      </c>
      <c r="B720" t="s">
        <v>857</v>
      </c>
      <c r="C720" t="s">
        <v>856</v>
      </c>
      <c r="D720" t="s">
        <v>16</v>
      </c>
      <c r="G720" s="2">
        <v>45943.333333333336</v>
      </c>
      <c r="H720" s="2">
        <v>46387.999305555553</v>
      </c>
      <c r="I720" s="1">
        <v>46162</v>
      </c>
      <c r="J720" t="s">
        <v>1698</v>
      </c>
      <c r="K720" t="s">
        <v>1199</v>
      </c>
    </row>
    <row r="721" spans="1:11">
      <c r="A721" t="s">
        <v>828</v>
      </c>
      <c r="B721" t="s">
        <v>859</v>
      </c>
      <c r="C721" t="s">
        <v>858</v>
      </c>
      <c r="D721" t="s">
        <v>16</v>
      </c>
      <c r="G721" s="2">
        <v>45943.333333333336</v>
      </c>
      <c r="H721" s="2">
        <v>46387.999305555553</v>
      </c>
      <c r="I721" s="1">
        <v>46163</v>
      </c>
      <c r="J721" t="s">
        <v>1698</v>
      </c>
      <c r="K721" t="s">
        <v>1199</v>
      </c>
    </row>
    <row r="722" spans="1:11">
      <c r="A722" t="s">
        <v>828</v>
      </c>
      <c r="B722" t="s">
        <v>861</v>
      </c>
      <c r="C722" t="s">
        <v>860</v>
      </c>
      <c r="D722" t="s">
        <v>16</v>
      </c>
      <c r="G722" s="2">
        <v>45943.333333333336</v>
      </c>
      <c r="H722" s="2">
        <v>46387.999305555553</v>
      </c>
      <c r="I722" s="1">
        <v>46110</v>
      </c>
      <c r="J722" t="s">
        <v>1698</v>
      </c>
      <c r="K722" t="s">
        <v>1199</v>
      </c>
    </row>
    <row r="723" spans="1:11">
      <c r="A723" t="s">
        <v>828</v>
      </c>
      <c r="B723" t="s">
        <v>863</v>
      </c>
      <c r="C723" t="s">
        <v>862</v>
      </c>
      <c r="D723" t="s">
        <v>16</v>
      </c>
      <c r="G723" s="2">
        <v>45943.333333333336</v>
      </c>
      <c r="H723" s="2">
        <v>46387.999305555553</v>
      </c>
      <c r="I723" s="1">
        <v>45975</v>
      </c>
      <c r="J723" t="s">
        <v>1698</v>
      </c>
      <c r="K723" t="s">
        <v>1199</v>
      </c>
    </row>
    <row r="724" spans="1:11">
      <c r="A724" t="s">
        <v>828</v>
      </c>
      <c r="B724" t="s">
        <v>865</v>
      </c>
      <c r="C724" t="s">
        <v>864</v>
      </c>
      <c r="D724" t="s">
        <v>16</v>
      </c>
      <c r="G724" s="2">
        <v>45943.333333333336</v>
      </c>
      <c r="H724" s="2">
        <v>46387.999305555553</v>
      </c>
      <c r="I724" s="1">
        <v>46155</v>
      </c>
      <c r="J724" t="s">
        <v>1698</v>
      </c>
      <c r="K724" t="s">
        <v>1199</v>
      </c>
    </row>
    <row r="725" spans="1:11">
      <c r="A725" t="s">
        <v>828</v>
      </c>
      <c r="B725" t="s">
        <v>867</v>
      </c>
      <c r="C725" t="s">
        <v>866</v>
      </c>
      <c r="D725" t="s">
        <v>16</v>
      </c>
      <c r="G725" s="2">
        <v>45943.333333333336</v>
      </c>
      <c r="H725" s="2">
        <v>46387.999305555553</v>
      </c>
      <c r="I725" s="1">
        <v>46153</v>
      </c>
      <c r="J725" t="s">
        <v>1698</v>
      </c>
      <c r="K725" t="s">
        <v>1199</v>
      </c>
    </row>
    <row r="726" spans="1:11">
      <c r="A726" t="s">
        <v>828</v>
      </c>
      <c r="B726" t="s">
        <v>869</v>
      </c>
      <c r="C726" t="s">
        <v>868</v>
      </c>
      <c r="D726" t="s">
        <v>16</v>
      </c>
      <c r="G726" s="2">
        <v>45943.333333333336</v>
      </c>
      <c r="H726" s="2">
        <v>46387.999305555553</v>
      </c>
      <c r="I726" s="1">
        <v>46163</v>
      </c>
      <c r="J726" t="s">
        <v>1698</v>
      </c>
      <c r="K726" t="s">
        <v>1199</v>
      </c>
    </row>
    <row r="727" spans="1:11">
      <c r="A727" t="s">
        <v>828</v>
      </c>
      <c r="B727" t="s">
        <v>871</v>
      </c>
      <c r="C727" t="s">
        <v>870</v>
      </c>
      <c r="D727" t="s">
        <v>16</v>
      </c>
      <c r="G727" s="2">
        <v>45943.333333333336</v>
      </c>
      <c r="H727" s="2">
        <v>46387.999305555553</v>
      </c>
      <c r="I727" s="1">
        <v>46147</v>
      </c>
      <c r="J727" t="s">
        <v>1698</v>
      </c>
      <c r="K727" t="s">
        <v>1199</v>
      </c>
    </row>
    <row r="728" spans="1:11">
      <c r="A728" t="s">
        <v>828</v>
      </c>
      <c r="B728" t="s">
        <v>873</v>
      </c>
      <c r="C728" t="s">
        <v>872</v>
      </c>
      <c r="D728" t="s">
        <v>16</v>
      </c>
      <c r="G728" s="2">
        <v>45943.333333333336</v>
      </c>
      <c r="H728" s="2">
        <v>46387.999305555553</v>
      </c>
      <c r="I728" s="1">
        <v>46160</v>
      </c>
      <c r="J728" t="s">
        <v>1698</v>
      </c>
      <c r="K728" t="s">
        <v>1199</v>
      </c>
    </row>
    <row r="729" spans="1:11">
      <c r="A729" t="s">
        <v>828</v>
      </c>
      <c r="B729" t="s">
        <v>875</v>
      </c>
      <c r="C729" t="s">
        <v>874</v>
      </c>
      <c r="D729" t="s">
        <v>16</v>
      </c>
      <c r="G729" s="2">
        <v>45943.333333333336</v>
      </c>
      <c r="H729" s="2">
        <v>46387.999305555553</v>
      </c>
      <c r="I729" s="1">
        <v>46157</v>
      </c>
      <c r="J729" t="s">
        <v>1698</v>
      </c>
      <c r="K729" t="s">
        <v>1199</v>
      </c>
    </row>
    <row r="730" spans="1:11">
      <c r="A730" t="s">
        <v>828</v>
      </c>
      <c r="B730" t="s">
        <v>877</v>
      </c>
      <c r="C730" t="s">
        <v>876</v>
      </c>
      <c r="D730" t="s">
        <v>16</v>
      </c>
      <c r="G730" s="2">
        <v>45943.333333333336</v>
      </c>
      <c r="H730" s="2">
        <v>46387.999305555553</v>
      </c>
      <c r="I730" s="1">
        <v>46162</v>
      </c>
      <c r="J730" t="s">
        <v>1698</v>
      </c>
      <c r="K730" t="s">
        <v>1199</v>
      </c>
    </row>
    <row r="731" spans="1:11">
      <c r="A731" t="s">
        <v>828</v>
      </c>
      <c r="B731" t="s">
        <v>879</v>
      </c>
      <c r="C731" t="s">
        <v>878</v>
      </c>
      <c r="D731" t="s">
        <v>16</v>
      </c>
      <c r="G731" s="2">
        <v>45943.333333333336</v>
      </c>
      <c r="H731" s="2">
        <v>46387.999305555553</v>
      </c>
      <c r="I731" s="1">
        <v>46163</v>
      </c>
      <c r="J731" t="s">
        <v>1698</v>
      </c>
      <c r="K731" t="s">
        <v>1199</v>
      </c>
    </row>
    <row r="732" spans="1:11">
      <c r="A732" t="s">
        <v>828</v>
      </c>
      <c r="B732" t="s">
        <v>881</v>
      </c>
      <c r="C732" t="s">
        <v>880</v>
      </c>
      <c r="D732" t="s">
        <v>16</v>
      </c>
      <c r="G732" s="2">
        <v>45943.333333333336</v>
      </c>
      <c r="H732" s="2">
        <v>46387.999305555553</v>
      </c>
      <c r="I732" s="1">
        <v>46160</v>
      </c>
      <c r="J732" t="s">
        <v>1698</v>
      </c>
      <c r="K732" t="s">
        <v>1199</v>
      </c>
    </row>
    <row r="733" spans="1:11">
      <c r="A733" t="s">
        <v>828</v>
      </c>
      <c r="B733" t="s">
        <v>883</v>
      </c>
      <c r="C733" t="s">
        <v>882</v>
      </c>
      <c r="D733" t="s">
        <v>16</v>
      </c>
      <c r="G733" s="2">
        <v>45943.333333333336</v>
      </c>
      <c r="H733" s="2">
        <v>46387.999305555553</v>
      </c>
      <c r="I733" s="1">
        <v>46161</v>
      </c>
      <c r="J733" t="s">
        <v>1698</v>
      </c>
      <c r="K733" t="s">
        <v>1199</v>
      </c>
    </row>
    <row r="734" spans="1:11">
      <c r="A734" t="s">
        <v>828</v>
      </c>
      <c r="B734" t="s">
        <v>885</v>
      </c>
      <c r="C734" t="s">
        <v>884</v>
      </c>
      <c r="D734" t="s">
        <v>16</v>
      </c>
      <c r="G734" s="2">
        <v>45943.333333333336</v>
      </c>
      <c r="H734" s="2">
        <v>46387.999305555553</v>
      </c>
      <c r="I734" s="1">
        <v>46155</v>
      </c>
      <c r="J734" t="s">
        <v>1698</v>
      </c>
      <c r="K734" t="s">
        <v>1199</v>
      </c>
    </row>
    <row r="735" spans="1:11">
      <c r="A735" t="s">
        <v>886</v>
      </c>
      <c r="B735" t="s">
        <v>829</v>
      </c>
      <c r="C735" t="s">
        <v>827</v>
      </c>
      <c r="D735" t="s">
        <v>16</v>
      </c>
      <c r="G735" s="2">
        <v>45943.333333333336</v>
      </c>
      <c r="H735" s="2">
        <v>46387.999305555553</v>
      </c>
      <c r="I735" s="1">
        <v>46163</v>
      </c>
      <c r="J735" t="s">
        <v>1698</v>
      </c>
      <c r="K735" t="s">
        <v>1199</v>
      </c>
    </row>
    <row r="736" spans="1:11">
      <c r="A736" t="s">
        <v>886</v>
      </c>
      <c r="B736" t="s">
        <v>1847</v>
      </c>
      <c r="C736" t="s">
        <v>1848</v>
      </c>
      <c r="D736" t="s">
        <v>21</v>
      </c>
      <c r="E736" t="s">
        <v>22</v>
      </c>
      <c r="F736">
        <v>32</v>
      </c>
      <c r="G736" s="2">
        <v>46286.354166666664</v>
      </c>
      <c r="H736" s="2">
        <v>46409.729166666664</v>
      </c>
      <c r="I736" s="1">
        <v>46162</v>
      </c>
      <c r="J736" t="s">
        <v>1849</v>
      </c>
      <c r="K736" t="s">
        <v>1199</v>
      </c>
    </row>
    <row r="737" spans="1:11">
      <c r="A737" t="s">
        <v>886</v>
      </c>
      <c r="B737" t="s">
        <v>1850</v>
      </c>
      <c r="C737" t="s">
        <v>1851</v>
      </c>
      <c r="D737" t="s">
        <v>21</v>
      </c>
      <c r="E737" t="s">
        <v>22</v>
      </c>
      <c r="F737">
        <v>13</v>
      </c>
      <c r="G737" s="2">
        <v>46286.354166666664</v>
      </c>
      <c r="H737" s="2">
        <v>46409.729166666664</v>
      </c>
      <c r="I737" s="1">
        <v>46163</v>
      </c>
      <c r="J737" t="s">
        <v>1849</v>
      </c>
      <c r="K737" t="s">
        <v>1199</v>
      </c>
    </row>
    <row r="738" spans="1:11">
      <c r="A738" t="s">
        <v>886</v>
      </c>
      <c r="B738" t="s">
        <v>1852</v>
      </c>
      <c r="C738" t="s">
        <v>1853</v>
      </c>
      <c r="D738" t="s">
        <v>21</v>
      </c>
      <c r="E738" t="s">
        <v>22</v>
      </c>
      <c r="F738">
        <v>13</v>
      </c>
      <c r="G738" s="2">
        <v>46286.354166666664</v>
      </c>
      <c r="H738" s="2">
        <v>46409.729166666664</v>
      </c>
      <c r="I738" s="1">
        <v>46161</v>
      </c>
      <c r="J738" t="s">
        <v>1849</v>
      </c>
      <c r="K738" t="s">
        <v>1199</v>
      </c>
    </row>
    <row r="739" spans="1:11">
      <c r="A739" t="s">
        <v>886</v>
      </c>
      <c r="B739" t="s">
        <v>1854</v>
      </c>
      <c r="C739" t="s">
        <v>1855</v>
      </c>
      <c r="D739" t="s">
        <v>21</v>
      </c>
      <c r="E739" t="s">
        <v>22</v>
      </c>
      <c r="F739">
        <v>4</v>
      </c>
      <c r="G739" s="2">
        <v>46286.354166666664</v>
      </c>
      <c r="H739" s="2">
        <v>46409.729166666664</v>
      </c>
      <c r="I739" s="1">
        <v>46159</v>
      </c>
      <c r="J739" t="s">
        <v>1849</v>
      </c>
      <c r="K739" t="s">
        <v>1199</v>
      </c>
    </row>
    <row r="740" spans="1:11">
      <c r="A740" t="s">
        <v>886</v>
      </c>
      <c r="B740" t="s">
        <v>1856</v>
      </c>
      <c r="C740" t="s">
        <v>1857</v>
      </c>
      <c r="D740" t="s">
        <v>21</v>
      </c>
      <c r="E740" t="s">
        <v>22</v>
      </c>
      <c r="F740">
        <v>8</v>
      </c>
      <c r="G740" s="2">
        <v>46286.354166666664</v>
      </c>
      <c r="H740" s="2">
        <v>46409.729166666664</v>
      </c>
      <c r="I740" s="1">
        <v>46161</v>
      </c>
      <c r="J740" t="s">
        <v>1849</v>
      </c>
      <c r="K740" t="s">
        <v>1199</v>
      </c>
    </row>
    <row r="741" spans="1:11">
      <c r="A741" t="s">
        <v>886</v>
      </c>
      <c r="B741" t="s">
        <v>1858</v>
      </c>
      <c r="C741" t="s">
        <v>1859</v>
      </c>
      <c r="D741" t="s">
        <v>21</v>
      </c>
      <c r="E741" t="s">
        <v>22</v>
      </c>
      <c r="F741">
        <v>7</v>
      </c>
      <c r="G741" s="2">
        <v>46286.354166666664</v>
      </c>
      <c r="H741" s="2">
        <v>46409.729166666664</v>
      </c>
      <c r="I741" s="1">
        <v>46162</v>
      </c>
      <c r="J741" t="s">
        <v>1849</v>
      </c>
      <c r="K741" t="s">
        <v>1199</v>
      </c>
    </row>
    <row r="742" spans="1:11">
      <c r="A742" t="s">
        <v>886</v>
      </c>
      <c r="B742" t="s">
        <v>1860</v>
      </c>
      <c r="C742" t="s">
        <v>1861</v>
      </c>
      <c r="D742" t="s">
        <v>21</v>
      </c>
      <c r="E742" t="s">
        <v>22</v>
      </c>
      <c r="F742">
        <v>0</v>
      </c>
      <c r="G742" s="2">
        <v>46286.354166666664</v>
      </c>
      <c r="H742" s="2">
        <v>46409.729166666664</v>
      </c>
      <c r="I742" s="1">
        <v>46045</v>
      </c>
      <c r="J742" t="s">
        <v>1849</v>
      </c>
      <c r="K742" t="s">
        <v>1199</v>
      </c>
    </row>
    <row r="743" spans="1:11">
      <c r="A743" t="s">
        <v>886</v>
      </c>
      <c r="B743" t="s">
        <v>1862</v>
      </c>
      <c r="C743" t="s">
        <v>1863</v>
      </c>
      <c r="D743" t="s">
        <v>21</v>
      </c>
      <c r="E743" t="s">
        <v>22</v>
      </c>
      <c r="F743">
        <v>0</v>
      </c>
      <c r="G743" s="2">
        <v>46286.354166666664</v>
      </c>
      <c r="H743" s="2">
        <v>46409.729166666664</v>
      </c>
      <c r="I743" s="1">
        <v>46097</v>
      </c>
      <c r="J743" t="s">
        <v>1849</v>
      </c>
      <c r="K743" t="s">
        <v>1199</v>
      </c>
    </row>
    <row r="744" spans="1:11">
      <c r="A744" t="s">
        <v>886</v>
      </c>
      <c r="B744" t="s">
        <v>1864</v>
      </c>
      <c r="C744" t="s">
        <v>1865</v>
      </c>
      <c r="D744" t="s">
        <v>21</v>
      </c>
      <c r="E744" t="s">
        <v>22</v>
      </c>
      <c r="F744">
        <v>3</v>
      </c>
      <c r="G744" s="2">
        <v>46286.354166666664</v>
      </c>
      <c r="H744" s="2">
        <v>46409.729166666664</v>
      </c>
      <c r="I744" s="1">
        <v>46159</v>
      </c>
      <c r="J744" t="s">
        <v>1849</v>
      </c>
      <c r="K744" t="s">
        <v>1199</v>
      </c>
    </row>
    <row r="745" spans="1:11">
      <c r="A745" t="s">
        <v>886</v>
      </c>
      <c r="B745" t="s">
        <v>1866</v>
      </c>
      <c r="C745" t="s">
        <v>1867</v>
      </c>
      <c r="D745" t="s">
        <v>21</v>
      </c>
      <c r="E745" t="s">
        <v>22</v>
      </c>
      <c r="F745">
        <v>0</v>
      </c>
      <c r="G745" s="2">
        <v>46286.354166666664</v>
      </c>
      <c r="H745" s="2">
        <v>46409.729166666664</v>
      </c>
      <c r="I745" s="1">
        <v>46045</v>
      </c>
      <c r="J745" t="s">
        <v>1849</v>
      </c>
      <c r="K745" t="s">
        <v>1199</v>
      </c>
    </row>
    <row r="746" spans="1:11">
      <c r="A746" t="s">
        <v>886</v>
      </c>
      <c r="B746" t="s">
        <v>1868</v>
      </c>
      <c r="C746" t="s">
        <v>1869</v>
      </c>
      <c r="D746" t="s">
        <v>21</v>
      </c>
      <c r="E746" t="s">
        <v>22</v>
      </c>
      <c r="F746">
        <v>0</v>
      </c>
      <c r="G746" s="2">
        <v>46286.354166666664</v>
      </c>
      <c r="H746" s="2">
        <v>46409.729166666664</v>
      </c>
      <c r="I746" s="1">
        <v>46063</v>
      </c>
      <c r="J746" t="s">
        <v>1849</v>
      </c>
      <c r="K746" t="s">
        <v>1199</v>
      </c>
    </row>
    <row r="747" spans="1:11">
      <c r="A747" t="s">
        <v>886</v>
      </c>
      <c r="B747" t="s">
        <v>1870</v>
      </c>
      <c r="C747" t="s">
        <v>1871</v>
      </c>
      <c r="D747" t="s">
        <v>21</v>
      </c>
      <c r="E747" t="s">
        <v>22</v>
      </c>
      <c r="F747">
        <v>2</v>
      </c>
      <c r="G747" s="2">
        <v>46286.354166666664</v>
      </c>
      <c r="H747" s="2">
        <v>46409.729166666664</v>
      </c>
      <c r="I747" s="1">
        <v>46159</v>
      </c>
      <c r="J747" t="s">
        <v>1849</v>
      </c>
      <c r="K747" t="s">
        <v>1199</v>
      </c>
    </row>
    <row r="748" spans="1:11">
      <c r="A748" t="s">
        <v>886</v>
      </c>
      <c r="B748" t="s">
        <v>1872</v>
      </c>
      <c r="C748" t="s">
        <v>1873</v>
      </c>
      <c r="D748" t="s">
        <v>21</v>
      </c>
      <c r="E748" t="s">
        <v>22</v>
      </c>
      <c r="F748">
        <v>0</v>
      </c>
      <c r="G748" s="2">
        <v>46286.354166666664</v>
      </c>
      <c r="H748" s="2">
        <v>46409.729166666664</v>
      </c>
      <c r="I748" t="s">
        <v>198</v>
      </c>
      <c r="J748" t="s">
        <v>1849</v>
      </c>
      <c r="K748" t="s">
        <v>1199</v>
      </c>
    </row>
    <row r="749" spans="1:11">
      <c r="A749" t="s">
        <v>886</v>
      </c>
      <c r="B749" t="s">
        <v>1874</v>
      </c>
      <c r="C749" t="s">
        <v>1875</v>
      </c>
      <c r="D749" t="s">
        <v>21</v>
      </c>
      <c r="E749" t="s">
        <v>22</v>
      </c>
      <c r="F749">
        <v>0</v>
      </c>
      <c r="G749" s="2">
        <v>46286.354166666664</v>
      </c>
      <c r="H749" s="2">
        <v>46409.729166666664</v>
      </c>
      <c r="I749" s="1">
        <v>46044</v>
      </c>
      <c r="J749" t="s">
        <v>1849</v>
      </c>
      <c r="K749" t="s">
        <v>1199</v>
      </c>
    </row>
    <row r="750" spans="1:11">
      <c r="A750" t="s">
        <v>886</v>
      </c>
      <c r="B750" t="s">
        <v>1876</v>
      </c>
      <c r="C750" t="s">
        <v>1877</v>
      </c>
      <c r="D750" t="s">
        <v>21</v>
      </c>
      <c r="E750" t="s">
        <v>22</v>
      </c>
      <c r="F750">
        <v>6</v>
      </c>
      <c r="G750" s="2">
        <v>46286.354166666664</v>
      </c>
      <c r="H750" s="2">
        <v>46409.729166666664</v>
      </c>
      <c r="I750" s="1">
        <v>46155</v>
      </c>
      <c r="J750" t="s">
        <v>1849</v>
      </c>
      <c r="K750" t="s">
        <v>1199</v>
      </c>
    </row>
    <row r="751" spans="1:11">
      <c r="A751" t="s">
        <v>886</v>
      </c>
      <c r="B751" t="s">
        <v>1878</v>
      </c>
      <c r="C751" t="s">
        <v>1879</v>
      </c>
      <c r="D751" t="s">
        <v>21</v>
      </c>
      <c r="E751" t="s">
        <v>22</v>
      </c>
      <c r="F751">
        <v>0</v>
      </c>
      <c r="G751" s="2">
        <v>46286.354166666664</v>
      </c>
      <c r="H751" s="2">
        <v>46409.729166666664</v>
      </c>
      <c r="I751" t="s">
        <v>198</v>
      </c>
      <c r="J751" t="s">
        <v>1849</v>
      </c>
      <c r="K751" t="s">
        <v>1199</v>
      </c>
    </row>
    <row r="752" spans="1:11">
      <c r="A752" t="s">
        <v>886</v>
      </c>
      <c r="B752" t="s">
        <v>1880</v>
      </c>
      <c r="C752" t="s">
        <v>1881</v>
      </c>
      <c r="D752" t="s">
        <v>21</v>
      </c>
      <c r="E752" t="s">
        <v>22</v>
      </c>
      <c r="F752">
        <v>0</v>
      </c>
      <c r="G752" s="2">
        <v>46286.354166666664</v>
      </c>
      <c r="H752" s="2">
        <v>46409.729166666664</v>
      </c>
      <c r="I752" t="s">
        <v>198</v>
      </c>
      <c r="J752" t="s">
        <v>1849</v>
      </c>
      <c r="K752" t="s">
        <v>1199</v>
      </c>
    </row>
    <row r="753" spans="1:11">
      <c r="A753" t="s">
        <v>886</v>
      </c>
      <c r="B753" t="s">
        <v>1882</v>
      </c>
      <c r="C753" t="s">
        <v>1883</v>
      </c>
      <c r="D753" t="s">
        <v>21</v>
      </c>
      <c r="E753" t="s">
        <v>22</v>
      </c>
      <c r="F753">
        <v>8</v>
      </c>
      <c r="G753" s="2">
        <v>46286.354166666664</v>
      </c>
      <c r="H753" s="2">
        <v>46409.729166666664</v>
      </c>
      <c r="I753" s="1">
        <v>46162</v>
      </c>
      <c r="J753" t="s">
        <v>1849</v>
      </c>
      <c r="K753" t="s">
        <v>1199</v>
      </c>
    </row>
    <row r="754" spans="1:11">
      <c r="A754" t="s">
        <v>886</v>
      </c>
      <c r="B754" t="s">
        <v>1884</v>
      </c>
      <c r="C754" t="s">
        <v>1885</v>
      </c>
      <c r="D754" t="s">
        <v>21</v>
      </c>
      <c r="E754" t="s">
        <v>22</v>
      </c>
      <c r="F754">
        <v>0</v>
      </c>
      <c r="G754" s="2">
        <v>46286.354166666664</v>
      </c>
      <c r="H754" s="2">
        <v>46409.729166666664</v>
      </c>
      <c r="I754" s="1">
        <v>45469</v>
      </c>
      <c r="J754" t="s">
        <v>1849</v>
      </c>
      <c r="K754" t="s">
        <v>1199</v>
      </c>
    </row>
    <row r="755" spans="1:11">
      <c r="A755" t="s">
        <v>886</v>
      </c>
      <c r="B755" t="s">
        <v>1886</v>
      </c>
      <c r="C755" t="s">
        <v>1887</v>
      </c>
      <c r="D755" t="s">
        <v>21</v>
      </c>
      <c r="E755" t="s">
        <v>22</v>
      </c>
      <c r="F755">
        <v>0</v>
      </c>
      <c r="G755" s="2">
        <v>46286.354166666664</v>
      </c>
      <c r="H755" s="2">
        <v>46409.729166666664</v>
      </c>
      <c r="I755" s="1">
        <v>45679</v>
      </c>
      <c r="J755" t="s">
        <v>1849</v>
      </c>
      <c r="K755" t="s">
        <v>1199</v>
      </c>
    </row>
    <row r="756" spans="1:11">
      <c r="A756" t="s">
        <v>886</v>
      </c>
      <c r="B756" t="s">
        <v>1888</v>
      </c>
      <c r="C756" t="s">
        <v>1889</v>
      </c>
      <c r="D756" t="s">
        <v>21</v>
      </c>
      <c r="E756" t="s">
        <v>22</v>
      </c>
      <c r="F756">
        <v>0</v>
      </c>
      <c r="G756" s="2">
        <v>46286.354166666664</v>
      </c>
      <c r="H756" s="2">
        <v>46409.729166666664</v>
      </c>
      <c r="I756" s="1">
        <v>45826</v>
      </c>
      <c r="J756" t="s">
        <v>1849</v>
      </c>
      <c r="K756" t="s">
        <v>1199</v>
      </c>
    </row>
    <row r="757" spans="1:11">
      <c r="A757" t="s">
        <v>886</v>
      </c>
      <c r="B757" t="s">
        <v>1890</v>
      </c>
      <c r="C757" t="s">
        <v>1891</v>
      </c>
      <c r="D757" t="s">
        <v>21</v>
      </c>
      <c r="E757" t="s">
        <v>22</v>
      </c>
      <c r="F757">
        <v>3</v>
      </c>
      <c r="G757" s="2">
        <v>46286.354166666664</v>
      </c>
      <c r="H757" s="2">
        <v>46409.729166666664</v>
      </c>
      <c r="I757" s="1">
        <v>46162</v>
      </c>
      <c r="J757" t="s">
        <v>1849</v>
      </c>
      <c r="K757" t="s">
        <v>1199</v>
      </c>
    </row>
    <row r="758" spans="1:11">
      <c r="A758" t="s">
        <v>886</v>
      </c>
      <c r="B758" t="s">
        <v>1892</v>
      </c>
      <c r="C758" t="s">
        <v>1893</v>
      </c>
      <c r="D758" t="s">
        <v>21</v>
      </c>
      <c r="E758" t="s">
        <v>22</v>
      </c>
      <c r="F758">
        <v>14</v>
      </c>
      <c r="G758" s="2">
        <v>46286.354166666664</v>
      </c>
      <c r="H758" s="2">
        <v>46409.729166666664</v>
      </c>
      <c r="I758" s="1">
        <v>46163</v>
      </c>
      <c r="J758" t="s">
        <v>1849</v>
      </c>
      <c r="K758" t="s">
        <v>1199</v>
      </c>
    </row>
    <row r="759" spans="1:11">
      <c r="A759" t="s">
        <v>886</v>
      </c>
      <c r="B759" t="s">
        <v>1894</v>
      </c>
      <c r="C759" t="s">
        <v>1895</v>
      </c>
      <c r="D759" t="s">
        <v>21</v>
      </c>
      <c r="E759" t="s">
        <v>22</v>
      </c>
      <c r="F759">
        <v>6</v>
      </c>
      <c r="G759" s="2">
        <v>46286.354166666664</v>
      </c>
      <c r="H759" s="2">
        <v>46409.729166666664</v>
      </c>
      <c r="I759" s="1">
        <v>46162</v>
      </c>
      <c r="J759" t="s">
        <v>1849</v>
      </c>
      <c r="K759" t="s">
        <v>1199</v>
      </c>
    </row>
    <row r="760" spans="1:11">
      <c r="A760" t="s">
        <v>886</v>
      </c>
      <c r="B760" t="s">
        <v>1896</v>
      </c>
      <c r="C760" t="s">
        <v>1897</v>
      </c>
      <c r="D760" t="s">
        <v>21</v>
      </c>
      <c r="E760" t="s">
        <v>22</v>
      </c>
      <c r="F760">
        <v>6</v>
      </c>
      <c r="G760" s="2">
        <v>46286.354166666664</v>
      </c>
      <c r="H760" s="2">
        <v>46409.729166666664</v>
      </c>
      <c r="I760" s="1">
        <v>46162</v>
      </c>
      <c r="J760" t="s">
        <v>1849</v>
      </c>
      <c r="K760" t="s">
        <v>1199</v>
      </c>
    </row>
    <row r="761" spans="1:11">
      <c r="A761" t="s">
        <v>886</v>
      </c>
      <c r="B761" t="s">
        <v>1898</v>
      </c>
      <c r="C761" t="s">
        <v>1899</v>
      </c>
      <c r="D761" t="s">
        <v>21</v>
      </c>
      <c r="E761" t="s">
        <v>22</v>
      </c>
      <c r="F761">
        <v>3</v>
      </c>
      <c r="G761" s="2">
        <v>46286.354166666664</v>
      </c>
      <c r="H761" s="2">
        <v>46409.729166666664</v>
      </c>
      <c r="I761" s="1">
        <v>46161</v>
      </c>
      <c r="J761" t="s">
        <v>1849</v>
      </c>
      <c r="K761" t="s">
        <v>1199</v>
      </c>
    </row>
    <row r="762" spans="1:11">
      <c r="A762" t="s">
        <v>886</v>
      </c>
      <c r="B762" t="s">
        <v>1900</v>
      </c>
      <c r="C762" t="s">
        <v>1901</v>
      </c>
      <c r="D762" t="s">
        <v>21</v>
      </c>
      <c r="E762" t="s">
        <v>22</v>
      </c>
      <c r="F762">
        <v>3</v>
      </c>
      <c r="G762" s="2">
        <v>46286.354166666664</v>
      </c>
      <c r="H762" s="2">
        <v>46409.729166666664</v>
      </c>
      <c r="I762" s="1">
        <v>46155</v>
      </c>
      <c r="J762" t="s">
        <v>1849</v>
      </c>
      <c r="K762" t="s">
        <v>1199</v>
      </c>
    </row>
    <row r="763" spans="1:11">
      <c r="A763" t="s">
        <v>886</v>
      </c>
      <c r="B763" t="s">
        <v>1902</v>
      </c>
      <c r="C763" t="s">
        <v>1903</v>
      </c>
      <c r="D763" t="s">
        <v>21</v>
      </c>
      <c r="E763" t="s">
        <v>22</v>
      </c>
      <c r="F763">
        <v>0</v>
      </c>
      <c r="G763" s="2">
        <v>46286.354166666664</v>
      </c>
      <c r="H763" s="2">
        <v>46409.729166666664</v>
      </c>
      <c r="I763" s="1">
        <v>45680</v>
      </c>
      <c r="J763" t="s">
        <v>1849</v>
      </c>
      <c r="K763" t="s">
        <v>1199</v>
      </c>
    </row>
    <row r="764" spans="1:11">
      <c r="A764" t="s">
        <v>886</v>
      </c>
      <c r="B764" t="s">
        <v>1904</v>
      </c>
      <c r="C764" t="s">
        <v>1905</v>
      </c>
      <c r="D764" t="s">
        <v>21</v>
      </c>
      <c r="E764" t="s">
        <v>22</v>
      </c>
      <c r="F764">
        <v>2</v>
      </c>
      <c r="G764" s="2">
        <v>46286.354166666664</v>
      </c>
      <c r="H764" s="2">
        <v>46409.729166666664</v>
      </c>
      <c r="I764" s="1">
        <v>46155</v>
      </c>
      <c r="J764" t="s">
        <v>1849</v>
      </c>
      <c r="K764" t="s">
        <v>1199</v>
      </c>
    </row>
    <row r="765" spans="1:11">
      <c r="A765" t="s">
        <v>886</v>
      </c>
      <c r="B765" t="s">
        <v>1906</v>
      </c>
      <c r="C765" t="s">
        <v>1907</v>
      </c>
      <c r="D765" t="s">
        <v>21</v>
      </c>
      <c r="E765" t="s">
        <v>22</v>
      </c>
      <c r="F765">
        <v>2</v>
      </c>
      <c r="G765" s="2">
        <v>46286.354166666664</v>
      </c>
      <c r="H765" s="2">
        <v>46409.729166666664</v>
      </c>
      <c r="I765" s="1">
        <v>46161</v>
      </c>
      <c r="J765" t="s">
        <v>1849</v>
      </c>
      <c r="K765" t="s">
        <v>1199</v>
      </c>
    </row>
    <row r="766" spans="1:11">
      <c r="A766" t="s">
        <v>886</v>
      </c>
      <c r="B766" t="s">
        <v>1908</v>
      </c>
      <c r="C766" t="s">
        <v>1909</v>
      </c>
      <c r="D766" t="s">
        <v>21</v>
      </c>
      <c r="E766" t="s">
        <v>22</v>
      </c>
      <c r="F766">
        <v>1</v>
      </c>
      <c r="G766" s="2">
        <v>46286.354166666664</v>
      </c>
      <c r="H766" s="2">
        <v>46409.729166666664</v>
      </c>
      <c r="I766" s="1">
        <v>46154</v>
      </c>
      <c r="J766" t="s">
        <v>1849</v>
      </c>
      <c r="K766" t="s">
        <v>1199</v>
      </c>
    </row>
    <row r="767" spans="1:11">
      <c r="A767" t="s">
        <v>886</v>
      </c>
      <c r="B767" t="s">
        <v>1910</v>
      </c>
      <c r="C767" t="s">
        <v>1911</v>
      </c>
      <c r="D767" t="s">
        <v>21</v>
      </c>
      <c r="E767" t="s">
        <v>22</v>
      </c>
      <c r="F767">
        <v>3</v>
      </c>
      <c r="G767" s="2">
        <v>46286.354166666664</v>
      </c>
      <c r="H767" s="2">
        <v>46409.729166666664</v>
      </c>
      <c r="I767" s="1">
        <v>46159</v>
      </c>
      <c r="J767" t="s">
        <v>1849</v>
      </c>
      <c r="K767" t="s">
        <v>1199</v>
      </c>
    </row>
    <row r="768" spans="1:11">
      <c r="A768" t="s">
        <v>886</v>
      </c>
      <c r="B768" t="s">
        <v>1912</v>
      </c>
      <c r="C768" t="s">
        <v>1913</v>
      </c>
      <c r="D768" t="s">
        <v>21</v>
      </c>
      <c r="E768" t="s">
        <v>22</v>
      </c>
      <c r="F768">
        <v>1</v>
      </c>
      <c r="G768" s="2">
        <v>46286.354166666664</v>
      </c>
      <c r="H768" s="2">
        <v>46409.729166666664</v>
      </c>
      <c r="I768" s="1">
        <v>46154</v>
      </c>
      <c r="J768" t="s">
        <v>1849</v>
      </c>
      <c r="K768" t="s">
        <v>1199</v>
      </c>
    </row>
    <row r="769" spans="1:11">
      <c r="A769" t="s">
        <v>886</v>
      </c>
      <c r="B769" t="s">
        <v>1914</v>
      </c>
      <c r="C769" t="s">
        <v>1915</v>
      </c>
      <c r="D769" t="s">
        <v>21</v>
      </c>
      <c r="E769" t="s">
        <v>22</v>
      </c>
      <c r="F769">
        <v>0</v>
      </c>
      <c r="G769" s="2">
        <v>46286.354166666664</v>
      </c>
      <c r="H769" s="2">
        <v>46409.729166666664</v>
      </c>
      <c r="I769" s="1">
        <v>45470</v>
      </c>
      <c r="J769" t="s">
        <v>1849</v>
      </c>
      <c r="K769" t="s">
        <v>1199</v>
      </c>
    </row>
    <row r="770" spans="1:11">
      <c r="A770" t="s">
        <v>886</v>
      </c>
      <c r="B770" t="s">
        <v>1916</v>
      </c>
      <c r="C770" t="s">
        <v>1917</v>
      </c>
      <c r="D770" t="s">
        <v>21</v>
      </c>
      <c r="E770" t="s">
        <v>22</v>
      </c>
      <c r="F770">
        <v>0</v>
      </c>
      <c r="G770" s="2">
        <v>46286.354166666664</v>
      </c>
      <c r="H770" s="2">
        <v>46409.729166666664</v>
      </c>
      <c r="I770" s="1">
        <v>45684</v>
      </c>
      <c r="J770" t="s">
        <v>1849</v>
      </c>
      <c r="K770" t="s">
        <v>1199</v>
      </c>
    </row>
    <row r="771" spans="1:11">
      <c r="A771" t="s">
        <v>886</v>
      </c>
      <c r="B771" t="s">
        <v>1918</v>
      </c>
      <c r="C771" t="s">
        <v>1919</v>
      </c>
      <c r="D771" t="s">
        <v>21</v>
      </c>
      <c r="E771" t="s">
        <v>22</v>
      </c>
      <c r="F771">
        <v>0</v>
      </c>
      <c r="G771" s="2">
        <v>46286.354166666664</v>
      </c>
      <c r="H771" s="2">
        <v>46409.729166666664</v>
      </c>
      <c r="I771" s="1">
        <v>45828</v>
      </c>
      <c r="J771" t="s">
        <v>1849</v>
      </c>
      <c r="K771" t="s">
        <v>1199</v>
      </c>
    </row>
    <row r="772" spans="1:11">
      <c r="A772" t="s">
        <v>886</v>
      </c>
      <c r="B772" t="s">
        <v>1920</v>
      </c>
      <c r="C772" t="s">
        <v>1921</v>
      </c>
      <c r="D772" t="s">
        <v>21</v>
      </c>
      <c r="E772" t="s">
        <v>22</v>
      </c>
      <c r="F772">
        <v>2</v>
      </c>
      <c r="G772" s="2">
        <v>46286.354166666664</v>
      </c>
      <c r="H772" s="2">
        <v>46409.729166666664</v>
      </c>
      <c r="I772" s="1">
        <v>46153</v>
      </c>
      <c r="J772" t="s">
        <v>1849</v>
      </c>
      <c r="K772" t="s">
        <v>1199</v>
      </c>
    </row>
    <row r="773" spans="1:11">
      <c r="A773" t="s">
        <v>886</v>
      </c>
      <c r="B773" t="s">
        <v>1922</v>
      </c>
      <c r="C773" t="s">
        <v>1923</v>
      </c>
      <c r="D773" t="s">
        <v>21</v>
      </c>
      <c r="E773" t="s">
        <v>22</v>
      </c>
      <c r="F773">
        <v>8</v>
      </c>
      <c r="G773" s="2">
        <v>46286.354166666664</v>
      </c>
      <c r="H773" s="2">
        <v>46409.729166666664</v>
      </c>
      <c r="I773" s="1">
        <v>46161</v>
      </c>
      <c r="J773" t="s">
        <v>1849</v>
      </c>
      <c r="K773" t="s">
        <v>1199</v>
      </c>
    </row>
    <row r="774" spans="1:11">
      <c r="A774" t="s">
        <v>886</v>
      </c>
      <c r="B774" t="s">
        <v>1924</v>
      </c>
      <c r="C774" t="s">
        <v>1925</v>
      </c>
      <c r="D774" t="s">
        <v>21</v>
      </c>
      <c r="E774" t="s">
        <v>22</v>
      </c>
      <c r="F774">
        <v>5</v>
      </c>
      <c r="G774" s="2">
        <v>46286.354166666664</v>
      </c>
      <c r="H774" s="2">
        <v>46409.729166666664</v>
      </c>
      <c r="I774" s="1">
        <v>46161</v>
      </c>
      <c r="J774" t="s">
        <v>1849</v>
      </c>
      <c r="K774" t="s">
        <v>1199</v>
      </c>
    </row>
    <row r="775" spans="1:11">
      <c r="A775" t="s">
        <v>886</v>
      </c>
      <c r="B775" t="s">
        <v>1926</v>
      </c>
      <c r="C775" t="s">
        <v>1927</v>
      </c>
      <c r="D775" t="s">
        <v>21</v>
      </c>
      <c r="E775" t="s">
        <v>22</v>
      </c>
      <c r="F775">
        <v>0</v>
      </c>
      <c r="G775" s="2">
        <v>46286.354166666664</v>
      </c>
      <c r="H775" s="2">
        <v>46409.729166666664</v>
      </c>
      <c r="I775" s="1">
        <v>46132</v>
      </c>
      <c r="J775" t="s">
        <v>1849</v>
      </c>
      <c r="K775" t="s">
        <v>1199</v>
      </c>
    </row>
    <row r="776" spans="1:11">
      <c r="A776" t="s">
        <v>886</v>
      </c>
      <c r="B776" t="s">
        <v>1928</v>
      </c>
      <c r="C776" t="s">
        <v>1929</v>
      </c>
      <c r="D776" t="s">
        <v>21</v>
      </c>
      <c r="E776" t="s">
        <v>22</v>
      </c>
      <c r="F776">
        <v>8</v>
      </c>
      <c r="G776" s="2">
        <v>46286.354166666664</v>
      </c>
      <c r="H776" s="2">
        <v>46409.729166666664</v>
      </c>
      <c r="I776" s="1">
        <v>46162</v>
      </c>
      <c r="J776" t="s">
        <v>1849</v>
      </c>
      <c r="K776" t="s">
        <v>1199</v>
      </c>
    </row>
    <row r="777" spans="1:11">
      <c r="A777" t="s">
        <v>886</v>
      </c>
      <c r="B777" t="s">
        <v>1930</v>
      </c>
      <c r="C777" t="s">
        <v>1931</v>
      </c>
      <c r="D777" t="s">
        <v>21</v>
      </c>
      <c r="E777" t="s">
        <v>22</v>
      </c>
      <c r="F777">
        <v>1</v>
      </c>
      <c r="G777" s="2">
        <v>46286.354166666664</v>
      </c>
      <c r="H777" s="2">
        <v>46409.729166666664</v>
      </c>
      <c r="I777" s="1">
        <v>46153</v>
      </c>
      <c r="J777" t="s">
        <v>1849</v>
      </c>
      <c r="K777" t="s">
        <v>1199</v>
      </c>
    </row>
    <row r="778" spans="1:11">
      <c r="A778" t="s">
        <v>886</v>
      </c>
      <c r="B778" t="s">
        <v>1932</v>
      </c>
      <c r="C778" t="s">
        <v>1933</v>
      </c>
      <c r="D778" t="s">
        <v>21</v>
      </c>
      <c r="E778" t="s">
        <v>22</v>
      </c>
      <c r="F778">
        <v>4</v>
      </c>
      <c r="G778" s="2">
        <v>46286.354166666664</v>
      </c>
      <c r="H778" s="2">
        <v>46409.729166666664</v>
      </c>
      <c r="I778" s="1">
        <v>46157</v>
      </c>
      <c r="J778" t="s">
        <v>1849</v>
      </c>
      <c r="K778" t="s">
        <v>1199</v>
      </c>
    </row>
    <row r="779" spans="1:11">
      <c r="A779" t="s">
        <v>886</v>
      </c>
      <c r="B779" t="s">
        <v>1934</v>
      </c>
      <c r="C779" t="s">
        <v>1935</v>
      </c>
      <c r="D779" t="s">
        <v>21</v>
      </c>
      <c r="E779" t="s">
        <v>22</v>
      </c>
      <c r="F779">
        <v>1</v>
      </c>
      <c r="G779" s="2">
        <v>46286.354166666664</v>
      </c>
      <c r="H779" s="2">
        <v>46409.729166666664</v>
      </c>
      <c r="I779" s="1">
        <v>46153</v>
      </c>
      <c r="J779" t="s">
        <v>1849</v>
      </c>
      <c r="K779" t="s">
        <v>1199</v>
      </c>
    </row>
    <row r="780" spans="1:11">
      <c r="A780" t="s">
        <v>886</v>
      </c>
      <c r="B780" t="s">
        <v>1936</v>
      </c>
      <c r="C780" t="s">
        <v>1937</v>
      </c>
      <c r="D780" t="s">
        <v>21</v>
      </c>
      <c r="E780" t="s">
        <v>22</v>
      </c>
      <c r="F780">
        <v>1</v>
      </c>
      <c r="G780" s="2">
        <v>46286.354166666664</v>
      </c>
      <c r="H780" s="2">
        <v>46409.729166666664</v>
      </c>
      <c r="I780" s="1">
        <v>46153</v>
      </c>
      <c r="J780" t="s">
        <v>1849</v>
      </c>
      <c r="K780" t="s">
        <v>1199</v>
      </c>
    </row>
    <row r="781" spans="1:11">
      <c r="A781" t="s">
        <v>886</v>
      </c>
      <c r="B781" t="s">
        <v>1938</v>
      </c>
      <c r="C781" t="s">
        <v>1939</v>
      </c>
      <c r="D781" t="s">
        <v>21</v>
      </c>
      <c r="E781" t="s">
        <v>22</v>
      </c>
      <c r="F781">
        <v>0</v>
      </c>
      <c r="G781" s="2">
        <v>46286.354166666664</v>
      </c>
      <c r="H781" s="2">
        <v>46409.729166666664</v>
      </c>
      <c r="I781" s="1">
        <v>46044</v>
      </c>
      <c r="J781" t="s">
        <v>1849</v>
      </c>
      <c r="K781" t="s">
        <v>1199</v>
      </c>
    </row>
    <row r="782" spans="1:11">
      <c r="A782" t="s">
        <v>886</v>
      </c>
      <c r="B782" t="s">
        <v>1940</v>
      </c>
      <c r="C782" t="s">
        <v>1941</v>
      </c>
      <c r="D782" t="s">
        <v>21</v>
      </c>
      <c r="E782" t="s">
        <v>22</v>
      </c>
      <c r="F782">
        <v>0</v>
      </c>
      <c r="G782" s="2">
        <v>46286.354166666664</v>
      </c>
      <c r="H782" s="2">
        <v>46409.729166666664</v>
      </c>
      <c r="I782" s="1">
        <v>46071</v>
      </c>
      <c r="J782" t="s">
        <v>1849</v>
      </c>
      <c r="K782" t="s">
        <v>1199</v>
      </c>
    </row>
    <row r="783" spans="1:11">
      <c r="A783" t="s">
        <v>886</v>
      </c>
      <c r="B783" t="s">
        <v>1942</v>
      </c>
      <c r="C783" t="s">
        <v>1943</v>
      </c>
      <c r="D783" t="s">
        <v>21</v>
      </c>
      <c r="E783" t="s">
        <v>22</v>
      </c>
      <c r="F783">
        <v>6</v>
      </c>
      <c r="G783" s="2">
        <v>46286.354166666664</v>
      </c>
      <c r="H783" s="2">
        <v>46409.729166666664</v>
      </c>
      <c r="I783" s="1">
        <v>46160</v>
      </c>
      <c r="J783" t="s">
        <v>1849</v>
      </c>
      <c r="K783" t="s">
        <v>1199</v>
      </c>
    </row>
    <row r="784" spans="1:11">
      <c r="A784" t="s">
        <v>886</v>
      </c>
      <c r="B784" t="s">
        <v>1944</v>
      </c>
      <c r="C784" t="s">
        <v>1945</v>
      </c>
      <c r="D784" t="s">
        <v>21</v>
      </c>
      <c r="E784" t="s">
        <v>22</v>
      </c>
      <c r="F784">
        <v>1</v>
      </c>
      <c r="G784" s="2">
        <v>46286.354166666664</v>
      </c>
      <c r="H784" s="2">
        <v>46409.729166666664</v>
      </c>
      <c r="I784" s="1">
        <v>46162</v>
      </c>
      <c r="J784" t="s">
        <v>1849</v>
      </c>
      <c r="K784" t="s">
        <v>1199</v>
      </c>
    </row>
    <row r="785" spans="1:11">
      <c r="A785" t="s">
        <v>886</v>
      </c>
      <c r="B785" t="s">
        <v>1946</v>
      </c>
      <c r="C785" t="s">
        <v>1947</v>
      </c>
      <c r="D785" t="s">
        <v>21</v>
      </c>
      <c r="E785" t="s">
        <v>22</v>
      </c>
      <c r="F785">
        <v>0</v>
      </c>
      <c r="G785" s="2">
        <v>46286.354166666664</v>
      </c>
      <c r="H785" s="2">
        <v>46409.729166666664</v>
      </c>
      <c r="I785" t="s">
        <v>198</v>
      </c>
      <c r="J785" t="s">
        <v>1849</v>
      </c>
      <c r="K785" t="s">
        <v>1199</v>
      </c>
    </row>
    <row r="786" spans="1:11">
      <c r="A786" t="s">
        <v>886</v>
      </c>
      <c r="B786" t="s">
        <v>1948</v>
      </c>
      <c r="C786" t="s">
        <v>1949</v>
      </c>
      <c r="D786" t="s">
        <v>21</v>
      </c>
      <c r="E786" t="s">
        <v>22</v>
      </c>
      <c r="F786">
        <v>0</v>
      </c>
      <c r="G786" s="2">
        <v>46286.354166666664</v>
      </c>
      <c r="H786" s="2">
        <v>46409.729166666664</v>
      </c>
      <c r="I786" t="s">
        <v>198</v>
      </c>
      <c r="J786" t="s">
        <v>1849</v>
      </c>
      <c r="K786" t="s">
        <v>1199</v>
      </c>
    </row>
    <row r="787" spans="1:11">
      <c r="A787" t="s">
        <v>886</v>
      </c>
      <c r="B787" t="s">
        <v>1950</v>
      </c>
      <c r="C787" t="s">
        <v>1951</v>
      </c>
      <c r="D787" t="s">
        <v>21</v>
      </c>
      <c r="E787" t="s">
        <v>22</v>
      </c>
      <c r="F787">
        <v>0</v>
      </c>
      <c r="G787" s="2">
        <v>46286.354166666664</v>
      </c>
      <c r="H787" s="2">
        <v>46409.729166666664</v>
      </c>
      <c r="I787" t="s">
        <v>198</v>
      </c>
      <c r="J787" t="s">
        <v>1849</v>
      </c>
      <c r="K787" t="s">
        <v>1199</v>
      </c>
    </row>
    <row r="788" spans="1:11">
      <c r="A788" t="s">
        <v>886</v>
      </c>
      <c r="B788" t="s">
        <v>1952</v>
      </c>
      <c r="C788" t="s">
        <v>1953</v>
      </c>
      <c r="D788" t="s">
        <v>21</v>
      </c>
      <c r="E788" t="s">
        <v>22</v>
      </c>
      <c r="F788">
        <v>4</v>
      </c>
      <c r="G788" s="2">
        <v>46286.354166666664</v>
      </c>
      <c r="H788" s="2">
        <v>46409.729166666664</v>
      </c>
      <c r="I788" s="1">
        <v>46162</v>
      </c>
      <c r="J788" t="s">
        <v>1849</v>
      </c>
      <c r="K788" t="s">
        <v>1199</v>
      </c>
    </row>
    <row r="789" spans="1:11">
      <c r="A789" t="s">
        <v>886</v>
      </c>
      <c r="B789" t="s">
        <v>1954</v>
      </c>
      <c r="C789" t="s">
        <v>1955</v>
      </c>
      <c r="D789" t="s">
        <v>21</v>
      </c>
      <c r="E789" t="s">
        <v>22</v>
      </c>
      <c r="F789">
        <v>3</v>
      </c>
      <c r="G789" s="2">
        <v>46286.354166666664</v>
      </c>
      <c r="H789" s="2">
        <v>46409.729166666664</v>
      </c>
      <c r="I789" s="1">
        <v>46163</v>
      </c>
      <c r="J789" t="s">
        <v>1849</v>
      </c>
      <c r="K789" t="s">
        <v>1199</v>
      </c>
    </row>
    <row r="790" spans="1:11">
      <c r="A790" t="s">
        <v>886</v>
      </c>
      <c r="B790" t="s">
        <v>1956</v>
      </c>
      <c r="C790" t="s">
        <v>1957</v>
      </c>
      <c r="D790" t="s">
        <v>21</v>
      </c>
      <c r="E790" t="s">
        <v>22</v>
      </c>
      <c r="F790">
        <v>0</v>
      </c>
      <c r="G790" s="2">
        <v>46286.354166666664</v>
      </c>
      <c r="H790" s="2">
        <v>46409.729166666664</v>
      </c>
      <c r="I790" t="s">
        <v>198</v>
      </c>
      <c r="J790" t="s">
        <v>1849</v>
      </c>
      <c r="K790" t="s">
        <v>1199</v>
      </c>
    </row>
    <row r="791" spans="1:11">
      <c r="A791" t="s">
        <v>886</v>
      </c>
      <c r="B791" t="s">
        <v>1958</v>
      </c>
      <c r="C791" t="s">
        <v>1959</v>
      </c>
      <c r="D791" t="s">
        <v>21</v>
      </c>
      <c r="E791" t="s">
        <v>22</v>
      </c>
      <c r="F791">
        <v>0</v>
      </c>
      <c r="G791" s="2">
        <v>46286.354166666664</v>
      </c>
      <c r="H791" s="2">
        <v>46409.729166666664</v>
      </c>
      <c r="I791" s="1">
        <v>45321</v>
      </c>
      <c r="J791" t="s">
        <v>1849</v>
      </c>
      <c r="K791" t="s">
        <v>1199</v>
      </c>
    </row>
    <row r="792" spans="1:11">
      <c r="A792" t="s">
        <v>886</v>
      </c>
      <c r="B792" t="s">
        <v>1960</v>
      </c>
      <c r="C792" t="s">
        <v>1961</v>
      </c>
      <c r="D792" t="s">
        <v>21</v>
      </c>
      <c r="E792" t="s">
        <v>22</v>
      </c>
      <c r="F792">
        <v>1</v>
      </c>
      <c r="G792" s="2">
        <v>46286.354166666664</v>
      </c>
      <c r="H792" s="2">
        <v>46409.729166666664</v>
      </c>
      <c r="I792" s="1">
        <v>46161</v>
      </c>
      <c r="J792" t="s">
        <v>1849</v>
      </c>
      <c r="K792" t="s">
        <v>1199</v>
      </c>
    </row>
    <row r="793" spans="1:11">
      <c r="A793" t="s">
        <v>886</v>
      </c>
      <c r="B793" t="s">
        <v>1962</v>
      </c>
      <c r="C793" t="s">
        <v>1963</v>
      </c>
      <c r="D793" t="s">
        <v>21</v>
      </c>
      <c r="E793" t="s">
        <v>22</v>
      </c>
      <c r="F793">
        <v>0</v>
      </c>
      <c r="G793" s="2">
        <v>46286.354166666664</v>
      </c>
      <c r="H793" s="2">
        <v>46409.729166666664</v>
      </c>
      <c r="I793" s="1">
        <v>45684</v>
      </c>
      <c r="J793" t="s">
        <v>1849</v>
      </c>
      <c r="K793" t="s">
        <v>1199</v>
      </c>
    </row>
    <row r="794" spans="1:11">
      <c r="A794" t="s">
        <v>886</v>
      </c>
      <c r="B794" t="s">
        <v>1964</v>
      </c>
      <c r="C794" t="s">
        <v>1965</v>
      </c>
      <c r="D794" t="s">
        <v>21</v>
      </c>
      <c r="E794" t="s">
        <v>22</v>
      </c>
      <c r="F794">
        <v>1</v>
      </c>
      <c r="G794" s="2">
        <v>46286.354166666664</v>
      </c>
      <c r="H794" s="2">
        <v>46409.729166666664</v>
      </c>
      <c r="I794" s="1">
        <v>46153</v>
      </c>
      <c r="J794" t="s">
        <v>1849</v>
      </c>
      <c r="K794" t="s">
        <v>1199</v>
      </c>
    </row>
    <row r="795" spans="1:11">
      <c r="A795" t="s">
        <v>886</v>
      </c>
      <c r="B795" t="s">
        <v>1966</v>
      </c>
      <c r="C795" t="s">
        <v>1967</v>
      </c>
      <c r="D795" t="s">
        <v>21</v>
      </c>
      <c r="E795" t="s">
        <v>22</v>
      </c>
      <c r="F795">
        <v>0</v>
      </c>
      <c r="G795" s="2">
        <v>46286.354166666664</v>
      </c>
      <c r="H795" s="2">
        <v>46409.729166666664</v>
      </c>
      <c r="I795" s="1">
        <v>46042</v>
      </c>
      <c r="J795" t="s">
        <v>1849</v>
      </c>
      <c r="K795" t="s">
        <v>1199</v>
      </c>
    </row>
    <row r="796" spans="1:11">
      <c r="A796" t="s">
        <v>886</v>
      </c>
      <c r="B796" t="s">
        <v>1968</v>
      </c>
      <c r="C796" t="s">
        <v>1969</v>
      </c>
      <c r="D796" t="s">
        <v>21</v>
      </c>
      <c r="E796" t="s">
        <v>22</v>
      </c>
      <c r="F796">
        <v>4</v>
      </c>
      <c r="G796" s="2">
        <v>46286.520833333336</v>
      </c>
      <c r="H796" s="2">
        <v>46409.5625</v>
      </c>
      <c r="I796" s="1">
        <v>46153</v>
      </c>
      <c r="J796" t="s">
        <v>1970</v>
      </c>
      <c r="K796" t="s">
        <v>1199</v>
      </c>
    </row>
    <row r="797" spans="1:11">
      <c r="A797" t="s">
        <v>886</v>
      </c>
      <c r="B797" t="s">
        <v>1971</v>
      </c>
      <c r="C797" t="s">
        <v>1972</v>
      </c>
      <c r="D797" t="s">
        <v>21</v>
      </c>
      <c r="E797" t="s">
        <v>22</v>
      </c>
      <c r="F797">
        <v>12</v>
      </c>
      <c r="G797" s="2">
        <v>46286.506944444445</v>
      </c>
      <c r="H797" s="2">
        <v>46409.5625</v>
      </c>
      <c r="I797" s="1">
        <v>46161</v>
      </c>
      <c r="J797" t="s">
        <v>1973</v>
      </c>
      <c r="K797" t="s">
        <v>1199</v>
      </c>
    </row>
    <row r="798" spans="1:11">
      <c r="A798" t="s">
        <v>886</v>
      </c>
      <c r="B798" t="s">
        <v>1974</v>
      </c>
      <c r="C798" t="s">
        <v>1975</v>
      </c>
      <c r="D798" t="s">
        <v>21</v>
      </c>
      <c r="E798" t="s">
        <v>22</v>
      </c>
      <c r="F798">
        <v>101</v>
      </c>
      <c r="G798" s="2">
        <v>46286.354166666664</v>
      </c>
      <c r="H798" s="2">
        <v>46409.729166666664</v>
      </c>
      <c r="I798" s="1">
        <v>46163</v>
      </c>
      <c r="J798" t="s">
        <v>1849</v>
      </c>
      <c r="K798" t="s">
        <v>1199</v>
      </c>
    </row>
    <row r="799" spans="1:11">
      <c r="A799" t="s">
        <v>886</v>
      </c>
      <c r="B799" t="s">
        <v>1976</v>
      </c>
      <c r="C799" t="s">
        <v>1977</v>
      </c>
      <c r="D799" t="s">
        <v>21</v>
      </c>
      <c r="E799" t="s">
        <v>22</v>
      </c>
      <c r="F799">
        <v>51</v>
      </c>
      <c r="G799" s="2">
        <v>46286.354166666664</v>
      </c>
      <c r="H799" s="2">
        <v>46409.729166666664</v>
      </c>
      <c r="I799" s="1">
        <v>46162</v>
      </c>
      <c r="J799" t="s">
        <v>1849</v>
      </c>
      <c r="K799" t="s">
        <v>1199</v>
      </c>
    </row>
    <row r="800" spans="1:11">
      <c r="A800" t="s">
        <v>886</v>
      </c>
      <c r="B800" t="s">
        <v>1978</v>
      </c>
      <c r="C800" t="s">
        <v>1979</v>
      </c>
      <c r="D800" t="s">
        <v>21</v>
      </c>
      <c r="E800" t="s">
        <v>22</v>
      </c>
      <c r="F800">
        <v>60</v>
      </c>
      <c r="G800" s="2">
        <v>46286.354166666664</v>
      </c>
      <c r="H800" s="2">
        <v>46409.729166666664</v>
      </c>
      <c r="I800" s="1">
        <v>46163</v>
      </c>
      <c r="J800" t="s">
        <v>1849</v>
      </c>
      <c r="K800" t="s">
        <v>1199</v>
      </c>
    </row>
    <row r="801" spans="1:11">
      <c r="A801" t="s">
        <v>886</v>
      </c>
      <c r="B801" t="s">
        <v>1980</v>
      </c>
      <c r="C801" t="s">
        <v>1981</v>
      </c>
      <c r="D801" t="s">
        <v>21</v>
      </c>
      <c r="E801" t="s">
        <v>22</v>
      </c>
      <c r="F801">
        <v>52</v>
      </c>
      <c r="G801" s="2">
        <v>46286.354166666664</v>
      </c>
      <c r="H801" s="2">
        <v>46409.729166666664</v>
      </c>
      <c r="I801" s="1">
        <v>46163</v>
      </c>
      <c r="J801" t="s">
        <v>1849</v>
      </c>
      <c r="K801" t="s">
        <v>1199</v>
      </c>
    </row>
    <row r="802" spans="1:11">
      <c r="A802" t="s">
        <v>886</v>
      </c>
      <c r="B802" t="s">
        <v>1982</v>
      </c>
      <c r="C802" t="s">
        <v>1983</v>
      </c>
      <c r="D802" t="s">
        <v>21</v>
      </c>
      <c r="E802" t="s">
        <v>22</v>
      </c>
      <c r="F802">
        <v>52</v>
      </c>
      <c r="G802" s="2">
        <v>46286.354166666664</v>
      </c>
      <c r="H802" s="2">
        <v>46409.729166666664</v>
      </c>
      <c r="I802" s="1">
        <v>46163</v>
      </c>
      <c r="J802" t="s">
        <v>1849</v>
      </c>
      <c r="K802" t="s">
        <v>1199</v>
      </c>
    </row>
    <row r="803" spans="1:11">
      <c r="A803" t="s">
        <v>886</v>
      </c>
      <c r="B803" t="s">
        <v>1984</v>
      </c>
      <c r="C803" t="s">
        <v>1985</v>
      </c>
      <c r="D803" t="s">
        <v>21</v>
      </c>
      <c r="E803" t="s">
        <v>22</v>
      </c>
      <c r="F803">
        <v>43</v>
      </c>
      <c r="G803" s="2">
        <v>46286.354166666664</v>
      </c>
      <c r="H803" s="2">
        <v>46409.729166666664</v>
      </c>
      <c r="I803" s="1">
        <v>46162</v>
      </c>
      <c r="J803" t="s">
        <v>1849</v>
      </c>
      <c r="K803" t="s">
        <v>1199</v>
      </c>
    </row>
    <row r="804" spans="1:11">
      <c r="A804" t="s">
        <v>886</v>
      </c>
      <c r="B804" t="s">
        <v>1986</v>
      </c>
      <c r="C804" t="s">
        <v>1987</v>
      </c>
      <c r="D804" t="s">
        <v>21</v>
      </c>
      <c r="E804" t="s">
        <v>22</v>
      </c>
      <c r="F804">
        <v>33</v>
      </c>
      <c r="G804" s="2">
        <v>46286.354166666664</v>
      </c>
      <c r="H804" s="2">
        <v>46409.729166666664</v>
      </c>
      <c r="I804" s="1">
        <v>46162</v>
      </c>
      <c r="J804" t="s">
        <v>1849</v>
      </c>
      <c r="K804" t="s">
        <v>1199</v>
      </c>
    </row>
    <row r="805" spans="1:11">
      <c r="A805" t="s">
        <v>886</v>
      </c>
      <c r="B805" t="s">
        <v>1988</v>
      </c>
      <c r="C805" t="s">
        <v>1989</v>
      </c>
      <c r="D805" t="s">
        <v>21</v>
      </c>
      <c r="E805" t="s">
        <v>22</v>
      </c>
      <c r="F805">
        <v>37</v>
      </c>
      <c r="G805" s="2">
        <v>46286.354166666664</v>
      </c>
      <c r="H805" s="2">
        <v>46409.729166666664</v>
      </c>
      <c r="I805" s="1">
        <v>46162</v>
      </c>
      <c r="J805" t="s">
        <v>1849</v>
      </c>
      <c r="K805" t="s">
        <v>1199</v>
      </c>
    </row>
    <row r="806" spans="1:11">
      <c r="A806" t="s">
        <v>886</v>
      </c>
      <c r="B806" t="s">
        <v>1990</v>
      </c>
      <c r="C806" t="s">
        <v>1991</v>
      </c>
      <c r="D806" t="s">
        <v>21</v>
      </c>
      <c r="E806" t="s">
        <v>22</v>
      </c>
      <c r="F806">
        <v>4</v>
      </c>
      <c r="G806" s="2">
        <v>46286.520833333336</v>
      </c>
      <c r="H806" s="2">
        <v>46409.5625</v>
      </c>
      <c r="I806" s="1">
        <v>46156</v>
      </c>
      <c r="J806" t="s">
        <v>1970</v>
      </c>
      <c r="K806" t="s">
        <v>1199</v>
      </c>
    </row>
    <row r="807" spans="1:11">
      <c r="A807" t="s">
        <v>886</v>
      </c>
      <c r="B807" t="s">
        <v>1992</v>
      </c>
      <c r="C807" t="s">
        <v>1993</v>
      </c>
      <c r="D807" t="s">
        <v>21</v>
      </c>
      <c r="E807" t="s">
        <v>22</v>
      </c>
      <c r="F807">
        <v>14</v>
      </c>
      <c r="G807" s="2">
        <v>46286.506944444445</v>
      </c>
      <c r="H807" s="2">
        <v>46409.5625</v>
      </c>
      <c r="I807" s="1">
        <v>46162</v>
      </c>
      <c r="J807" t="s">
        <v>1973</v>
      </c>
      <c r="K807" t="s">
        <v>1199</v>
      </c>
    </row>
    <row r="808" spans="1:11">
      <c r="A808" t="s">
        <v>886</v>
      </c>
      <c r="B808" t="s">
        <v>1994</v>
      </c>
      <c r="C808" t="s">
        <v>1995</v>
      </c>
      <c r="D808" t="s">
        <v>21</v>
      </c>
      <c r="E808" t="s">
        <v>22</v>
      </c>
      <c r="F808">
        <v>5</v>
      </c>
      <c r="G808" s="2">
        <v>46286.354166666664</v>
      </c>
      <c r="H808" s="2">
        <v>46409.729166666664</v>
      </c>
      <c r="I808" s="1">
        <v>46162</v>
      </c>
      <c r="J808" t="s">
        <v>1849</v>
      </c>
      <c r="K808" t="s">
        <v>1199</v>
      </c>
    </row>
    <row r="809" spans="1:11">
      <c r="A809" t="s">
        <v>886</v>
      </c>
      <c r="B809" t="s">
        <v>1996</v>
      </c>
      <c r="C809" t="s">
        <v>1997</v>
      </c>
      <c r="D809" t="s">
        <v>21</v>
      </c>
      <c r="E809" t="s">
        <v>22</v>
      </c>
      <c r="F809">
        <v>10</v>
      </c>
      <c r="G809" s="2">
        <v>46286.354166666664</v>
      </c>
      <c r="H809" s="2">
        <v>46409.729166666664</v>
      </c>
      <c r="I809" s="1">
        <v>46161</v>
      </c>
      <c r="J809" t="s">
        <v>1849</v>
      </c>
      <c r="K809" t="s">
        <v>1199</v>
      </c>
    </row>
    <row r="810" spans="1:11">
      <c r="A810" t="s">
        <v>886</v>
      </c>
      <c r="B810" t="s">
        <v>1998</v>
      </c>
      <c r="C810" t="s">
        <v>1999</v>
      </c>
      <c r="D810" t="s">
        <v>21</v>
      </c>
      <c r="E810" t="s">
        <v>22</v>
      </c>
      <c r="F810">
        <v>12</v>
      </c>
      <c r="G810" s="2">
        <v>46286.354166666664</v>
      </c>
      <c r="H810" s="2">
        <v>46409.729166666664</v>
      </c>
      <c r="I810" s="1">
        <v>46163</v>
      </c>
      <c r="J810" t="s">
        <v>1849</v>
      </c>
      <c r="K810" t="s">
        <v>1199</v>
      </c>
    </row>
    <row r="811" spans="1:11">
      <c r="A811" t="s">
        <v>886</v>
      </c>
      <c r="B811" t="s">
        <v>2000</v>
      </c>
      <c r="C811" t="s">
        <v>2001</v>
      </c>
      <c r="D811" t="s">
        <v>21</v>
      </c>
      <c r="E811" t="s">
        <v>22</v>
      </c>
      <c r="F811">
        <v>17</v>
      </c>
      <c r="G811" s="2">
        <v>46286.354166666664</v>
      </c>
      <c r="H811" s="2">
        <v>46409.729166666664</v>
      </c>
      <c r="I811" s="1">
        <v>46163</v>
      </c>
      <c r="J811" t="s">
        <v>1849</v>
      </c>
      <c r="K811" t="s">
        <v>1199</v>
      </c>
    </row>
    <row r="812" spans="1:11">
      <c r="A812" t="s">
        <v>886</v>
      </c>
      <c r="B812" t="s">
        <v>2002</v>
      </c>
      <c r="C812" t="s">
        <v>2003</v>
      </c>
      <c r="D812" t="s">
        <v>21</v>
      </c>
      <c r="E812" t="s">
        <v>22</v>
      </c>
      <c r="F812">
        <v>23</v>
      </c>
      <c r="G812" s="2">
        <v>46286.354166666664</v>
      </c>
      <c r="H812" s="2">
        <v>46409.729166666664</v>
      </c>
      <c r="I812" s="1">
        <v>46163</v>
      </c>
      <c r="J812" t="s">
        <v>1849</v>
      </c>
      <c r="K812" t="s">
        <v>1199</v>
      </c>
    </row>
    <row r="813" spans="1:11">
      <c r="A813" t="s">
        <v>886</v>
      </c>
      <c r="B813" t="s">
        <v>2004</v>
      </c>
      <c r="C813" t="s">
        <v>2005</v>
      </c>
      <c r="D813" t="s">
        <v>21</v>
      </c>
      <c r="E813" t="s">
        <v>22</v>
      </c>
      <c r="F813">
        <v>22</v>
      </c>
      <c r="G813" s="2">
        <v>46286.354166666664</v>
      </c>
      <c r="H813" s="2">
        <v>46409.729166666664</v>
      </c>
      <c r="I813" s="1">
        <v>46163</v>
      </c>
      <c r="J813" t="s">
        <v>1849</v>
      </c>
      <c r="K813" t="s">
        <v>1199</v>
      </c>
    </row>
    <row r="814" spans="1:11">
      <c r="A814" t="s">
        <v>886</v>
      </c>
      <c r="B814" t="s">
        <v>2006</v>
      </c>
      <c r="C814" t="s">
        <v>2007</v>
      </c>
      <c r="D814" t="s">
        <v>21</v>
      </c>
      <c r="E814" t="s">
        <v>22</v>
      </c>
      <c r="F814">
        <v>32</v>
      </c>
      <c r="G814" s="2">
        <v>46286.354166666664</v>
      </c>
      <c r="H814" s="2">
        <v>46409.729166666664</v>
      </c>
      <c r="I814" s="1">
        <v>46163</v>
      </c>
      <c r="J814" t="s">
        <v>1849</v>
      </c>
      <c r="K814" t="s">
        <v>1199</v>
      </c>
    </row>
    <row r="815" spans="1:11">
      <c r="A815" t="s">
        <v>886</v>
      </c>
      <c r="B815" t="s">
        <v>2008</v>
      </c>
      <c r="C815" t="s">
        <v>2009</v>
      </c>
      <c r="D815" t="s">
        <v>21</v>
      </c>
      <c r="E815" t="s">
        <v>22</v>
      </c>
      <c r="F815">
        <v>23</v>
      </c>
      <c r="G815" s="2">
        <v>46286.354166666664</v>
      </c>
      <c r="H815" s="2">
        <v>46409.729166666664</v>
      </c>
      <c r="I815" s="1">
        <v>46163</v>
      </c>
      <c r="J815" t="s">
        <v>1849</v>
      </c>
      <c r="K815" t="s">
        <v>1199</v>
      </c>
    </row>
    <row r="816" spans="1:11">
      <c r="A816" t="s">
        <v>886</v>
      </c>
      <c r="B816" t="s">
        <v>2010</v>
      </c>
      <c r="C816" t="s">
        <v>2011</v>
      </c>
      <c r="D816" t="s">
        <v>21</v>
      </c>
      <c r="E816" t="s">
        <v>22</v>
      </c>
      <c r="F816">
        <v>25</v>
      </c>
      <c r="G816" s="2">
        <v>46286.354166666664</v>
      </c>
      <c r="H816" s="2">
        <v>46409.729166666664</v>
      </c>
      <c r="I816" s="1">
        <v>46163</v>
      </c>
      <c r="J816" t="s">
        <v>1849</v>
      </c>
      <c r="K816" t="s">
        <v>1199</v>
      </c>
    </row>
    <row r="817" spans="1:11">
      <c r="A817" t="s">
        <v>886</v>
      </c>
      <c r="B817" t="s">
        <v>2012</v>
      </c>
      <c r="C817" t="s">
        <v>2013</v>
      </c>
      <c r="D817" t="s">
        <v>21</v>
      </c>
      <c r="E817" t="s">
        <v>22</v>
      </c>
      <c r="F817">
        <v>27</v>
      </c>
      <c r="G817" s="2">
        <v>46286.354166666664</v>
      </c>
      <c r="H817" s="2">
        <v>46409.729166666664</v>
      </c>
      <c r="I817" s="1">
        <v>46163</v>
      </c>
      <c r="J817" t="s">
        <v>1849</v>
      </c>
      <c r="K817" t="s">
        <v>1199</v>
      </c>
    </row>
    <row r="818" spans="1:11">
      <c r="A818" t="s">
        <v>886</v>
      </c>
      <c r="B818" t="s">
        <v>2014</v>
      </c>
      <c r="C818" t="s">
        <v>2015</v>
      </c>
      <c r="D818" t="s">
        <v>21</v>
      </c>
      <c r="E818" t="s">
        <v>22</v>
      </c>
      <c r="F818">
        <v>22</v>
      </c>
      <c r="G818" s="2">
        <v>46286.354166666664</v>
      </c>
      <c r="H818" s="2">
        <v>46409.729166666664</v>
      </c>
      <c r="I818" s="1">
        <v>46163</v>
      </c>
      <c r="J818" t="s">
        <v>1849</v>
      </c>
      <c r="K818" t="s">
        <v>1199</v>
      </c>
    </row>
    <row r="819" spans="1:11">
      <c r="A819" t="s">
        <v>886</v>
      </c>
      <c r="B819" t="s">
        <v>2016</v>
      </c>
      <c r="C819" t="s">
        <v>2017</v>
      </c>
      <c r="D819" t="s">
        <v>21</v>
      </c>
      <c r="E819" t="s">
        <v>22</v>
      </c>
      <c r="F819">
        <v>9</v>
      </c>
      <c r="G819" s="2">
        <v>46286.354166666664</v>
      </c>
      <c r="H819" s="2">
        <v>46409.729166666664</v>
      </c>
      <c r="I819" s="1">
        <v>46163</v>
      </c>
      <c r="J819" t="s">
        <v>1849</v>
      </c>
      <c r="K819" t="s">
        <v>1199</v>
      </c>
    </row>
    <row r="820" spans="1:11">
      <c r="A820" t="s">
        <v>886</v>
      </c>
      <c r="B820" t="s">
        <v>2018</v>
      </c>
      <c r="C820" t="s">
        <v>2019</v>
      </c>
      <c r="D820" t="s">
        <v>21</v>
      </c>
      <c r="E820" t="s">
        <v>22</v>
      </c>
      <c r="F820">
        <v>0</v>
      </c>
      <c r="G820" s="2">
        <v>46286.354166666664</v>
      </c>
      <c r="H820" s="2">
        <v>46409.729166666664</v>
      </c>
      <c r="I820" s="1">
        <v>45839</v>
      </c>
      <c r="J820" t="s">
        <v>1849</v>
      </c>
      <c r="K820" t="s">
        <v>1199</v>
      </c>
    </row>
    <row r="821" spans="1:11">
      <c r="A821" t="s">
        <v>886</v>
      </c>
      <c r="B821" t="s">
        <v>2020</v>
      </c>
      <c r="C821" t="s">
        <v>2021</v>
      </c>
      <c r="D821" t="s">
        <v>21</v>
      </c>
      <c r="E821" t="s">
        <v>22</v>
      </c>
      <c r="F821">
        <v>1</v>
      </c>
      <c r="G821" s="2">
        <v>46286.354166666664</v>
      </c>
      <c r="H821" s="2">
        <v>46409.729166666664</v>
      </c>
      <c r="I821" s="1">
        <v>46153</v>
      </c>
      <c r="J821" t="s">
        <v>1849</v>
      </c>
      <c r="K821" t="s">
        <v>1199</v>
      </c>
    </row>
    <row r="822" spans="1:11">
      <c r="A822" t="s">
        <v>886</v>
      </c>
      <c r="B822" t="s">
        <v>2022</v>
      </c>
      <c r="C822" t="s">
        <v>2023</v>
      </c>
      <c r="D822" t="s">
        <v>21</v>
      </c>
      <c r="E822" t="s">
        <v>22</v>
      </c>
      <c r="F822">
        <v>0</v>
      </c>
      <c r="G822" s="2">
        <v>46286.354166666664</v>
      </c>
      <c r="H822" s="2">
        <v>46409.729166666664</v>
      </c>
      <c r="I822" s="1">
        <v>46062</v>
      </c>
      <c r="J822" t="s">
        <v>1849</v>
      </c>
      <c r="K822" t="s">
        <v>1199</v>
      </c>
    </row>
    <row r="823" spans="1:11">
      <c r="A823" t="s">
        <v>886</v>
      </c>
      <c r="B823" t="s">
        <v>2024</v>
      </c>
      <c r="C823" t="s">
        <v>2025</v>
      </c>
      <c r="D823" t="s">
        <v>21</v>
      </c>
      <c r="E823" t="s">
        <v>22</v>
      </c>
      <c r="F823">
        <v>5</v>
      </c>
      <c r="G823" s="2">
        <v>46286.354166666664</v>
      </c>
      <c r="H823" s="2">
        <v>46409.729166666664</v>
      </c>
      <c r="I823" s="1">
        <v>46160</v>
      </c>
      <c r="J823" t="s">
        <v>1849</v>
      </c>
      <c r="K823" t="s">
        <v>1199</v>
      </c>
    </row>
    <row r="824" spans="1:11">
      <c r="A824" t="s">
        <v>886</v>
      </c>
      <c r="B824" t="s">
        <v>2026</v>
      </c>
      <c r="C824" t="s">
        <v>2027</v>
      </c>
      <c r="D824" t="s">
        <v>21</v>
      </c>
      <c r="E824" t="s">
        <v>22</v>
      </c>
      <c r="F824">
        <v>0</v>
      </c>
      <c r="G824" s="2">
        <v>46286.354166666664</v>
      </c>
      <c r="H824" s="2">
        <v>46409.729166666664</v>
      </c>
      <c r="I824" t="s">
        <v>198</v>
      </c>
      <c r="J824" t="s">
        <v>1849</v>
      </c>
      <c r="K824" t="s">
        <v>1199</v>
      </c>
    </row>
    <row r="825" spans="1:11">
      <c r="A825" t="s">
        <v>886</v>
      </c>
      <c r="B825" t="s">
        <v>2028</v>
      </c>
      <c r="C825" t="s">
        <v>2029</v>
      </c>
      <c r="D825" t="s">
        <v>21</v>
      </c>
      <c r="E825" t="s">
        <v>22</v>
      </c>
      <c r="F825">
        <v>0</v>
      </c>
      <c r="G825" s="2">
        <v>46286.354166666664</v>
      </c>
      <c r="H825" s="2">
        <v>46409.729166666664</v>
      </c>
      <c r="I825" t="s">
        <v>198</v>
      </c>
      <c r="J825" t="s">
        <v>1849</v>
      </c>
      <c r="K825" t="s">
        <v>1199</v>
      </c>
    </row>
    <row r="826" spans="1:11">
      <c r="A826" t="s">
        <v>886</v>
      </c>
      <c r="B826" t="s">
        <v>2030</v>
      </c>
      <c r="C826" t="s">
        <v>2031</v>
      </c>
      <c r="D826" t="s">
        <v>21</v>
      </c>
      <c r="E826" t="s">
        <v>22</v>
      </c>
      <c r="F826">
        <v>0</v>
      </c>
      <c r="G826" s="2">
        <v>46286.354166666664</v>
      </c>
      <c r="H826" s="2">
        <v>46409.729166666664</v>
      </c>
      <c r="I826" s="1">
        <v>45316</v>
      </c>
      <c r="J826" t="s">
        <v>1849</v>
      </c>
      <c r="K826" t="s">
        <v>1199</v>
      </c>
    </row>
    <row r="827" spans="1:11">
      <c r="A827" t="s">
        <v>886</v>
      </c>
      <c r="B827" t="s">
        <v>2032</v>
      </c>
      <c r="C827" t="s">
        <v>2033</v>
      </c>
      <c r="D827" t="s">
        <v>21</v>
      </c>
      <c r="E827" t="s">
        <v>22</v>
      </c>
      <c r="F827">
        <v>0</v>
      </c>
      <c r="G827" s="2">
        <v>46286.354166666664</v>
      </c>
      <c r="H827" s="2">
        <v>46409.729166666664</v>
      </c>
      <c r="I827" s="1">
        <v>45470</v>
      </c>
      <c r="J827" t="s">
        <v>1849</v>
      </c>
      <c r="K827" t="s">
        <v>1199</v>
      </c>
    </row>
    <row r="828" spans="1:11">
      <c r="A828" t="s">
        <v>886</v>
      </c>
      <c r="B828" t="s">
        <v>2034</v>
      </c>
      <c r="C828" t="s">
        <v>2035</v>
      </c>
      <c r="D828" t="s">
        <v>21</v>
      </c>
      <c r="E828" t="s">
        <v>22</v>
      </c>
      <c r="F828">
        <v>5</v>
      </c>
      <c r="G828" s="2">
        <v>46286.354166666664</v>
      </c>
      <c r="H828" s="2">
        <v>46409.729166666664</v>
      </c>
      <c r="I828" s="1">
        <v>46163</v>
      </c>
      <c r="J828" t="s">
        <v>1849</v>
      </c>
      <c r="K828" t="s">
        <v>1199</v>
      </c>
    </row>
    <row r="829" spans="1:11">
      <c r="A829" t="s">
        <v>886</v>
      </c>
      <c r="B829" t="s">
        <v>2036</v>
      </c>
      <c r="C829" t="s">
        <v>2037</v>
      </c>
      <c r="D829" t="s">
        <v>21</v>
      </c>
      <c r="E829" t="s">
        <v>22</v>
      </c>
      <c r="F829">
        <v>3</v>
      </c>
      <c r="G829" s="2">
        <v>46286.354166666664</v>
      </c>
      <c r="H829" s="2">
        <v>46409.729166666664</v>
      </c>
      <c r="I829" s="1">
        <v>46163</v>
      </c>
      <c r="J829" t="s">
        <v>1849</v>
      </c>
      <c r="K829" t="s">
        <v>1199</v>
      </c>
    </row>
    <row r="830" spans="1:11">
      <c r="A830" t="s">
        <v>886</v>
      </c>
      <c r="B830" t="s">
        <v>2038</v>
      </c>
      <c r="C830" t="s">
        <v>2039</v>
      </c>
      <c r="D830" t="s">
        <v>21</v>
      </c>
      <c r="E830" t="s">
        <v>22</v>
      </c>
      <c r="F830">
        <v>0</v>
      </c>
      <c r="G830" s="2">
        <v>46286.354166666664</v>
      </c>
      <c r="H830" s="2">
        <v>46409.729166666664</v>
      </c>
      <c r="I830" s="1">
        <v>46043</v>
      </c>
      <c r="J830" t="s">
        <v>1849</v>
      </c>
      <c r="K830" t="s">
        <v>1199</v>
      </c>
    </row>
    <row r="831" spans="1:11">
      <c r="A831" t="s">
        <v>886</v>
      </c>
      <c r="B831" t="s">
        <v>2040</v>
      </c>
      <c r="C831" t="s">
        <v>2041</v>
      </c>
      <c r="D831" t="s">
        <v>21</v>
      </c>
      <c r="E831" t="s">
        <v>22</v>
      </c>
      <c r="F831">
        <v>1</v>
      </c>
      <c r="G831" s="2">
        <v>46286.354166666664</v>
      </c>
      <c r="H831" s="2">
        <v>46409.729166666664</v>
      </c>
      <c r="I831" s="1">
        <v>46162</v>
      </c>
      <c r="J831" t="s">
        <v>1849</v>
      </c>
      <c r="K831" t="s">
        <v>1199</v>
      </c>
    </row>
    <row r="832" spans="1:11">
      <c r="A832" t="s">
        <v>886</v>
      </c>
      <c r="B832" t="s">
        <v>2042</v>
      </c>
      <c r="C832" t="s">
        <v>2043</v>
      </c>
      <c r="D832" t="s">
        <v>21</v>
      </c>
      <c r="E832" t="s">
        <v>22</v>
      </c>
      <c r="F832">
        <v>1</v>
      </c>
      <c r="G832" s="2">
        <v>46286.354166666664</v>
      </c>
      <c r="H832" s="2">
        <v>46409.729166666664</v>
      </c>
      <c r="I832" s="1">
        <v>46153</v>
      </c>
      <c r="J832" t="s">
        <v>1849</v>
      </c>
      <c r="K832" t="s">
        <v>1199</v>
      </c>
    </row>
    <row r="833" spans="1:11">
      <c r="A833" t="s">
        <v>886</v>
      </c>
      <c r="B833" t="s">
        <v>2044</v>
      </c>
      <c r="C833" t="s">
        <v>2045</v>
      </c>
      <c r="D833" t="s">
        <v>21</v>
      </c>
      <c r="E833" t="s">
        <v>22</v>
      </c>
      <c r="F833">
        <v>0</v>
      </c>
      <c r="G833" s="2">
        <v>46286.354166666664</v>
      </c>
      <c r="H833" s="2">
        <v>46409.729166666664</v>
      </c>
      <c r="I833" s="1">
        <v>46062</v>
      </c>
      <c r="J833" t="s">
        <v>1849</v>
      </c>
      <c r="K833" t="s">
        <v>1199</v>
      </c>
    </row>
    <row r="834" spans="1:11">
      <c r="A834" t="s">
        <v>886</v>
      </c>
      <c r="B834" t="s">
        <v>2046</v>
      </c>
      <c r="C834" t="s">
        <v>2047</v>
      </c>
      <c r="D834" t="s">
        <v>21</v>
      </c>
      <c r="E834" t="s">
        <v>22</v>
      </c>
      <c r="F834">
        <v>7</v>
      </c>
      <c r="G834" s="2">
        <v>46286.354166666664</v>
      </c>
      <c r="H834" s="2">
        <v>46409.729166666664</v>
      </c>
      <c r="I834" s="1">
        <v>46161</v>
      </c>
      <c r="J834" t="s">
        <v>1849</v>
      </c>
      <c r="K834" t="s">
        <v>1199</v>
      </c>
    </row>
    <row r="835" spans="1:11">
      <c r="A835" t="s">
        <v>886</v>
      </c>
      <c r="B835" t="s">
        <v>2048</v>
      </c>
      <c r="C835" t="s">
        <v>2049</v>
      </c>
      <c r="D835" t="s">
        <v>21</v>
      </c>
      <c r="E835" t="s">
        <v>22</v>
      </c>
      <c r="F835">
        <v>0</v>
      </c>
      <c r="G835" s="2">
        <v>46286.354166666664</v>
      </c>
      <c r="H835" s="2">
        <v>46409.729166666664</v>
      </c>
      <c r="I835" t="s">
        <v>198</v>
      </c>
      <c r="J835" t="s">
        <v>1849</v>
      </c>
      <c r="K835" t="s">
        <v>1199</v>
      </c>
    </row>
    <row r="836" spans="1:11">
      <c r="A836" t="s">
        <v>886</v>
      </c>
      <c r="B836" t="s">
        <v>2050</v>
      </c>
      <c r="C836" t="s">
        <v>2051</v>
      </c>
      <c r="D836" t="s">
        <v>21</v>
      </c>
      <c r="E836" t="s">
        <v>22</v>
      </c>
      <c r="F836">
        <v>17</v>
      </c>
      <c r="G836" s="2">
        <v>46286.520833333336</v>
      </c>
      <c r="H836" s="2">
        <v>46409.5625</v>
      </c>
      <c r="I836" s="1">
        <v>46163</v>
      </c>
      <c r="J836" t="s">
        <v>1970</v>
      </c>
      <c r="K836" t="s">
        <v>1199</v>
      </c>
    </row>
    <row r="837" spans="1:11">
      <c r="A837" t="s">
        <v>886</v>
      </c>
      <c r="B837" t="s">
        <v>2052</v>
      </c>
      <c r="C837" t="s">
        <v>2053</v>
      </c>
      <c r="D837" t="s">
        <v>21</v>
      </c>
      <c r="E837" t="s">
        <v>22</v>
      </c>
      <c r="F837">
        <v>54</v>
      </c>
      <c r="G837" s="2">
        <v>46286.506944444445</v>
      </c>
      <c r="H837" s="2">
        <v>46409.5625</v>
      </c>
      <c r="I837" s="1">
        <v>46163</v>
      </c>
      <c r="J837" t="s">
        <v>1973</v>
      </c>
      <c r="K837" t="s">
        <v>1199</v>
      </c>
    </row>
    <row r="838" spans="1:11">
      <c r="A838" t="s">
        <v>886</v>
      </c>
      <c r="B838" t="s">
        <v>2054</v>
      </c>
      <c r="C838" t="s">
        <v>2055</v>
      </c>
      <c r="D838" t="s">
        <v>21</v>
      </c>
      <c r="E838" t="s">
        <v>22</v>
      </c>
      <c r="F838">
        <v>88</v>
      </c>
      <c r="G838" s="2">
        <v>46286.354166666664</v>
      </c>
      <c r="H838" s="2">
        <v>46409.729166666664</v>
      </c>
      <c r="I838" s="1">
        <v>46163</v>
      </c>
      <c r="J838" t="s">
        <v>1849</v>
      </c>
      <c r="K838" t="s">
        <v>1199</v>
      </c>
    </row>
    <row r="839" spans="1:11">
      <c r="A839" t="s">
        <v>886</v>
      </c>
      <c r="B839" t="s">
        <v>2056</v>
      </c>
      <c r="C839" t="s">
        <v>2057</v>
      </c>
      <c r="D839" t="s">
        <v>21</v>
      </c>
      <c r="E839" t="s">
        <v>22</v>
      </c>
      <c r="F839">
        <v>111</v>
      </c>
      <c r="G839" s="2">
        <v>46286.354166666664</v>
      </c>
      <c r="H839" s="2">
        <v>46409.729166666664</v>
      </c>
      <c r="I839" s="1">
        <v>46163</v>
      </c>
      <c r="J839" t="s">
        <v>1849</v>
      </c>
      <c r="K839" t="s">
        <v>1199</v>
      </c>
    </row>
    <row r="840" spans="1:11">
      <c r="A840" t="s">
        <v>886</v>
      </c>
      <c r="B840" t="s">
        <v>2058</v>
      </c>
      <c r="C840" t="s">
        <v>2059</v>
      </c>
      <c r="D840" t="s">
        <v>21</v>
      </c>
      <c r="E840" t="s">
        <v>22</v>
      </c>
      <c r="F840">
        <v>113</v>
      </c>
      <c r="G840" s="2">
        <v>46286.354166666664</v>
      </c>
      <c r="H840" s="2">
        <v>46409.729166666664</v>
      </c>
      <c r="I840" s="1">
        <v>46163</v>
      </c>
      <c r="J840" t="s">
        <v>1849</v>
      </c>
      <c r="K840" t="s">
        <v>1199</v>
      </c>
    </row>
    <row r="841" spans="1:11">
      <c r="A841" t="s">
        <v>886</v>
      </c>
      <c r="B841" t="s">
        <v>2060</v>
      </c>
      <c r="C841" t="s">
        <v>2061</v>
      </c>
      <c r="D841" t="s">
        <v>21</v>
      </c>
      <c r="E841" t="s">
        <v>22</v>
      </c>
      <c r="F841">
        <v>141</v>
      </c>
      <c r="G841" s="2">
        <v>46286.354166666664</v>
      </c>
      <c r="H841" s="2">
        <v>46409.729166666664</v>
      </c>
      <c r="I841" s="1">
        <v>46163</v>
      </c>
      <c r="J841" t="s">
        <v>1849</v>
      </c>
      <c r="K841" t="s">
        <v>1199</v>
      </c>
    </row>
    <row r="842" spans="1:11">
      <c r="A842" t="s">
        <v>886</v>
      </c>
      <c r="B842" t="s">
        <v>2062</v>
      </c>
      <c r="C842" t="s">
        <v>2063</v>
      </c>
      <c r="D842" t="s">
        <v>21</v>
      </c>
      <c r="E842" t="s">
        <v>22</v>
      </c>
      <c r="F842">
        <v>155</v>
      </c>
      <c r="G842" s="2">
        <v>46286.354166666664</v>
      </c>
      <c r="H842" s="2">
        <v>46409.729166666664</v>
      </c>
      <c r="I842" s="1">
        <v>46163</v>
      </c>
      <c r="J842" t="s">
        <v>1849</v>
      </c>
      <c r="K842" t="s">
        <v>1199</v>
      </c>
    </row>
    <row r="843" spans="1:11">
      <c r="A843" t="s">
        <v>886</v>
      </c>
      <c r="B843" t="s">
        <v>2064</v>
      </c>
      <c r="C843" t="s">
        <v>2065</v>
      </c>
      <c r="D843" t="s">
        <v>21</v>
      </c>
      <c r="E843" t="s">
        <v>22</v>
      </c>
      <c r="F843">
        <v>166</v>
      </c>
      <c r="G843" s="2">
        <v>46286.354166666664</v>
      </c>
      <c r="H843" s="2">
        <v>46409.729166666664</v>
      </c>
      <c r="I843" s="1">
        <v>46163</v>
      </c>
      <c r="J843" t="s">
        <v>1849</v>
      </c>
      <c r="K843" t="s">
        <v>1199</v>
      </c>
    </row>
    <row r="844" spans="1:11">
      <c r="A844" t="s">
        <v>886</v>
      </c>
      <c r="B844" t="s">
        <v>2066</v>
      </c>
      <c r="C844" t="s">
        <v>2067</v>
      </c>
      <c r="D844" t="s">
        <v>21</v>
      </c>
      <c r="E844" t="s">
        <v>22</v>
      </c>
      <c r="F844">
        <v>143</v>
      </c>
      <c r="G844" s="2">
        <v>46286.354166666664</v>
      </c>
      <c r="H844" s="2">
        <v>46409.729166666664</v>
      </c>
      <c r="I844" s="1">
        <v>46163</v>
      </c>
      <c r="J844" t="s">
        <v>1849</v>
      </c>
      <c r="K844" t="s">
        <v>1199</v>
      </c>
    </row>
    <row r="845" spans="1:11">
      <c r="A845" t="s">
        <v>886</v>
      </c>
      <c r="B845" t="s">
        <v>2068</v>
      </c>
      <c r="C845" t="s">
        <v>2069</v>
      </c>
      <c r="D845" t="s">
        <v>21</v>
      </c>
      <c r="E845" t="s">
        <v>22</v>
      </c>
      <c r="F845">
        <v>150</v>
      </c>
      <c r="G845" s="2">
        <v>46286.354166666664</v>
      </c>
      <c r="H845" s="2">
        <v>46409.729166666664</v>
      </c>
      <c r="I845" s="1">
        <v>46163</v>
      </c>
      <c r="J845" t="s">
        <v>1849</v>
      </c>
      <c r="K845" t="s">
        <v>1199</v>
      </c>
    </row>
    <row r="846" spans="1:11">
      <c r="A846" t="s">
        <v>886</v>
      </c>
      <c r="B846" t="s">
        <v>2070</v>
      </c>
      <c r="C846" t="s">
        <v>2071</v>
      </c>
      <c r="D846" t="s">
        <v>21</v>
      </c>
      <c r="E846" t="s">
        <v>22</v>
      </c>
      <c r="F846">
        <v>114</v>
      </c>
      <c r="G846" s="2">
        <v>46286.354166666664</v>
      </c>
      <c r="H846" s="2">
        <v>46409.729166666664</v>
      </c>
      <c r="I846" s="1">
        <v>46163</v>
      </c>
      <c r="J846" t="s">
        <v>1849</v>
      </c>
      <c r="K846" t="s">
        <v>1199</v>
      </c>
    </row>
    <row r="847" spans="1:11">
      <c r="A847" t="s">
        <v>886</v>
      </c>
      <c r="B847" t="s">
        <v>2072</v>
      </c>
      <c r="C847" t="s">
        <v>2073</v>
      </c>
      <c r="D847" t="s">
        <v>21</v>
      </c>
      <c r="E847" t="s">
        <v>22</v>
      </c>
      <c r="F847">
        <v>105</v>
      </c>
      <c r="G847" s="2">
        <v>46286.354166666664</v>
      </c>
      <c r="H847" s="2">
        <v>46409.729166666664</v>
      </c>
      <c r="I847" s="1">
        <v>46163</v>
      </c>
      <c r="J847" t="s">
        <v>1849</v>
      </c>
      <c r="K847" t="s">
        <v>1199</v>
      </c>
    </row>
    <row r="848" spans="1:11">
      <c r="A848" t="s">
        <v>886</v>
      </c>
      <c r="B848" t="s">
        <v>2074</v>
      </c>
      <c r="C848" t="s">
        <v>2075</v>
      </c>
      <c r="D848" t="s">
        <v>21</v>
      </c>
      <c r="E848" t="s">
        <v>22</v>
      </c>
      <c r="F848">
        <v>77</v>
      </c>
      <c r="G848" s="2">
        <v>46286.354166666664</v>
      </c>
      <c r="H848" s="2">
        <v>46409.729166666664</v>
      </c>
      <c r="I848" s="1">
        <v>46163</v>
      </c>
      <c r="J848" t="s">
        <v>1849</v>
      </c>
      <c r="K848" t="s">
        <v>1199</v>
      </c>
    </row>
    <row r="849" spans="1:11">
      <c r="A849" t="s">
        <v>886</v>
      </c>
      <c r="B849" t="s">
        <v>2076</v>
      </c>
      <c r="C849" t="s">
        <v>2077</v>
      </c>
      <c r="D849" t="s">
        <v>21</v>
      </c>
      <c r="E849" t="s">
        <v>22</v>
      </c>
      <c r="F849">
        <v>46</v>
      </c>
      <c r="G849" s="2">
        <v>46286.354166666664</v>
      </c>
      <c r="H849" s="2">
        <v>46409.729166666664</v>
      </c>
      <c r="I849" s="1">
        <v>46163</v>
      </c>
      <c r="J849" t="s">
        <v>1849</v>
      </c>
      <c r="K849" t="s">
        <v>1199</v>
      </c>
    </row>
    <row r="850" spans="1:11">
      <c r="A850" t="s">
        <v>886</v>
      </c>
      <c r="B850" t="s">
        <v>2078</v>
      </c>
      <c r="C850" t="s">
        <v>2079</v>
      </c>
      <c r="D850" t="s">
        <v>21</v>
      </c>
      <c r="E850" t="s">
        <v>22</v>
      </c>
      <c r="F850">
        <v>4</v>
      </c>
      <c r="G850" s="2">
        <v>46286.520833333336</v>
      </c>
      <c r="H850" s="2">
        <v>46409.5625</v>
      </c>
      <c r="I850" s="1">
        <v>46163</v>
      </c>
      <c r="J850" t="s">
        <v>1970</v>
      </c>
      <c r="K850" t="s">
        <v>1199</v>
      </c>
    </row>
    <row r="851" spans="1:11">
      <c r="A851" t="s">
        <v>886</v>
      </c>
      <c r="B851" t="s">
        <v>2080</v>
      </c>
      <c r="C851" t="s">
        <v>2081</v>
      </c>
      <c r="D851" t="s">
        <v>21</v>
      </c>
      <c r="E851" t="s">
        <v>22</v>
      </c>
      <c r="F851">
        <v>6</v>
      </c>
      <c r="G851" s="2">
        <v>46286.506944444445</v>
      </c>
      <c r="H851" s="2">
        <v>46409.5625</v>
      </c>
      <c r="I851" s="1">
        <v>46163</v>
      </c>
      <c r="J851" t="s">
        <v>1973</v>
      </c>
      <c r="K851" t="s">
        <v>1199</v>
      </c>
    </row>
    <row r="852" spans="1:11">
      <c r="A852" t="s">
        <v>886</v>
      </c>
      <c r="B852" t="s">
        <v>2082</v>
      </c>
      <c r="C852" t="s">
        <v>2083</v>
      </c>
      <c r="D852" t="s">
        <v>21</v>
      </c>
      <c r="E852" t="s">
        <v>22</v>
      </c>
      <c r="F852">
        <v>48</v>
      </c>
      <c r="G852" s="2">
        <v>46286.354166666664</v>
      </c>
      <c r="H852" s="2">
        <v>46409.729166666664</v>
      </c>
      <c r="I852" s="1">
        <v>46163</v>
      </c>
      <c r="J852" t="s">
        <v>1849</v>
      </c>
      <c r="K852" t="s">
        <v>1199</v>
      </c>
    </row>
    <row r="853" spans="1:11">
      <c r="A853" t="s">
        <v>886</v>
      </c>
      <c r="B853" t="s">
        <v>2084</v>
      </c>
      <c r="C853" t="s">
        <v>2085</v>
      </c>
      <c r="D853" t="s">
        <v>21</v>
      </c>
      <c r="E853" t="s">
        <v>22</v>
      </c>
      <c r="F853">
        <v>38</v>
      </c>
      <c r="G853" s="2">
        <v>46286.354166666664</v>
      </c>
      <c r="H853" s="2">
        <v>46409.729166666664</v>
      </c>
      <c r="I853" s="1">
        <v>46162</v>
      </c>
      <c r="J853" t="s">
        <v>1849</v>
      </c>
      <c r="K853" t="s">
        <v>1199</v>
      </c>
    </row>
    <row r="854" spans="1:11">
      <c r="A854" t="s">
        <v>886</v>
      </c>
      <c r="B854" t="s">
        <v>2086</v>
      </c>
      <c r="C854" t="s">
        <v>2087</v>
      </c>
      <c r="D854" t="s">
        <v>21</v>
      </c>
      <c r="E854" t="s">
        <v>22</v>
      </c>
      <c r="F854">
        <v>53</v>
      </c>
      <c r="G854" s="2">
        <v>46286.354166666664</v>
      </c>
      <c r="H854" s="2">
        <v>46409.729166666664</v>
      </c>
      <c r="I854" s="1">
        <v>46162</v>
      </c>
      <c r="J854" t="s">
        <v>1849</v>
      </c>
      <c r="K854" t="s">
        <v>1199</v>
      </c>
    </row>
    <row r="855" spans="1:11">
      <c r="A855" t="s">
        <v>886</v>
      </c>
      <c r="B855" t="s">
        <v>2088</v>
      </c>
      <c r="C855" t="s">
        <v>2089</v>
      </c>
      <c r="D855" t="s">
        <v>21</v>
      </c>
      <c r="E855" t="s">
        <v>22</v>
      </c>
      <c r="F855">
        <v>36</v>
      </c>
      <c r="G855" s="2">
        <v>46286.354166666664</v>
      </c>
      <c r="H855" s="2">
        <v>46409.729166666664</v>
      </c>
      <c r="I855" s="1">
        <v>46162</v>
      </c>
      <c r="J855" t="s">
        <v>1849</v>
      </c>
      <c r="K855" t="s">
        <v>1199</v>
      </c>
    </row>
    <row r="856" spans="1:11">
      <c r="A856" t="s">
        <v>886</v>
      </c>
      <c r="B856" t="s">
        <v>2090</v>
      </c>
      <c r="C856" t="s">
        <v>2091</v>
      </c>
      <c r="D856" t="s">
        <v>21</v>
      </c>
      <c r="E856" t="s">
        <v>22</v>
      </c>
      <c r="F856">
        <v>46</v>
      </c>
      <c r="G856" s="2">
        <v>46286.354166666664</v>
      </c>
      <c r="H856" s="2">
        <v>46409.729166666664</v>
      </c>
      <c r="I856" s="1">
        <v>46163</v>
      </c>
      <c r="J856" t="s">
        <v>1849</v>
      </c>
      <c r="K856" t="s">
        <v>1199</v>
      </c>
    </row>
    <row r="857" spans="1:11">
      <c r="A857" t="s">
        <v>886</v>
      </c>
      <c r="B857" t="s">
        <v>2092</v>
      </c>
      <c r="C857" t="s">
        <v>2093</v>
      </c>
      <c r="D857" t="s">
        <v>21</v>
      </c>
      <c r="E857" t="s">
        <v>22</v>
      </c>
      <c r="F857">
        <v>35</v>
      </c>
      <c r="G857" s="2">
        <v>46286.354166666664</v>
      </c>
      <c r="H857" s="2">
        <v>46409.729166666664</v>
      </c>
      <c r="I857" s="1">
        <v>46163</v>
      </c>
      <c r="J857" t="s">
        <v>1849</v>
      </c>
      <c r="K857" t="s">
        <v>1199</v>
      </c>
    </row>
    <row r="858" spans="1:11">
      <c r="A858" t="s">
        <v>886</v>
      </c>
      <c r="B858" t="s">
        <v>2094</v>
      </c>
      <c r="C858" t="s">
        <v>2095</v>
      </c>
      <c r="D858" t="s">
        <v>21</v>
      </c>
      <c r="E858" t="s">
        <v>22</v>
      </c>
      <c r="F858">
        <v>34</v>
      </c>
      <c r="G858" s="2">
        <v>46286.354166666664</v>
      </c>
      <c r="H858" s="2">
        <v>46409.729166666664</v>
      </c>
      <c r="I858" s="1">
        <v>46163</v>
      </c>
      <c r="J858" t="s">
        <v>1849</v>
      </c>
      <c r="K858" t="s">
        <v>1199</v>
      </c>
    </row>
    <row r="859" spans="1:11">
      <c r="A859" t="s">
        <v>886</v>
      </c>
      <c r="B859" t="s">
        <v>2096</v>
      </c>
      <c r="C859" t="s">
        <v>2097</v>
      </c>
      <c r="D859" t="s">
        <v>21</v>
      </c>
      <c r="E859" t="s">
        <v>22</v>
      </c>
      <c r="F859">
        <v>31</v>
      </c>
      <c r="G859" s="2">
        <v>46286.354166666664</v>
      </c>
      <c r="H859" s="2">
        <v>46409.729166666664</v>
      </c>
      <c r="I859" s="1">
        <v>46163</v>
      </c>
      <c r="J859" t="s">
        <v>1849</v>
      </c>
      <c r="K859" t="s">
        <v>1199</v>
      </c>
    </row>
    <row r="860" spans="1:11">
      <c r="A860" t="s">
        <v>886</v>
      </c>
      <c r="B860" t="s">
        <v>2098</v>
      </c>
      <c r="C860" t="s">
        <v>2099</v>
      </c>
      <c r="D860" t="s">
        <v>21</v>
      </c>
      <c r="E860" t="s">
        <v>22</v>
      </c>
      <c r="F860">
        <v>20</v>
      </c>
      <c r="G860" s="2">
        <v>46286.354166666664</v>
      </c>
      <c r="H860" s="2">
        <v>46409.729166666664</v>
      </c>
      <c r="I860" s="1">
        <v>46162</v>
      </c>
      <c r="J860" t="s">
        <v>1849</v>
      </c>
      <c r="K860" t="s">
        <v>1199</v>
      </c>
    </row>
    <row r="861" spans="1:11">
      <c r="A861" t="s">
        <v>886</v>
      </c>
      <c r="B861" t="s">
        <v>2100</v>
      </c>
      <c r="C861" t="s">
        <v>2101</v>
      </c>
      <c r="D861" t="s">
        <v>21</v>
      </c>
      <c r="E861" t="s">
        <v>22</v>
      </c>
      <c r="F861">
        <v>19</v>
      </c>
      <c r="G861" s="2">
        <v>46286.354166666664</v>
      </c>
      <c r="H861" s="2">
        <v>46409.729166666664</v>
      </c>
      <c r="I861" s="1">
        <v>46162</v>
      </c>
      <c r="J861" t="s">
        <v>1849</v>
      </c>
      <c r="K861" t="s">
        <v>1199</v>
      </c>
    </row>
    <row r="862" spans="1:11">
      <c r="A862" t="s">
        <v>886</v>
      </c>
      <c r="B862" t="s">
        <v>2102</v>
      </c>
      <c r="C862" t="s">
        <v>2103</v>
      </c>
      <c r="D862" t="s">
        <v>21</v>
      </c>
      <c r="E862" t="s">
        <v>22</v>
      </c>
      <c r="F862">
        <v>14</v>
      </c>
      <c r="G862" s="2">
        <v>46286.354166666664</v>
      </c>
      <c r="H862" s="2">
        <v>46409.729166666664</v>
      </c>
      <c r="I862" s="1">
        <v>46162</v>
      </c>
      <c r="J862" t="s">
        <v>1849</v>
      </c>
      <c r="K862" t="s">
        <v>1199</v>
      </c>
    </row>
    <row r="863" spans="1:11">
      <c r="A863" t="s">
        <v>886</v>
      </c>
      <c r="B863" t="s">
        <v>2104</v>
      </c>
      <c r="C863" t="s">
        <v>2105</v>
      </c>
      <c r="D863" t="s">
        <v>21</v>
      </c>
      <c r="E863" t="s">
        <v>22</v>
      </c>
      <c r="F863">
        <v>10</v>
      </c>
      <c r="G863" s="2">
        <v>46286.354166666664</v>
      </c>
      <c r="H863" s="2">
        <v>46409.729166666664</v>
      </c>
      <c r="I863" s="1">
        <v>46163</v>
      </c>
      <c r="J863" t="s">
        <v>1849</v>
      </c>
      <c r="K863" t="s">
        <v>1199</v>
      </c>
    </row>
    <row r="864" spans="1:11">
      <c r="A864" t="s">
        <v>886</v>
      </c>
      <c r="B864" t="s">
        <v>2106</v>
      </c>
      <c r="C864" t="s">
        <v>2107</v>
      </c>
      <c r="D864" t="s">
        <v>21</v>
      </c>
      <c r="E864" t="s">
        <v>22</v>
      </c>
      <c r="F864">
        <v>21</v>
      </c>
      <c r="G864" s="2">
        <v>46286.354166666664</v>
      </c>
      <c r="H864" s="2">
        <v>46409.729166666664</v>
      </c>
      <c r="I864" s="1">
        <v>46162</v>
      </c>
      <c r="J864" t="s">
        <v>1849</v>
      </c>
      <c r="K864" t="s">
        <v>1199</v>
      </c>
    </row>
    <row r="865" spans="1:11">
      <c r="A865" t="s">
        <v>886</v>
      </c>
      <c r="B865" t="s">
        <v>2108</v>
      </c>
      <c r="C865" t="s">
        <v>2109</v>
      </c>
      <c r="D865" t="s">
        <v>21</v>
      </c>
      <c r="E865" t="s">
        <v>22</v>
      </c>
      <c r="F865">
        <v>23</v>
      </c>
      <c r="G865" s="2">
        <v>46286.354166666664</v>
      </c>
      <c r="H865" s="2">
        <v>46409.729166666664</v>
      </c>
      <c r="I865" s="1">
        <v>46161</v>
      </c>
      <c r="J865" t="s">
        <v>1849</v>
      </c>
      <c r="K865" t="s">
        <v>1199</v>
      </c>
    </row>
    <row r="866" spans="1:11">
      <c r="A866" t="s">
        <v>886</v>
      </c>
      <c r="B866" t="s">
        <v>2110</v>
      </c>
      <c r="C866" t="s">
        <v>2111</v>
      </c>
      <c r="D866" t="s">
        <v>21</v>
      </c>
      <c r="E866" t="s">
        <v>22</v>
      </c>
      <c r="F866">
        <v>11</v>
      </c>
      <c r="G866" s="2">
        <v>46286.354166666664</v>
      </c>
      <c r="H866" s="2">
        <v>46409.729166666664</v>
      </c>
      <c r="I866" s="1">
        <v>46163</v>
      </c>
      <c r="J866" t="s">
        <v>1849</v>
      </c>
      <c r="K866" t="s">
        <v>1199</v>
      </c>
    </row>
    <row r="867" spans="1:11">
      <c r="A867" t="s">
        <v>886</v>
      </c>
      <c r="B867" t="s">
        <v>2112</v>
      </c>
      <c r="C867" t="s">
        <v>2113</v>
      </c>
      <c r="D867" t="s">
        <v>21</v>
      </c>
      <c r="E867" t="s">
        <v>22</v>
      </c>
      <c r="F867">
        <v>4</v>
      </c>
      <c r="G867" s="2">
        <v>46286.354166666664</v>
      </c>
      <c r="H867" s="2">
        <v>46409.729166666664</v>
      </c>
      <c r="I867" s="1">
        <v>46153</v>
      </c>
      <c r="J867" t="s">
        <v>1849</v>
      </c>
      <c r="K867" t="s">
        <v>1199</v>
      </c>
    </row>
    <row r="868" spans="1:11">
      <c r="A868" t="s">
        <v>886</v>
      </c>
      <c r="B868" t="s">
        <v>2114</v>
      </c>
      <c r="C868" t="s">
        <v>2115</v>
      </c>
      <c r="D868" t="s">
        <v>21</v>
      </c>
      <c r="E868" t="s">
        <v>22</v>
      </c>
      <c r="F868">
        <v>8</v>
      </c>
      <c r="G868" s="2">
        <v>46286.354166666664</v>
      </c>
      <c r="H868" s="2">
        <v>46409.729166666664</v>
      </c>
      <c r="I868" s="1">
        <v>46161</v>
      </c>
      <c r="J868" t="s">
        <v>1849</v>
      </c>
      <c r="K868" t="s">
        <v>1199</v>
      </c>
    </row>
    <row r="869" spans="1:11">
      <c r="A869" t="s">
        <v>886</v>
      </c>
      <c r="B869" t="s">
        <v>2116</v>
      </c>
      <c r="C869" t="s">
        <v>2117</v>
      </c>
      <c r="D869" t="s">
        <v>21</v>
      </c>
      <c r="E869" t="s">
        <v>22</v>
      </c>
      <c r="F869">
        <v>11</v>
      </c>
      <c r="G869" s="2">
        <v>46286.354166666664</v>
      </c>
      <c r="H869" s="2">
        <v>46409.729166666664</v>
      </c>
      <c r="I869" s="1">
        <v>46162</v>
      </c>
      <c r="J869" t="s">
        <v>1849</v>
      </c>
      <c r="K869" t="s">
        <v>1199</v>
      </c>
    </row>
    <row r="870" spans="1:11">
      <c r="A870" t="s">
        <v>886</v>
      </c>
      <c r="B870" t="s">
        <v>2118</v>
      </c>
      <c r="C870" t="s">
        <v>2119</v>
      </c>
      <c r="D870" t="s">
        <v>21</v>
      </c>
      <c r="E870" t="s">
        <v>22</v>
      </c>
      <c r="F870">
        <v>3</v>
      </c>
      <c r="G870" s="2">
        <v>46286.354166666664</v>
      </c>
      <c r="H870" s="2">
        <v>46409.729166666664</v>
      </c>
      <c r="I870" s="1">
        <v>46161</v>
      </c>
      <c r="J870" t="s">
        <v>1849</v>
      </c>
      <c r="K870" t="s">
        <v>1199</v>
      </c>
    </row>
    <row r="871" spans="1:11">
      <c r="A871" t="s">
        <v>886</v>
      </c>
      <c r="B871" t="s">
        <v>2120</v>
      </c>
      <c r="C871" t="s">
        <v>2121</v>
      </c>
      <c r="D871" t="s">
        <v>21</v>
      </c>
      <c r="E871" t="s">
        <v>22</v>
      </c>
      <c r="F871">
        <v>7</v>
      </c>
      <c r="G871" s="2">
        <v>46286.354166666664</v>
      </c>
      <c r="H871" s="2">
        <v>46409.729166666664</v>
      </c>
      <c r="I871" s="1">
        <v>46161</v>
      </c>
      <c r="J871" t="s">
        <v>1849</v>
      </c>
      <c r="K871" t="s">
        <v>1199</v>
      </c>
    </row>
    <row r="872" spans="1:11">
      <c r="A872" t="s">
        <v>886</v>
      </c>
      <c r="B872" t="s">
        <v>2122</v>
      </c>
      <c r="C872" t="s">
        <v>2123</v>
      </c>
      <c r="D872" t="s">
        <v>21</v>
      </c>
      <c r="E872" t="s">
        <v>22</v>
      </c>
      <c r="F872">
        <v>2</v>
      </c>
      <c r="G872" s="2">
        <v>46286.354166666664</v>
      </c>
      <c r="H872" s="2">
        <v>46409.729166666664</v>
      </c>
      <c r="I872" s="1">
        <v>46160</v>
      </c>
      <c r="J872" t="s">
        <v>1849</v>
      </c>
      <c r="K872" t="s">
        <v>1199</v>
      </c>
    </row>
    <row r="873" spans="1:11">
      <c r="A873" t="s">
        <v>886</v>
      </c>
      <c r="B873" t="s">
        <v>2124</v>
      </c>
      <c r="C873" t="s">
        <v>2125</v>
      </c>
      <c r="D873" t="s">
        <v>21</v>
      </c>
      <c r="E873" t="s">
        <v>22</v>
      </c>
      <c r="F873">
        <v>1</v>
      </c>
      <c r="G873" s="2">
        <v>46286.354166666664</v>
      </c>
      <c r="H873" s="2">
        <v>46409.729166666664</v>
      </c>
      <c r="I873" s="1">
        <v>46156</v>
      </c>
      <c r="J873" t="s">
        <v>1849</v>
      </c>
      <c r="K873" t="s">
        <v>1199</v>
      </c>
    </row>
    <row r="874" spans="1:11">
      <c r="A874" t="s">
        <v>886</v>
      </c>
      <c r="B874" t="s">
        <v>2126</v>
      </c>
      <c r="C874" t="s">
        <v>2127</v>
      </c>
      <c r="D874" t="s">
        <v>21</v>
      </c>
      <c r="E874" t="s">
        <v>22</v>
      </c>
      <c r="F874">
        <v>1</v>
      </c>
      <c r="G874" s="2">
        <v>46286.354166666664</v>
      </c>
      <c r="H874" s="2">
        <v>46409.729166666664</v>
      </c>
      <c r="I874" s="1">
        <v>46161</v>
      </c>
      <c r="J874" t="s">
        <v>1849</v>
      </c>
      <c r="K874" t="s">
        <v>1199</v>
      </c>
    </row>
    <row r="875" spans="1:11">
      <c r="A875" t="s">
        <v>886</v>
      </c>
      <c r="B875" t="s">
        <v>2128</v>
      </c>
      <c r="C875" t="s">
        <v>2129</v>
      </c>
      <c r="D875" t="s">
        <v>21</v>
      </c>
      <c r="E875" t="s">
        <v>22</v>
      </c>
      <c r="F875">
        <v>4</v>
      </c>
      <c r="G875" s="2">
        <v>46286.354166666664</v>
      </c>
      <c r="H875" s="2">
        <v>46409.729166666664</v>
      </c>
      <c r="I875" s="1">
        <v>46154</v>
      </c>
      <c r="J875" t="s">
        <v>1849</v>
      </c>
      <c r="K875" t="s">
        <v>1199</v>
      </c>
    </row>
    <row r="876" spans="1:11">
      <c r="A876" t="s">
        <v>886</v>
      </c>
      <c r="B876" t="s">
        <v>2130</v>
      </c>
      <c r="C876" t="s">
        <v>2131</v>
      </c>
      <c r="D876" t="s">
        <v>21</v>
      </c>
      <c r="E876" t="s">
        <v>22</v>
      </c>
      <c r="F876">
        <v>0</v>
      </c>
      <c r="G876" s="2">
        <v>46286.354166666664</v>
      </c>
      <c r="H876" s="2">
        <v>46409.729166666664</v>
      </c>
      <c r="I876" t="s">
        <v>198</v>
      </c>
      <c r="J876" t="s">
        <v>1849</v>
      </c>
      <c r="K876" t="s">
        <v>1199</v>
      </c>
    </row>
    <row r="877" spans="1:11">
      <c r="A877" t="s">
        <v>886</v>
      </c>
      <c r="B877" t="s">
        <v>2132</v>
      </c>
      <c r="C877" t="s">
        <v>2133</v>
      </c>
      <c r="D877" t="s">
        <v>21</v>
      </c>
      <c r="E877" t="s">
        <v>22</v>
      </c>
      <c r="F877">
        <v>0</v>
      </c>
      <c r="G877" s="2">
        <v>46286.354166666664</v>
      </c>
      <c r="H877" s="2">
        <v>46409.729166666664</v>
      </c>
      <c r="I877" t="s">
        <v>198</v>
      </c>
      <c r="J877" t="s">
        <v>1849</v>
      </c>
      <c r="K877" t="s">
        <v>1199</v>
      </c>
    </row>
    <row r="878" spans="1:11">
      <c r="A878" t="s">
        <v>886</v>
      </c>
      <c r="B878" t="s">
        <v>2134</v>
      </c>
      <c r="C878" t="s">
        <v>2135</v>
      </c>
      <c r="D878" t="s">
        <v>21</v>
      </c>
      <c r="E878" t="s">
        <v>22</v>
      </c>
      <c r="F878">
        <v>0</v>
      </c>
      <c r="G878" s="2">
        <v>46286.354166666664</v>
      </c>
      <c r="H878" s="2">
        <v>46409.729166666664</v>
      </c>
      <c r="I878" t="s">
        <v>198</v>
      </c>
      <c r="J878" t="s">
        <v>1849</v>
      </c>
      <c r="K878" t="s">
        <v>1199</v>
      </c>
    </row>
    <row r="879" spans="1:11">
      <c r="A879" t="s">
        <v>886</v>
      </c>
      <c r="B879" t="s">
        <v>2136</v>
      </c>
      <c r="C879" t="s">
        <v>2137</v>
      </c>
      <c r="D879" t="s">
        <v>21</v>
      </c>
      <c r="E879" t="s">
        <v>22</v>
      </c>
      <c r="F879">
        <v>0</v>
      </c>
      <c r="G879" s="2">
        <v>46286.354166666664</v>
      </c>
      <c r="H879" s="2">
        <v>46409.729166666664</v>
      </c>
      <c r="I879" t="s">
        <v>198</v>
      </c>
      <c r="J879" t="s">
        <v>1849</v>
      </c>
      <c r="K879" t="s">
        <v>1199</v>
      </c>
    </row>
    <row r="880" spans="1:11">
      <c r="A880" t="s">
        <v>886</v>
      </c>
      <c r="B880" t="s">
        <v>2138</v>
      </c>
      <c r="C880" t="s">
        <v>2139</v>
      </c>
      <c r="D880" t="s">
        <v>21</v>
      </c>
      <c r="E880" t="s">
        <v>22</v>
      </c>
      <c r="F880">
        <v>2</v>
      </c>
      <c r="G880" s="2">
        <v>46286.354166666664</v>
      </c>
      <c r="H880" s="2">
        <v>46409.729166666664</v>
      </c>
      <c r="I880" s="1">
        <v>46159</v>
      </c>
      <c r="J880" t="s">
        <v>1849</v>
      </c>
      <c r="K880" t="s">
        <v>1199</v>
      </c>
    </row>
    <row r="881" spans="1:11">
      <c r="A881" t="s">
        <v>886</v>
      </c>
      <c r="B881" t="s">
        <v>2140</v>
      </c>
      <c r="C881" t="s">
        <v>2141</v>
      </c>
      <c r="D881" t="s">
        <v>21</v>
      </c>
      <c r="E881" t="s">
        <v>22</v>
      </c>
      <c r="F881">
        <v>5</v>
      </c>
      <c r="G881" s="2">
        <v>46286.354166666664</v>
      </c>
      <c r="H881" s="2">
        <v>46409.729166666664</v>
      </c>
      <c r="I881" s="1">
        <v>46162</v>
      </c>
      <c r="J881" t="s">
        <v>1849</v>
      </c>
      <c r="K881" t="s">
        <v>1199</v>
      </c>
    </row>
    <row r="882" spans="1:11">
      <c r="A882" t="s">
        <v>886</v>
      </c>
      <c r="B882" t="s">
        <v>2142</v>
      </c>
      <c r="C882" t="s">
        <v>2143</v>
      </c>
      <c r="D882" t="s">
        <v>21</v>
      </c>
      <c r="E882" t="s">
        <v>22</v>
      </c>
      <c r="F882">
        <v>0</v>
      </c>
      <c r="G882" s="2">
        <v>46286.354166666664</v>
      </c>
      <c r="H882" s="2">
        <v>46409.729166666664</v>
      </c>
      <c r="I882" t="s">
        <v>198</v>
      </c>
      <c r="J882" t="s">
        <v>1849</v>
      </c>
      <c r="K882" t="s">
        <v>1199</v>
      </c>
    </row>
    <row r="883" spans="1:11">
      <c r="A883" t="s">
        <v>886</v>
      </c>
      <c r="B883" t="s">
        <v>2144</v>
      </c>
      <c r="C883" t="s">
        <v>2145</v>
      </c>
      <c r="D883" t="s">
        <v>21</v>
      </c>
      <c r="E883" t="s">
        <v>22</v>
      </c>
      <c r="F883">
        <v>0</v>
      </c>
      <c r="G883" s="2">
        <v>46286.354166666664</v>
      </c>
      <c r="H883" s="2">
        <v>46409.729166666664</v>
      </c>
      <c r="I883" t="s">
        <v>198</v>
      </c>
      <c r="J883" t="s">
        <v>1849</v>
      </c>
      <c r="K883" t="s">
        <v>1199</v>
      </c>
    </row>
    <row r="884" spans="1:11">
      <c r="A884" t="s">
        <v>886</v>
      </c>
      <c r="B884" t="s">
        <v>2146</v>
      </c>
      <c r="C884" t="s">
        <v>2147</v>
      </c>
      <c r="D884" t="s">
        <v>21</v>
      </c>
      <c r="E884" t="s">
        <v>22</v>
      </c>
      <c r="F884">
        <v>0</v>
      </c>
      <c r="G884" s="2">
        <v>46286.354166666664</v>
      </c>
      <c r="H884" s="2">
        <v>46409.729166666664</v>
      </c>
      <c r="I884" t="s">
        <v>198</v>
      </c>
      <c r="J884" t="s">
        <v>1849</v>
      </c>
      <c r="K884" t="s">
        <v>1199</v>
      </c>
    </row>
    <row r="885" spans="1:11">
      <c r="A885" t="s">
        <v>886</v>
      </c>
      <c r="B885" t="s">
        <v>2148</v>
      </c>
      <c r="C885" t="s">
        <v>2149</v>
      </c>
      <c r="D885" t="s">
        <v>21</v>
      </c>
      <c r="E885" t="s">
        <v>22</v>
      </c>
      <c r="F885">
        <v>0</v>
      </c>
      <c r="G885" s="2">
        <v>46286.354166666664</v>
      </c>
      <c r="H885" s="2">
        <v>46409.729166666664</v>
      </c>
      <c r="I885" t="s">
        <v>198</v>
      </c>
      <c r="J885" t="s">
        <v>1849</v>
      </c>
      <c r="K885" t="s">
        <v>1199</v>
      </c>
    </row>
    <row r="886" spans="1:11">
      <c r="A886" t="s">
        <v>886</v>
      </c>
      <c r="B886" t="s">
        <v>2150</v>
      </c>
      <c r="C886" t="s">
        <v>2151</v>
      </c>
      <c r="D886" t="s">
        <v>21</v>
      </c>
      <c r="E886" t="s">
        <v>22</v>
      </c>
      <c r="F886">
        <v>0</v>
      </c>
      <c r="G886" s="2">
        <v>46286.354166666664</v>
      </c>
      <c r="H886" s="2">
        <v>46409.729166666664</v>
      </c>
      <c r="I886" t="s">
        <v>198</v>
      </c>
      <c r="J886" t="s">
        <v>1849</v>
      </c>
      <c r="K886" t="s">
        <v>1199</v>
      </c>
    </row>
    <row r="887" spans="1:11">
      <c r="A887" t="s">
        <v>886</v>
      </c>
      <c r="B887" t="s">
        <v>2152</v>
      </c>
      <c r="C887" t="s">
        <v>2153</v>
      </c>
      <c r="D887" t="s">
        <v>21</v>
      </c>
      <c r="E887" t="s">
        <v>22</v>
      </c>
      <c r="F887">
        <v>0</v>
      </c>
      <c r="G887" s="2">
        <v>46286.354166666664</v>
      </c>
      <c r="H887" s="2">
        <v>46409.729166666664</v>
      </c>
      <c r="I887" t="s">
        <v>198</v>
      </c>
      <c r="J887" t="s">
        <v>1849</v>
      </c>
      <c r="K887" t="s">
        <v>1199</v>
      </c>
    </row>
    <row r="888" spans="1:11">
      <c r="A888" t="s">
        <v>886</v>
      </c>
      <c r="B888" t="s">
        <v>2154</v>
      </c>
      <c r="C888" t="s">
        <v>2155</v>
      </c>
      <c r="D888" t="s">
        <v>21</v>
      </c>
      <c r="E888" t="s">
        <v>22</v>
      </c>
      <c r="F888">
        <v>4</v>
      </c>
      <c r="G888" s="2">
        <v>46286.520833333336</v>
      </c>
      <c r="H888" s="2">
        <v>46409.5625</v>
      </c>
      <c r="I888" s="1">
        <v>46161</v>
      </c>
      <c r="J888" t="s">
        <v>1970</v>
      </c>
      <c r="K888" t="s">
        <v>1199</v>
      </c>
    </row>
    <row r="889" spans="1:11">
      <c r="A889" t="s">
        <v>886</v>
      </c>
      <c r="B889" t="s">
        <v>2156</v>
      </c>
      <c r="C889" t="s">
        <v>2157</v>
      </c>
      <c r="D889" t="s">
        <v>21</v>
      </c>
      <c r="E889" t="s">
        <v>22</v>
      </c>
      <c r="F889">
        <v>15</v>
      </c>
      <c r="G889" s="2">
        <v>46286.506944444445</v>
      </c>
      <c r="H889" s="2">
        <v>46409.5625</v>
      </c>
      <c r="I889" s="1">
        <v>46163</v>
      </c>
      <c r="J889" t="s">
        <v>1973</v>
      </c>
      <c r="K889" t="s">
        <v>1199</v>
      </c>
    </row>
    <row r="890" spans="1:11">
      <c r="A890" t="s">
        <v>886</v>
      </c>
      <c r="B890" t="s">
        <v>2158</v>
      </c>
      <c r="C890" t="s">
        <v>2159</v>
      </c>
      <c r="D890" t="s">
        <v>21</v>
      </c>
      <c r="E890" t="s">
        <v>22</v>
      </c>
      <c r="F890">
        <v>54</v>
      </c>
      <c r="G890" s="2">
        <v>46286.354166666664</v>
      </c>
      <c r="H890" s="2">
        <v>46409.729166666664</v>
      </c>
      <c r="I890" s="1">
        <v>46163</v>
      </c>
      <c r="J890" t="s">
        <v>1849</v>
      </c>
      <c r="K890" t="s">
        <v>1199</v>
      </c>
    </row>
    <row r="891" spans="1:11">
      <c r="A891" t="s">
        <v>886</v>
      </c>
      <c r="B891" t="s">
        <v>2160</v>
      </c>
      <c r="C891" t="s">
        <v>2161</v>
      </c>
      <c r="D891" t="s">
        <v>21</v>
      </c>
      <c r="E891" t="s">
        <v>22</v>
      </c>
      <c r="F891">
        <v>58</v>
      </c>
      <c r="G891" s="2">
        <v>46286.354166666664</v>
      </c>
      <c r="H891" s="2">
        <v>46409.729166666664</v>
      </c>
      <c r="I891" s="1">
        <v>46162</v>
      </c>
      <c r="J891" t="s">
        <v>1849</v>
      </c>
      <c r="K891" t="s">
        <v>1199</v>
      </c>
    </row>
    <row r="892" spans="1:11">
      <c r="A892" t="s">
        <v>886</v>
      </c>
      <c r="B892" t="s">
        <v>2162</v>
      </c>
      <c r="C892" t="s">
        <v>2163</v>
      </c>
      <c r="D892" t="s">
        <v>21</v>
      </c>
      <c r="E892" t="s">
        <v>22</v>
      </c>
      <c r="F892">
        <v>52</v>
      </c>
      <c r="G892" s="2">
        <v>46286.354166666664</v>
      </c>
      <c r="H892" s="2">
        <v>46409.729166666664</v>
      </c>
      <c r="I892" s="1">
        <v>46163</v>
      </c>
      <c r="J892" t="s">
        <v>1849</v>
      </c>
      <c r="K892" t="s">
        <v>1199</v>
      </c>
    </row>
    <row r="893" spans="1:11">
      <c r="A893" t="s">
        <v>886</v>
      </c>
      <c r="B893" t="s">
        <v>2164</v>
      </c>
      <c r="C893" t="s">
        <v>2165</v>
      </c>
      <c r="D893" t="s">
        <v>21</v>
      </c>
      <c r="E893" t="s">
        <v>22</v>
      </c>
      <c r="F893">
        <v>40</v>
      </c>
      <c r="G893" s="2">
        <v>46286.354166666664</v>
      </c>
      <c r="H893" s="2">
        <v>46409.729166666664</v>
      </c>
      <c r="I893" s="1">
        <v>46163</v>
      </c>
      <c r="J893" t="s">
        <v>1849</v>
      </c>
      <c r="K893" t="s">
        <v>1199</v>
      </c>
    </row>
    <row r="894" spans="1:11">
      <c r="A894" t="s">
        <v>886</v>
      </c>
      <c r="B894" t="s">
        <v>2166</v>
      </c>
      <c r="C894" t="s">
        <v>2167</v>
      </c>
      <c r="D894" t="s">
        <v>21</v>
      </c>
      <c r="E894" t="s">
        <v>22</v>
      </c>
      <c r="F894">
        <v>44</v>
      </c>
      <c r="G894" s="2">
        <v>46286.354166666664</v>
      </c>
      <c r="H894" s="2">
        <v>46409.729166666664</v>
      </c>
      <c r="I894" s="1">
        <v>46163</v>
      </c>
      <c r="J894" t="s">
        <v>1849</v>
      </c>
      <c r="K894" t="s">
        <v>1199</v>
      </c>
    </row>
    <row r="895" spans="1:11">
      <c r="A895" t="s">
        <v>886</v>
      </c>
      <c r="B895" t="s">
        <v>2168</v>
      </c>
      <c r="C895" t="s">
        <v>2169</v>
      </c>
      <c r="D895" t="s">
        <v>21</v>
      </c>
      <c r="E895" t="s">
        <v>22</v>
      </c>
      <c r="F895">
        <v>52</v>
      </c>
      <c r="G895" s="2">
        <v>46286.354166666664</v>
      </c>
      <c r="H895" s="2">
        <v>46409.729166666664</v>
      </c>
      <c r="I895" s="1">
        <v>46163</v>
      </c>
      <c r="J895" t="s">
        <v>1849</v>
      </c>
      <c r="K895" t="s">
        <v>1199</v>
      </c>
    </row>
    <row r="896" spans="1:11">
      <c r="A896" t="s">
        <v>886</v>
      </c>
      <c r="B896" t="s">
        <v>2170</v>
      </c>
      <c r="C896" t="s">
        <v>2171</v>
      </c>
      <c r="D896" t="s">
        <v>21</v>
      </c>
      <c r="E896" t="s">
        <v>22</v>
      </c>
      <c r="F896">
        <v>36</v>
      </c>
      <c r="G896" s="2">
        <v>46286.354166666664</v>
      </c>
      <c r="H896" s="2">
        <v>46409.729166666664</v>
      </c>
      <c r="I896" s="1">
        <v>46163</v>
      </c>
      <c r="J896" t="s">
        <v>1849</v>
      </c>
      <c r="K896" t="s">
        <v>1199</v>
      </c>
    </row>
    <row r="897" spans="1:11">
      <c r="A897" t="s">
        <v>886</v>
      </c>
      <c r="B897" t="s">
        <v>2172</v>
      </c>
      <c r="C897" t="s">
        <v>2173</v>
      </c>
      <c r="D897" t="s">
        <v>21</v>
      </c>
      <c r="E897" t="s">
        <v>22</v>
      </c>
      <c r="F897">
        <v>34</v>
      </c>
      <c r="G897" s="2">
        <v>46286.354166666664</v>
      </c>
      <c r="H897" s="2">
        <v>46409.729166666664</v>
      </c>
      <c r="I897" s="1">
        <v>46162</v>
      </c>
      <c r="J897" t="s">
        <v>1849</v>
      </c>
      <c r="K897" t="s">
        <v>1199</v>
      </c>
    </row>
    <row r="898" spans="1:11">
      <c r="A898" t="s">
        <v>886</v>
      </c>
      <c r="B898" t="s">
        <v>2174</v>
      </c>
      <c r="C898" t="s">
        <v>2175</v>
      </c>
      <c r="D898" t="s">
        <v>21</v>
      </c>
      <c r="E898" t="s">
        <v>22</v>
      </c>
      <c r="F898">
        <v>1</v>
      </c>
      <c r="G898" s="2">
        <v>46286.354166666664</v>
      </c>
      <c r="H898" s="2">
        <v>46409.729166666664</v>
      </c>
      <c r="I898" s="1">
        <v>46161</v>
      </c>
      <c r="J898" t="s">
        <v>1849</v>
      </c>
      <c r="K898" t="s">
        <v>1199</v>
      </c>
    </row>
    <row r="899" spans="1:11">
      <c r="A899" t="s">
        <v>886</v>
      </c>
      <c r="B899" t="s">
        <v>2176</v>
      </c>
      <c r="C899" t="s">
        <v>2177</v>
      </c>
      <c r="D899" t="s">
        <v>21</v>
      </c>
      <c r="E899" t="s">
        <v>22</v>
      </c>
      <c r="F899">
        <v>0</v>
      </c>
      <c r="G899" s="2">
        <v>46286.354166666664</v>
      </c>
      <c r="H899" s="2">
        <v>46409.729166666664</v>
      </c>
      <c r="I899" t="s">
        <v>198</v>
      </c>
      <c r="J899" t="s">
        <v>1849</v>
      </c>
      <c r="K899" t="s">
        <v>1199</v>
      </c>
    </row>
    <row r="900" spans="1:11">
      <c r="A900" t="s">
        <v>886</v>
      </c>
      <c r="B900" t="s">
        <v>2178</v>
      </c>
      <c r="C900" t="s">
        <v>2179</v>
      </c>
      <c r="D900" t="s">
        <v>21</v>
      </c>
      <c r="E900" t="s">
        <v>22</v>
      </c>
      <c r="F900">
        <v>0</v>
      </c>
      <c r="G900" s="2">
        <v>46286.354166666664</v>
      </c>
      <c r="H900" s="2">
        <v>46409.729166666664</v>
      </c>
      <c r="I900" s="1">
        <v>45316</v>
      </c>
      <c r="J900" t="s">
        <v>1849</v>
      </c>
      <c r="K900" t="s">
        <v>1199</v>
      </c>
    </row>
    <row r="901" spans="1:11">
      <c r="A901" t="s">
        <v>886</v>
      </c>
      <c r="B901" t="s">
        <v>2180</v>
      </c>
      <c r="C901" t="s">
        <v>2181</v>
      </c>
      <c r="D901" t="s">
        <v>21</v>
      </c>
      <c r="E901" t="s">
        <v>22</v>
      </c>
      <c r="F901">
        <v>0</v>
      </c>
      <c r="G901" s="2">
        <v>46286.354166666664</v>
      </c>
      <c r="H901" s="2">
        <v>46409.729166666664</v>
      </c>
      <c r="I901" s="1">
        <v>45471</v>
      </c>
      <c r="J901" t="s">
        <v>1849</v>
      </c>
      <c r="K901" t="s">
        <v>1199</v>
      </c>
    </row>
    <row r="902" spans="1:11">
      <c r="A902" t="s">
        <v>886</v>
      </c>
      <c r="B902" t="s">
        <v>2182</v>
      </c>
      <c r="C902" t="s">
        <v>2183</v>
      </c>
      <c r="D902" t="s">
        <v>21</v>
      </c>
      <c r="E902" t="s">
        <v>22</v>
      </c>
      <c r="F902">
        <v>0</v>
      </c>
      <c r="G902" s="2">
        <v>46286.354166666664</v>
      </c>
      <c r="H902" s="2">
        <v>46409.729166666664</v>
      </c>
      <c r="I902" s="1">
        <v>45685</v>
      </c>
      <c r="J902" t="s">
        <v>1849</v>
      </c>
      <c r="K902" t="s">
        <v>1199</v>
      </c>
    </row>
    <row r="903" spans="1:11">
      <c r="A903" t="s">
        <v>886</v>
      </c>
      <c r="B903" t="s">
        <v>2184</v>
      </c>
      <c r="C903" t="s">
        <v>2185</v>
      </c>
      <c r="D903" t="s">
        <v>21</v>
      </c>
      <c r="E903" t="s">
        <v>22</v>
      </c>
      <c r="F903">
        <v>0</v>
      </c>
      <c r="G903" s="2">
        <v>46286.354166666664</v>
      </c>
      <c r="H903" s="2">
        <v>46409.729166666664</v>
      </c>
      <c r="I903" s="1">
        <v>45833</v>
      </c>
      <c r="J903" t="s">
        <v>1849</v>
      </c>
      <c r="K903" t="s">
        <v>1199</v>
      </c>
    </row>
    <row r="904" spans="1:11">
      <c r="A904" t="s">
        <v>886</v>
      </c>
      <c r="B904" t="s">
        <v>2186</v>
      </c>
      <c r="C904" t="s">
        <v>2187</v>
      </c>
      <c r="D904" t="s">
        <v>21</v>
      </c>
      <c r="E904" t="s">
        <v>22</v>
      </c>
      <c r="F904">
        <v>0</v>
      </c>
      <c r="G904" s="2">
        <v>46286.354166666664</v>
      </c>
      <c r="H904" s="2">
        <v>46409.729166666664</v>
      </c>
      <c r="I904" s="1">
        <v>46048</v>
      </c>
      <c r="J904" t="s">
        <v>1849</v>
      </c>
      <c r="K904" t="s">
        <v>1199</v>
      </c>
    </row>
    <row r="905" spans="1:11">
      <c r="A905" t="s">
        <v>886</v>
      </c>
      <c r="B905" t="s">
        <v>2188</v>
      </c>
      <c r="C905" t="s">
        <v>2189</v>
      </c>
      <c r="D905" t="s">
        <v>21</v>
      </c>
      <c r="E905" t="s">
        <v>22</v>
      </c>
      <c r="F905">
        <v>0</v>
      </c>
      <c r="G905" s="2">
        <v>46286.354166666664</v>
      </c>
      <c r="H905" s="2">
        <v>46409.729166666664</v>
      </c>
      <c r="I905" s="1">
        <v>46066</v>
      </c>
      <c r="J905" t="s">
        <v>1849</v>
      </c>
      <c r="K905" t="s">
        <v>1199</v>
      </c>
    </row>
    <row r="906" spans="1:11">
      <c r="A906" t="s">
        <v>886</v>
      </c>
      <c r="B906" t="s">
        <v>2190</v>
      </c>
      <c r="C906" t="s">
        <v>2191</v>
      </c>
      <c r="D906" t="s">
        <v>21</v>
      </c>
      <c r="E906" t="s">
        <v>22</v>
      </c>
      <c r="F906">
        <v>2</v>
      </c>
      <c r="G906" s="2">
        <v>46286.354166666664</v>
      </c>
      <c r="H906" s="2">
        <v>46409.729166666664</v>
      </c>
      <c r="I906" s="1">
        <v>46154</v>
      </c>
      <c r="J906" t="s">
        <v>1849</v>
      </c>
      <c r="K906" t="s">
        <v>1199</v>
      </c>
    </row>
    <row r="907" spans="1:11">
      <c r="A907" t="s">
        <v>886</v>
      </c>
      <c r="B907" t="s">
        <v>2192</v>
      </c>
      <c r="C907" t="s">
        <v>2193</v>
      </c>
      <c r="D907" t="s">
        <v>21</v>
      </c>
      <c r="E907" t="s">
        <v>22</v>
      </c>
      <c r="F907">
        <v>0</v>
      </c>
      <c r="G907" s="2">
        <v>46286.354166666664</v>
      </c>
      <c r="H907" s="2">
        <v>46409.729166666664</v>
      </c>
      <c r="I907" t="s">
        <v>198</v>
      </c>
      <c r="J907" t="s">
        <v>1849</v>
      </c>
      <c r="K907" t="s">
        <v>1199</v>
      </c>
    </row>
    <row r="908" spans="1:11">
      <c r="A908" t="s">
        <v>886</v>
      </c>
      <c r="B908" t="s">
        <v>2194</v>
      </c>
      <c r="C908" t="s">
        <v>2195</v>
      </c>
      <c r="D908" t="s">
        <v>21</v>
      </c>
      <c r="E908" t="s">
        <v>22</v>
      </c>
      <c r="F908">
        <v>0</v>
      </c>
      <c r="G908" s="2">
        <v>46286.354166666664</v>
      </c>
      <c r="H908" s="2">
        <v>46409.729166666664</v>
      </c>
      <c r="I908" t="s">
        <v>198</v>
      </c>
      <c r="J908" t="s">
        <v>1849</v>
      </c>
      <c r="K908" t="s">
        <v>1199</v>
      </c>
    </row>
    <row r="909" spans="1:11">
      <c r="A909" t="s">
        <v>886</v>
      </c>
      <c r="B909" t="s">
        <v>2196</v>
      </c>
      <c r="C909" t="s">
        <v>2197</v>
      </c>
      <c r="D909" t="s">
        <v>21</v>
      </c>
      <c r="E909" t="s">
        <v>22</v>
      </c>
      <c r="F909">
        <v>0</v>
      </c>
      <c r="G909" s="2">
        <v>46286.354166666664</v>
      </c>
      <c r="H909" s="2">
        <v>46409.729166666664</v>
      </c>
      <c r="I909" t="s">
        <v>198</v>
      </c>
      <c r="J909" t="s">
        <v>1849</v>
      </c>
      <c r="K909" t="s">
        <v>1199</v>
      </c>
    </row>
    <row r="910" spans="1:11">
      <c r="A910" t="s">
        <v>886</v>
      </c>
      <c r="B910" t="s">
        <v>2198</v>
      </c>
      <c r="C910" t="s">
        <v>2199</v>
      </c>
      <c r="D910" t="s">
        <v>21</v>
      </c>
      <c r="E910" t="s">
        <v>22</v>
      </c>
      <c r="F910">
        <v>0</v>
      </c>
      <c r="G910" s="2">
        <v>46286.354166666664</v>
      </c>
      <c r="H910" s="2">
        <v>46409.729166666664</v>
      </c>
      <c r="I910" s="1">
        <v>46050</v>
      </c>
      <c r="J910" t="s">
        <v>1849</v>
      </c>
      <c r="K910" t="s">
        <v>1199</v>
      </c>
    </row>
    <row r="911" spans="1:11">
      <c r="A911" t="s">
        <v>886</v>
      </c>
      <c r="B911" t="s">
        <v>2200</v>
      </c>
      <c r="C911" t="s">
        <v>2201</v>
      </c>
      <c r="D911" t="s">
        <v>21</v>
      </c>
      <c r="E911" t="s">
        <v>22</v>
      </c>
      <c r="F911">
        <v>2</v>
      </c>
      <c r="G911" s="2">
        <v>46286.354166666664</v>
      </c>
      <c r="H911" s="2">
        <v>46409.729166666664</v>
      </c>
      <c r="I911" s="1">
        <v>46162</v>
      </c>
      <c r="J911" t="s">
        <v>1849</v>
      </c>
      <c r="K911" t="s">
        <v>1199</v>
      </c>
    </row>
    <row r="912" spans="1:11">
      <c r="A912" t="s">
        <v>886</v>
      </c>
      <c r="B912" t="s">
        <v>2202</v>
      </c>
      <c r="C912" t="s">
        <v>2203</v>
      </c>
      <c r="D912" t="s">
        <v>21</v>
      </c>
      <c r="E912" t="s">
        <v>22</v>
      </c>
      <c r="F912">
        <v>0</v>
      </c>
      <c r="G912" s="2">
        <v>46286.354166666664</v>
      </c>
      <c r="H912" s="2">
        <v>46409.729166666664</v>
      </c>
      <c r="I912" s="1">
        <v>45471</v>
      </c>
      <c r="J912" t="s">
        <v>1849</v>
      </c>
      <c r="K912" t="s">
        <v>1199</v>
      </c>
    </row>
    <row r="913" spans="1:11">
      <c r="A913" t="s">
        <v>886</v>
      </c>
      <c r="B913" t="s">
        <v>2204</v>
      </c>
      <c r="C913" t="s">
        <v>2205</v>
      </c>
      <c r="D913" t="s">
        <v>21</v>
      </c>
      <c r="E913" t="s">
        <v>22</v>
      </c>
      <c r="F913">
        <v>0</v>
      </c>
      <c r="G913" s="2">
        <v>46286.354166666664</v>
      </c>
      <c r="H913" s="2">
        <v>46409.729166666664</v>
      </c>
      <c r="I913" s="1">
        <v>45683</v>
      </c>
      <c r="J913" t="s">
        <v>1849</v>
      </c>
      <c r="K913" t="s">
        <v>1199</v>
      </c>
    </row>
    <row r="914" spans="1:11">
      <c r="A914" t="s">
        <v>886</v>
      </c>
      <c r="B914" t="s">
        <v>2386</v>
      </c>
      <c r="C914" t="s">
        <v>2387</v>
      </c>
      <c r="D914" t="s">
        <v>21</v>
      </c>
      <c r="E914" t="s">
        <v>22</v>
      </c>
      <c r="F914">
        <v>37</v>
      </c>
      <c r="G914" s="2">
        <v>46286.354166666664</v>
      </c>
      <c r="H914" s="2">
        <v>46409.729166666664</v>
      </c>
      <c r="I914" s="1">
        <v>46162</v>
      </c>
      <c r="J914" t="s">
        <v>1849</v>
      </c>
      <c r="K914" t="s">
        <v>1199</v>
      </c>
    </row>
    <row r="915" spans="1:11">
      <c r="A915" t="s">
        <v>886</v>
      </c>
      <c r="B915" t="s">
        <v>2388</v>
      </c>
      <c r="C915" t="s">
        <v>2389</v>
      </c>
      <c r="D915" t="s">
        <v>21</v>
      </c>
      <c r="E915" t="s">
        <v>22</v>
      </c>
      <c r="F915">
        <v>24</v>
      </c>
      <c r="G915" s="2">
        <v>46286.354166666664</v>
      </c>
      <c r="H915" s="2">
        <v>46409.729166666664</v>
      </c>
      <c r="I915" s="1">
        <v>46163</v>
      </c>
      <c r="J915" t="s">
        <v>1849</v>
      </c>
      <c r="K915" t="s">
        <v>1199</v>
      </c>
    </row>
    <row r="916" spans="1:11">
      <c r="A916" t="s">
        <v>886</v>
      </c>
      <c r="B916" t="s">
        <v>2390</v>
      </c>
      <c r="C916" t="s">
        <v>2391</v>
      </c>
      <c r="D916" t="s">
        <v>21</v>
      </c>
      <c r="E916" t="s">
        <v>22</v>
      </c>
      <c r="F916">
        <v>30</v>
      </c>
      <c r="G916" s="2">
        <v>46286.354166666664</v>
      </c>
      <c r="H916" s="2">
        <v>46409.729166666664</v>
      </c>
      <c r="I916" s="1">
        <v>46163</v>
      </c>
      <c r="J916" t="s">
        <v>1849</v>
      </c>
      <c r="K916" t="s">
        <v>1199</v>
      </c>
    </row>
    <row r="917" spans="1:11">
      <c r="A917" t="s">
        <v>886</v>
      </c>
      <c r="B917" t="s">
        <v>2392</v>
      </c>
      <c r="C917" t="s">
        <v>2393</v>
      </c>
      <c r="D917" t="s">
        <v>21</v>
      </c>
      <c r="E917" t="s">
        <v>22</v>
      </c>
      <c r="F917">
        <v>16</v>
      </c>
      <c r="G917" s="2">
        <v>46286.354166666664</v>
      </c>
      <c r="H917" s="2">
        <v>46409.729166666664</v>
      </c>
      <c r="I917" s="1">
        <v>46160</v>
      </c>
      <c r="J917" t="s">
        <v>1849</v>
      </c>
      <c r="K917" t="s">
        <v>1199</v>
      </c>
    </row>
    <row r="918" spans="1:11">
      <c r="A918" t="s">
        <v>886</v>
      </c>
      <c r="B918" t="s">
        <v>2394</v>
      </c>
      <c r="C918" t="s">
        <v>2395</v>
      </c>
      <c r="D918" t="s">
        <v>21</v>
      </c>
      <c r="E918" t="s">
        <v>22</v>
      </c>
      <c r="F918">
        <v>9</v>
      </c>
      <c r="G918" s="2">
        <v>46286.354166666664</v>
      </c>
      <c r="H918" s="2">
        <v>46409.729166666664</v>
      </c>
      <c r="I918" s="1">
        <v>46162</v>
      </c>
      <c r="J918" t="s">
        <v>1849</v>
      </c>
      <c r="K918" t="s">
        <v>1199</v>
      </c>
    </row>
    <row r="919" spans="1:11">
      <c r="A919" t="s">
        <v>886</v>
      </c>
      <c r="B919" t="s">
        <v>2396</v>
      </c>
      <c r="C919" t="s">
        <v>2397</v>
      </c>
      <c r="D919" t="s">
        <v>21</v>
      </c>
      <c r="E919" t="s">
        <v>22</v>
      </c>
      <c r="F919">
        <v>10</v>
      </c>
      <c r="G919" s="2">
        <v>46286.354166666664</v>
      </c>
      <c r="H919" s="2">
        <v>46409.729166666664</v>
      </c>
      <c r="I919" s="1">
        <v>46154</v>
      </c>
      <c r="J919" t="s">
        <v>1849</v>
      </c>
      <c r="K919" t="s">
        <v>1199</v>
      </c>
    </row>
    <row r="920" spans="1:11">
      <c r="A920" t="s">
        <v>886</v>
      </c>
      <c r="B920" t="s">
        <v>2398</v>
      </c>
      <c r="C920" t="s">
        <v>2399</v>
      </c>
      <c r="D920" t="s">
        <v>21</v>
      </c>
      <c r="E920" t="s">
        <v>22</v>
      </c>
      <c r="F920">
        <v>11</v>
      </c>
      <c r="G920" s="2">
        <v>46286.354166666664</v>
      </c>
      <c r="H920" s="2">
        <v>46409.729166666664</v>
      </c>
      <c r="I920" s="1">
        <v>46161</v>
      </c>
      <c r="J920" t="s">
        <v>1849</v>
      </c>
      <c r="K920" t="s">
        <v>1199</v>
      </c>
    </row>
    <row r="921" spans="1:11">
      <c r="A921" t="s">
        <v>886</v>
      </c>
      <c r="B921" t="s">
        <v>2400</v>
      </c>
      <c r="C921" t="s">
        <v>2401</v>
      </c>
      <c r="D921" t="s">
        <v>21</v>
      </c>
      <c r="E921" t="s">
        <v>22</v>
      </c>
      <c r="F921">
        <v>0</v>
      </c>
      <c r="G921" s="2">
        <v>46286.354166666664</v>
      </c>
      <c r="H921" s="2">
        <v>46409.729166666664</v>
      </c>
      <c r="I921" s="1">
        <v>46073</v>
      </c>
      <c r="J921" t="s">
        <v>1849</v>
      </c>
      <c r="K921" t="s">
        <v>1199</v>
      </c>
    </row>
    <row r="922" spans="1:11">
      <c r="A922" t="s">
        <v>886</v>
      </c>
      <c r="B922" t="s">
        <v>2206</v>
      </c>
      <c r="C922" t="s">
        <v>2207</v>
      </c>
      <c r="D922" t="s">
        <v>21</v>
      </c>
      <c r="E922" t="s">
        <v>22</v>
      </c>
      <c r="F922">
        <v>2</v>
      </c>
      <c r="G922" s="2">
        <v>46286.354166666664</v>
      </c>
      <c r="H922" s="2">
        <v>46409.729166666664</v>
      </c>
      <c r="I922" s="1">
        <v>46154</v>
      </c>
      <c r="J922" t="s">
        <v>1849</v>
      </c>
      <c r="K922" t="s">
        <v>1199</v>
      </c>
    </row>
    <row r="923" spans="1:11">
      <c r="A923" t="s">
        <v>886</v>
      </c>
      <c r="B923" t="s">
        <v>2208</v>
      </c>
      <c r="C923" t="s">
        <v>2209</v>
      </c>
      <c r="D923" t="s">
        <v>21</v>
      </c>
      <c r="E923" t="s">
        <v>22</v>
      </c>
      <c r="F923">
        <v>2</v>
      </c>
      <c r="G923" s="2">
        <v>46286.354166666664</v>
      </c>
      <c r="H923" s="2">
        <v>46409.729166666664</v>
      </c>
      <c r="I923" s="1">
        <v>46163</v>
      </c>
      <c r="J923" t="s">
        <v>1849</v>
      </c>
      <c r="K923" t="s">
        <v>1199</v>
      </c>
    </row>
    <row r="924" spans="1:11">
      <c r="A924" t="s">
        <v>886</v>
      </c>
      <c r="B924" t="s">
        <v>2210</v>
      </c>
      <c r="C924" t="s">
        <v>2211</v>
      </c>
      <c r="D924" t="s">
        <v>21</v>
      </c>
      <c r="E924" t="s">
        <v>22</v>
      </c>
      <c r="F924">
        <v>0</v>
      </c>
      <c r="G924" s="2">
        <v>46286.354166666664</v>
      </c>
      <c r="H924" s="2">
        <v>46409.729166666664</v>
      </c>
      <c r="I924" t="s">
        <v>198</v>
      </c>
      <c r="J924" t="s">
        <v>1849</v>
      </c>
      <c r="K924" t="s">
        <v>1199</v>
      </c>
    </row>
    <row r="925" spans="1:11">
      <c r="A925" t="s">
        <v>886</v>
      </c>
      <c r="B925" t="s">
        <v>2212</v>
      </c>
      <c r="C925" t="s">
        <v>2213</v>
      </c>
      <c r="D925" t="s">
        <v>21</v>
      </c>
      <c r="E925" t="s">
        <v>22</v>
      </c>
      <c r="F925">
        <v>0</v>
      </c>
      <c r="G925" s="2">
        <v>46286.354166666664</v>
      </c>
      <c r="H925" s="2">
        <v>46409.729166666664</v>
      </c>
      <c r="I925" t="s">
        <v>198</v>
      </c>
      <c r="J925" t="s">
        <v>1849</v>
      </c>
      <c r="K925" t="s">
        <v>1199</v>
      </c>
    </row>
    <row r="926" spans="1:11">
      <c r="A926" t="s">
        <v>886</v>
      </c>
      <c r="B926" t="s">
        <v>2214</v>
      </c>
      <c r="C926" t="s">
        <v>2215</v>
      </c>
      <c r="D926" t="s">
        <v>21</v>
      </c>
      <c r="E926" t="s">
        <v>22</v>
      </c>
      <c r="F926">
        <v>0</v>
      </c>
      <c r="G926" s="2">
        <v>46286.354166666664</v>
      </c>
      <c r="H926" s="2">
        <v>46409.729166666664</v>
      </c>
      <c r="I926" t="s">
        <v>198</v>
      </c>
      <c r="J926" t="s">
        <v>1849</v>
      </c>
      <c r="K926" t="s">
        <v>1199</v>
      </c>
    </row>
    <row r="927" spans="1:11">
      <c r="A927" t="s">
        <v>886</v>
      </c>
      <c r="B927" t="s">
        <v>2216</v>
      </c>
      <c r="C927" t="s">
        <v>2217</v>
      </c>
      <c r="D927" t="s">
        <v>21</v>
      </c>
      <c r="E927" t="s">
        <v>22</v>
      </c>
      <c r="F927">
        <v>0</v>
      </c>
      <c r="G927" s="2">
        <v>46286.354166666664</v>
      </c>
      <c r="H927" s="2">
        <v>46409.729166666664</v>
      </c>
      <c r="I927" t="s">
        <v>198</v>
      </c>
      <c r="J927" t="s">
        <v>1849</v>
      </c>
      <c r="K927" t="s">
        <v>1199</v>
      </c>
    </row>
    <row r="928" spans="1:11">
      <c r="A928" t="s">
        <v>886</v>
      </c>
      <c r="B928" t="s">
        <v>2218</v>
      </c>
      <c r="C928" t="s">
        <v>2219</v>
      </c>
      <c r="D928" t="s">
        <v>21</v>
      </c>
      <c r="E928" t="s">
        <v>22</v>
      </c>
      <c r="F928">
        <v>0</v>
      </c>
      <c r="G928" s="2">
        <v>46286.354166666664</v>
      </c>
      <c r="H928" s="2">
        <v>46409.729166666664</v>
      </c>
      <c r="I928" t="s">
        <v>198</v>
      </c>
      <c r="J928" t="s">
        <v>1849</v>
      </c>
      <c r="K928" t="s">
        <v>1199</v>
      </c>
    </row>
    <row r="929" spans="1:11">
      <c r="A929" t="s">
        <v>886</v>
      </c>
      <c r="B929" t="s">
        <v>2220</v>
      </c>
      <c r="C929" t="s">
        <v>2221</v>
      </c>
      <c r="D929" t="s">
        <v>21</v>
      </c>
      <c r="E929" t="s">
        <v>22</v>
      </c>
      <c r="F929">
        <v>0</v>
      </c>
      <c r="G929" s="2">
        <v>46286.354166666664</v>
      </c>
      <c r="H929" s="2">
        <v>46409.729166666664</v>
      </c>
      <c r="I929" t="s">
        <v>198</v>
      </c>
      <c r="J929" t="s">
        <v>1849</v>
      </c>
      <c r="K929" t="s">
        <v>1199</v>
      </c>
    </row>
    <row r="930" spans="1:11">
      <c r="A930" t="s">
        <v>886</v>
      </c>
      <c r="B930" t="s">
        <v>2222</v>
      </c>
      <c r="C930" t="s">
        <v>2223</v>
      </c>
      <c r="D930" t="s">
        <v>21</v>
      </c>
      <c r="E930" t="s">
        <v>22</v>
      </c>
      <c r="F930">
        <v>7</v>
      </c>
      <c r="G930" s="2">
        <v>46286.354166666664</v>
      </c>
      <c r="H930" s="2">
        <v>46409.729166666664</v>
      </c>
      <c r="I930" s="1">
        <v>46161</v>
      </c>
      <c r="J930" t="s">
        <v>1849</v>
      </c>
      <c r="K930" t="s">
        <v>1199</v>
      </c>
    </row>
    <row r="931" spans="1:11">
      <c r="A931" t="s">
        <v>886</v>
      </c>
      <c r="B931" t="s">
        <v>2224</v>
      </c>
      <c r="C931" t="s">
        <v>2225</v>
      </c>
      <c r="D931" t="s">
        <v>21</v>
      </c>
      <c r="E931" t="s">
        <v>22</v>
      </c>
      <c r="F931">
        <v>6</v>
      </c>
      <c r="G931" s="2">
        <v>46286.354166666664</v>
      </c>
      <c r="H931" s="2">
        <v>46409.729166666664</v>
      </c>
      <c r="I931" s="1">
        <v>46161</v>
      </c>
      <c r="J931" t="s">
        <v>1849</v>
      </c>
      <c r="K931" t="s">
        <v>1199</v>
      </c>
    </row>
    <row r="932" spans="1:11">
      <c r="A932" t="s">
        <v>886</v>
      </c>
      <c r="B932" t="s">
        <v>2226</v>
      </c>
      <c r="C932" t="s">
        <v>2227</v>
      </c>
      <c r="D932" t="s">
        <v>21</v>
      </c>
      <c r="E932" t="s">
        <v>22</v>
      </c>
      <c r="F932">
        <v>7</v>
      </c>
      <c r="G932" s="2">
        <v>46286.354166666664</v>
      </c>
      <c r="H932" s="2">
        <v>46409.729166666664</v>
      </c>
      <c r="I932" s="1">
        <v>46161</v>
      </c>
      <c r="J932" t="s">
        <v>1849</v>
      </c>
      <c r="K932" t="s">
        <v>1199</v>
      </c>
    </row>
    <row r="933" spans="1:11">
      <c r="A933" t="s">
        <v>886</v>
      </c>
      <c r="B933" t="s">
        <v>2228</v>
      </c>
      <c r="C933" t="s">
        <v>2229</v>
      </c>
      <c r="D933" t="s">
        <v>21</v>
      </c>
      <c r="E933" t="s">
        <v>22</v>
      </c>
      <c r="F933">
        <v>10</v>
      </c>
      <c r="G933" s="2">
        <v>46286.354166666664</v>
      </c>
      <c r="H933" s="2">
        <v>46409.729166666664</v>
      </c>
      <c r="I933" s="1">
        <v>46163</v>
      </c>
      <c r="J933" t="s">
        <v>1849</v>
      </c>
      <c r="K933" t="s">
        <v>1199</v>
      </c>
    </row>
    <row r="934" spans="1:11">
      <c r="A934" t="s">
        <v>886</v>
      </c>
      <c r="B934" t="s">
        <v>2230</v>
      </c>
      <c r="C934" t="s">
        <v>2231</v>
      </c>
      <c r="D934" t="s">
        <v>21</v>
      </c>
      <c r="E934" t="s">
        <v>22</v>
      </c>
      <c r="F934">
        <v>11</v>
      </c>
      <c r="G934" s="2">
        <v>46286.354166666664</v>
      </c>
      <c r="H934" s="2">
        <v>46409.729166666664</v>
      </c>
      <c r="I934" s="1">
        <v>46160</v>
      </c>
      <c r="J934" t="s">
        <v>1849</v>
      </c>
      <c r="K934" t="s">
        <v>1199</v>
      </c>
    </row>
    <row r="935" spans="1:11">
      <c r="A935" t="s">
        <v>886</v>
      </c>
      <c r="B935" t="s">
        <v>2232</v>
      </c>
      <c r="C935" t="s">
        <v>2233</v>
      </c>
      <c r="D935" t="s">
        <v>21</v>
      </c>
      <c r="E935" t="s">
        <v>22</v>
      </c>
      <c r="F935">
        <v>1</v>
      </c>
      <c r="G935" s="2">
        <v>46286.354166666664</v>
      </c>
      <c r="H935" s="2">
        <v>46409.729166666664</v>
      </c>
      <c r="I935" s="1">
        <v>46153</v>
      </c>
      <c r="J935" t="s">
        <v>1849</v>
      </c>
      <c r="K935" t="s">
        <v>1199</v>
      </c>
    </row>
    <row r="936" spans="1:11">
      <c r="A936" t="s">
        <v>886</v>
      </c>
      <c r="B936" t="s">
        <v>2234</v>
      </c>
      <c r="C936" t="s">
        <v>2235</v>
      </c>
      <c r="D936" t="s">
        <v>21</v>
      </c>
      <c r="E936" t="s">
        <v>22</v>
      </c>
      <c r="F936">
        <v>0</v>
      </c>
      <c r="G936" s="2">
        <v>46286.354166666664</v>
      </c>
      <c r="H936" s="2">
        <v>46409.729166666664</v>
      </c>
      <c r="I936" s="1">
        <v>46063</v>
      </c>
      <c r="J936" t="s">
        <v>1849</v>
      </c>
      <c r="K936" t="s">
        <v>1199</v>
      </c>
    </row>
    <row r="937" spans="1:11">
      <c r="A937" t="s">
        <v>886</v>
      </c>
      <c r="B937" t="s">
        <v>2236</v>
      </c>
      <c r="C937" t="s">
        <v>2237</v>
      </c>
      <c r="D937" t="s">
        <v>21</v>
      </c>
      <c r="E937" t="s">
        <v>22</v>
      </c>
      <c r="F937">
        <v>7</v>
      </c>
      <c r="G937" s="2">
        <v>46286.354166666664</v>
      </c>
      <c r="H937" s="2">
        <v>46409.729166666664</v>
      </c>
      <c r="I937" s="1">
        <v>46153</v>
      </c>
      <c r="J937" t="s">
        <v>1849</v>
      </c>
      <c r="K937" t="s">
        <v>1199</v>
      </c>
    </row>
    <row r="938" spans="1:11">
      <c r="A938" t="s">
        <v>886</v>
      </c>
      <c r="B938" t="s">
        <v>2238</v>
      </c>
      <c r="C938" t="s">
        <v>2239</v>
      </c>
      <c r="D938" t="s">
        <v>21</v>
      </c>
      <c r="E938" t="s">
        <v>22</v>
      </c>
      <c r="F938">
        <v>20</v>
      </c>
      <c r="G938" s="2">
        <v>46286.354166666664</v>
      </c>
      <c r="H938" s="2">
        <v>46409.729166666664</v>
      </c>
      <c r="I938" s="1">
        <v>46160</v>
      </c>
      <c r="J938" t="s">
        <v>1849</v>
      </c>
      <c r="K938" t="s">
        <v>1199</v>
      </c>
    </row>
    <row r="939" spans="1:11">
      <c r="A939" t="s">
        <v>886</v>
      </c>
      <c r="B939" t="s">
        <v>2240</v>
      </c>
      <c r="C939" t="s">
        <v>2241</v>
      </c>
      <c r="D939" t="s">
        <v>21</v>
      </c>
      <c r="E939" t="s">
        <v>22</v>
      </c>
      <c r="F939">
        <v>21</v>
      </c>
      <c r="G939" s="2">
        <v>46286.354166666664</v>
      </c>
      <c r="H939" s="2">
        <v>46409.729166666664</v>
      </c>
      <c r="I939" s="1">
        <v>46163</v>
      </c>
      <c r="J939" t="s">
        <v>1849</v>
      </c>
      <c r="K939" t="s">
        <v>1199</v>
      </c>
    </row>
    <row r="940" spans="1:11">
      <c r="A940" t="s">
        <v>886</v>
      </c>
      <c r="B940" t="s">
        <v>2242</v>
      </c>
      <c r="C940" t="s">
        <v>2243</v>
      </c>
      <c r="D940" t="s">
        <v>21</v>
      </c>
      <c r="E940" t="s">
        <v>22</v>
      </c>
      <c r="F940">
        <v>20</v>
      </c>
      <c r="G940" s="2">
        <v>46286.354166666664</v>
      </c>
      <c r="H940" s="2">
        <v>46409.729166666664</v>
      </c>
      <c r="I940" s="1">
        <v>46163</v>
      </c>
      <c r="J940" t="s">
        <v>1849</v>
      </c>
      <c r="K940" t="s">
        <v>1199</v>
      </c>
    </row>
    <row r="941" spans="1:11">
      <c r="A941" t="s">
        <v>886</v>
      </c>
      <c r="B941" t="s">
        <v>2244</v>
      </c>
      <c r="C941" t="s">
        <v>2245</v>
      </c>
      <c r="D941" t="s">
        <v>21</v>
      </c>
      <c r="E941" t="s">
        <v>22</v>
      </c>
      <c r="F941">
        <v>12</v>
      </c>
      <c r="G941" s="2">
        <v>46286.354166666664</v>
      </c>
      <c r="H941" s="2">
        <v>46409.729166666664</v>
      </c>
      <c r="I941" s="1">
        <v>46163</v>
      </c>
      <c r="J941" t="s">
        <v>1849</v>
      </c>
      <c r="K941" t="s">
        <v>1199</v>
      </c>
    </row>
    <row r="942" spans="1:11">
      <c r="A942" t="s">
        <v>886</v>
      </c>
      <c r="B942" t="s">
        <v>2246</v>
      </c>
      <c r="C942" t="s">
        <v>2247</v>
      </c>
      <c r="D942" t="s">
        <v>21</v>
      </c>
      <c r="E942" t="s">
        <v>22</v>
      </c>
      <c r="F942">
        <v>18</v>
      </c>
      <c r="G942" s="2">
        <v>46286.354166666664</v>
      </c>
      <c r="H942" s="2">
        <v>46409.729166666664</v>
      </c>
      <c r="I942" s="1">
        <v>46163</v>
      </c>
      <c r="J942" t="s">
        <v>1849</v>
      </c>
      <c r="K942" t="s">
        <v>1199</v>
      </c>
    </row>
    <row r="943" spans="1:11">
      <c r="A943" t="s">
        <v>886</v>
      </c>
      <c r="B943" t="s">
        <v>2248</v>
      </c>
      <c r="C943" t="s">
        <v>2249</v>
      </c>
      <c r="D943" t="s">
        <v>21</v>
      </c>
      <c r="E943" t="s">
        <v>22</v>
      </c>
      <c r="F943">
        <v>12</v>
      </c>
      <c r="G943" s="2">
        <v>46286.354166666664</v>
      </c>
      <c r="H943" s="2">
        <v>46409.729166666664</v>
      </c>
      <c r="I943" s="1">
        <v>46163</v>
      </c>
      <c r="J943" t="s">
        <v>1849</v>
      </c>
      <c r="K943" t="s">
        <v>1199</v>
      </c>
    </row>
    <row r="944" spans="1:11">
      <c r="A944" t="s">
        <v>886</v>
      </c>
      <c r="B944" t="s">
        <v>2250</v>
      </c>
      <c r="C944" t="s">
        <v>2251</v>
      </c>
      <c r="D944" t="s">
        <v>21</v>
      </c>
      <c r="E944" t="s">
        <v>22</v>
      </c>
      <c r="F944">
        <v>14</v>
      </c>
      <c r="G944" s="2">
        <v>46286.354166666664</v>
      </c>
      <c r="H944" s="2">
        <v>46409.729166666664</v>
      </c>
      <c r="I944" s="1">
        <v>46161</v>
      </c>
      <c r="J944" t="s">
        <v>1849</v>
      </c>
      <c r="K944" t="s">
        <v>1199</v>
      </c>
    </row>
    <row r="945" spans="1:11">
      <c r="A945" t="s">
        <v>886</v>
      </c>
      <c r="B945" t="s">
        <v>2252</v>
      </c>
      <c r="C945" t="s">
        <v>2253</v>
      </c>
      <c r="D945" t="s">
        <v>21</v>
      </c>
      <c r="E945" t="s">
        <v>22</v>
      </c>
      <c r="F945">
        <v>9</v>
      </c>
      <c r="G945" s="2">
        <v>46286.354166666664</v>
      </c>
      <c r="H945" s="2">
        <v>46409.729166666664</v>
      </c>
      <c r="I945" s="1">
        <v>46160</v>
      </c>
      <c r="J945" t="s">
        <v>1849</v>
      </c>
      <c r="K945" t="s">
        <v>1199</v>
      </c>
    </row>
    <row r="946" spans="1:11">
      <c r="A946" t="s">
        <v>886</v>
      </c>
      <c r="B946" t="s">
        <v>2254</v>
      </c>
      <c r="C946" t="s">
        <v>2255</v>
      </c>
      <c r="D946" t="s">
        <v>21</v>
      </c>
      <c r="E946" t="s">
        <v>22</v>
      </c>
      <c r="F946">
        <v>4</v>
      </c>
      <c r="G946" s="2">
        <v>46286.354166666664</v>
      </c>
      <c r="H946" s="2">
        <v>46409.729166666664</v>
      </c>
      <c r="I946" s="1">
        <v>46163</v>
      </c>
      <c r="J946" t="s">
        <v>1849</v>
      </c>
      <c r="K946" t="s">
        <v>1199</v>
      </c>
    </row>
    <row r="947" spans="1:11">
      <c r="A947" t="s">
        <v>886</v>
      </c>
      <c r="B947" t="s">
        <v>2256</v>
      </c>
      <c r="C947" t="s">
        <v>2257</v>
      </c>
      <c r="D947" t="s">
        <v>21</v>
      </c>
      <c r="E947" t="s">
        <v>22</v>
      </c>
      <c r="F947">
        <v>7</v>
      </c>
      <c r="G947" s="2">
        <v>46286.354166666664</v>
      </c>
      <c r="H947" s="2">
        <v>46409.729166666664</v>
      </c>
      <c r="I947" s="1">
        <v>46162</v>
      </c>
      <c r="J947" t="s">
        <v>1849</v>
      </c>
      <c r="K947" t="s">
        <v>1199</v>
      </c>
    </row>
    <row r="948" spans="1:11">
      <c r="A948" t="s">
        <v>886</v>
      </c>
      <c r="B948" t="s">
        <v>2258</v>
      </c>
      <c r="C948" t="s">
        <v>2259</v>
      </c>
      <c r="D948" t="s">
        <v>21</v>
      </c>
      <c r="E948" t="s">
        <v>22</v>
      </c>
      <c r="F948">
        <v>3</v>
      </c>
      <c r="G948" s="2">
        <v>46286.354166666664</v>
      </c>
      <c r="H948" s="2">
        <v>46409.729166666664</v>
      </c>
      <c r="I948" s="1">
        <v>46153</v>
      </c>
      <c r="J948" t="s">
        <v>1849</v>
      </c>
      <c r="K948" t="s">
        <v>1199</v>
      </c>
    </row>
    <row r="949" spans="1:11">
      <c r="A949" t="s">
        <v>886</v>
      </c>
      <c r="B949" t="s">
        <v>2260</v>
      </c>
      <c r="C949" t="s">
        <v>2261</v>
      </c>
      <c r="D949" t="s">
        <v>21</v>
      </c>
      <c r="E949" t="s">
        <v>22</v>
      </c>
      <c r="F949">
        <v>1</v>
      </c>
      <c r="G949" s="2">
        <v>46286.354166666664</v>
      </c>
      <c r="H949" s="2">
        <v>46409.729166666664</v>
      </c>
      <c r="I949" s="1">
        <v>46161</v>
      </c>
      <c r="J949" t="s">
        <v>1849</v>
      </c>
      <c r="K949" t="s">
        <v>1199</v>
      </c>
    </row>
    <row r="950" spans="1:11">
      <c r="A950" t="s">
        <v>886</v>
      </c>
      <c r="B950" t="s">
        <v>2262</v>
      </c>
      <c r="C950" t="s">
        <v>2263</v>
      </c>
      <c r="D950" t="s">
        <v>21</v>
      </c>
      <c r="E950" t="s">
        <v>22</v>
      </c>
      <c r="F950">
        <v>0</v>
      </c>
      <c r="G950" s="2">
        <v>46286.354166666664</v>
      </c>
      <c r="H950" s="2">
        <v>46409.729166666664</v>
      </c>
      <c r="I950" s="1">
        <v>46043</v>
      </c>
      <c r="J950" t="s">
        <v>1849</v>
      </c>
      <c r="K950" t="s">
        <v>1199</v>
      </c>
    </row>
    <row r="951" spans="1:11">
      <c r="A951" t="s">
        <v>886</v>
      </c>
      <c r="B951" t="s">
        <v>2264</v>
      </c>
      <c r="C951" t="s">
        <v>2265</v>
      </c>
      <c r="D951" t="s">
        <v>21</v>
      </c>
      <c r="E951" t="s">
        <v>22</v>
      </c>
      <c r="F951">
        <v>0</v>
      </c>
      <c r="G951" s="2">
        <v>46286.354166666664</v>
      </c>
      <c r="H951" s="2">
        <v>46409.729166666664</v>
      </c>
      <c r="I951" s="1">
        <v>46062</v>
      </c>
      <c r="J951" t="s">
        <v>1849</v>
      </c>
      <c r="K951" t="s">
        <v>1199</v>
      </c>
    </row>
    <row r="952" spans="1:11">
      <c r="A952" t="s">
        <v>886</v>
      </c>
      <c r="B952" t="s">
        <v>2266</v>
      </c>
      <c r="C952" t="s">
        <v>2267</v>
      </c>
      <c r="D952" t="s">
        <v>21</v>
      </c>
      <c r="E952" t="s">
        <v>22</v>
      </c>
      <c r="F952">
        <v>5</v>
      </c>
      <c r="G952" s="2">
        <v>46286.354166666664</v>
      </c>
      <c r="H952" s="2">
        <v>46409.729166666664</v>
      </c>
      <c r="I952" s="1">
        <v>46162</v>
      </c>
      <c r="J952" t="s">
        <v>1849</v>
      </c>
      <c r="K952" t="s">
        <v>1199</v>
      </c>
    </row>
    <row r="953" spans="1:11">
      <c r="A953" t="s">
        <v>886</v>
      </c>
      <c r="B953" t="s">
        <v>2268</v>
      </c>
      <c r="C953" t="s">
        <v>2269</v>
      </c>
      <c r="D953" t="s">
        <v>21</v>
      </c>
      <c r="E953" t="s">
        <v>22</v>
      </c>
      <c r="F953">
        <v>0</v>
      </c>
      <c r="G953" s="2">
        <v>46286.354166666664</v>
      </c>
      <c r="H953" s="2">
        <v>46409.729166666664</v>
      </c>
      <c r="I953" s="1">
        <v>45470</v>
      </c>
      <c r="J953" t="s">
        <v>1849</v>
      </c>
      <c r="K953" t="s">
        <v>1199</v>
      </c>
    </row>
    <row r="954" spans="1:11">
      <c r="A954" t="s">
        <v>886</v>
      </c>
      <c r="B954" t="s">
        <v>2270</v>
      </c>
      <c r="C954" t="s">
        <v>2271</v>
      </c>
      <c r="D954" t="s">
        <v>21</v>
      </c>
      <c r="E954" t="s">
        <v>22</v>
      </c>
      <c r="F954">
        <v>10</v>
      </c>
      <c r="G954" s="2">
        <v>46286.354166666664</v>
      </c>
      <c r="H954" s="2">
        <v>46409.729166666664</v>
      </c>
      <c r="I954" s="1">
        <v>46163</v>
      </c>
      <c r="J954" t="s">
        <v>1849</v>
      </c>
      <c r="K954" t="s">
        <v>1199</v>
      </c>
    </row>
    <row r="955" spans="1:11">
      <c r="A955" t="s">
        <v>886</v>
      </c>
      <c r="B955" t="s">
        <v>2272</v>
      </c>
      <c r="C955" t="s">
        <v>2273</v>
      </c>
      <c r="D955" t="s">
        <v>21</v>
      </c>
      <c r="E955" t="s">
        <v>22</v>
      </c>
      <c r="F955">
        <v>4</v>
      </c>
      <c r="G955" s="2">
        <v>46286.354166666664</v>
      </c>
      <c r="H955" s="2">
        <v>46409.729166666664</v>
      </c>
      <c r="I955" s="1">
        <v>46161</v>
      </c>
      <c r="J955" t="s">
        <v>1849</v>
      </c>
      <c r="K955" t="s">
        <v>1199</v>
      </c>
    </row>
    <row r="956" spans="1:11">
      <c r="A956" t="s">
        <v>886</v>
      </c>
      <c r="B956" t="s">
        <v>2274</v>
      </c>
      <c r="C956" t="s">
        <v>2275</v>
      </c>
      <c r="D956" t="s">
        <v>21</v>
      </c>
      <c r="E956" t="s">
        <v>22</v>
      </c>
      <c r="F956">
        <v>5</v>
      </c>
      <c r="G956" s="2">
        <v>46286.354166666664</v>
      </c>
      <c r="H956" s="2">
        <v>46409.729166666664</v>
      </c>
      <c r="I956" s="1">
        <v>46163</v>
      </c>
      <c r="J956" t="s">
        <v>1849</v>
      </c>
      <c r="K956" t="s">
        <v>1199</v>
      </c>
    </row>
    <row r="957" spans="1:11">
      <c r="A957" t="s">
        <v>886</v>
      </c>
      <c r="B957" t="s">
        <v>2276</v>
      </c>
      <c r="C957" t="s">
        <v>2277</v>
      </c>
      <c r="D957" t="s">
        <v>21</v>
      </c>
      <c r="E957" t="s">
        <v>22</v>
      </c>
      <c r="F957">
        <v>8</v>
      </c>
      <c r="G957" s="2">
        <v>46286.354166666664</v>
      </c>
      <c r="H957" s="2">
        <v>46409.729166666664</v>
      </c>
      <c r="I957" s="1">
        <v>46161</v>
      </c>
      <c r="J957" t="s">
        <v>1849</v>
      </c>
      <c r="K957" t="s">
        <v>1199</v>
      </c>
    </row>
    <row r="958" spans="1:11">
      <c r="A958" t="s">
        <v>886</v>
      </c>
      <c r="B958" t="s">
        <v>2278</v>
      </c>
      <c r="C958" t="s">
        <v>2279</v>
      </c>
      <c r="D958" t="s">
        <v>21</v>
      </c>
      <c r="E958" t="s">
        <v>22</v>
      </c>
      <c r="F958">
        <v>5</v>
      </c>
      <c r="G958" s="2">
        <v>46286.354166666664</v>
      </c>
      <c r="H958" s="2">
        <v>46409.729166666664</v>
      </c>
      <c r="I958" s="1">
        <v>46162</v>
      </c>
      <c r="J958" t="s">
        <v>1849</v>
      </c>
      <c r="K958" t="s">
        <v>1199</v>
      </c>
    </row>
    <row r="959" spans="1:11">
      <c r="A959" t="s">
        <v>886</v>
      </c>
      <c r="B959" t="s">
        <v>2280</v>
      </c>
      <c r="C959" t="s">
        <v>2281</v>
      </c>
      <c r="D959" t="s">
        <v>21</v>
      </c>
      <c r="E959" t="s">
        <v>22</v>
      </c>
      <c r="F959">
        <v>2</v>
      </c>
      <c r="G959" s="2">
        <v>46286.354166666664</v>
      </c>
      <c r="H959" s="2">
        <v>46409.729166666664</v>
      </c>
      <c r="I959" s="1">
        <v>46153</v>
      </c>
      <c r="J959" t="s">
        <v>1849</v>
      </c>
      <c r="K959" t="s">
        <v>1199</v>
      </c>
    </row>
    <row r="960" spans="1:11">
      <c r="A960" t="s">
        <v>886</v>
      </c>
      <c r="B960" t="s">
        <v>2282</v>
      </c>
      <c r="C960" t="s">
        <v>2283</v>
      </c>
      <c r="D960" t="s">
        <v>21</v>
      </c>
      <c r="E960" t="s">
        <v>22</v>
      </c>
      <c r="F960">
        <v>4</v>
      </c>
      <c r="G960" s="2">
        <v>46286.354166666664</v>
      </c>
      <c r="H960" s="2">
        <v>46409.729166666664</v>
      </c>
      <c r="I960" s="1">
        <v>46155</v>
      </c>
      <c r="J960" t="s">
        <v>1849</v>
      </c>
      <c r="K960" t="s">
        <v>1199</v>
      </c>
    </row>
    <row r="961" spans="1:11">
      <c r="A961" t="s">
        <v>886</v>
      </c>
      <c r="B961" t="s">
        <v>2284</v>
      </c>
      <c r="C961" t="s">
        <v>2285</v>
      </c>
      <c r="D961" t="s">
        <v>21</v>
      </c>
      <c r="E961" t="s">
        <v>22</v>
      </c>
      <c r="F961">
        <v>3</v>
      </c>
      <c r="G961" s="2">
        <v>46286.354166666664</v>
      </c>
      <c r="H961" s="2">
        <v>46409.729166666664</v>
      </c>
      <c r="I961" s="1">
        <v>46160</v>
      </c>
      <c r="J961" t="s">
        <v>1849</v>
      </c>
      <c r="K961" t="s">
        <v>1199</v>
      </c>
    </row>
    <row r="962" spans="1:11">
      <c r="A962" t="s">
        <v>886</v>
      </c>
      <c r="B962" t="s">
        <v>2286</v>
      </c>
      <c r="C962" t="s">
        <v>2287</v>
      </c>
      <c r="D962" t="s">
        <v>21</v>
      </c>
      <c r="E962" t="s">
        <v>22</v>
      </c>
      <c r="F962">
        <v>1</v>
      </c>
      <c r="G962" s="2">
        <v>46286.354166666664</v>
      </c>
      <c r="H962" s="2">
        <v>46409.729166666664</v>
      </c>
      <c r="I962" s="1">
        <v>46155</v>
      </c>
      <c r="J962" t="s">
        <v>1849</v>
      </c>
      <c r="K962" t="s">
        <v>1199</v>
      </c>
    </row>
    <row r="963" spans="1:11">
      <c r="A963" t="s">
        <v>886</v>
      </c>
      <c r="B963" t="s">
        <v>2288</v>
      </c>
      <c r="C963" t="s">
        <v>2289</v>
      </c>
      <c r="D963" t="s">
        <v>21</v>
      </c>
      <c r="E963" t="s">
        <v>22</v>
      </c>
      <c r="F963">
        <v>4</v>
      </c>
      <c r="G963" s="2">
        <v>46286.354166666664</v>
      </c>
      <c r="H963" s="2">
        <v>46409.729166666664</v>
      </c>
      <c r="I963" s="1">
        <v>46162</v>
      </c>
      <c r="J963" t="s">
        <v>1849</v>
      </c>
      <c r="K963" t="s">
        <v>1199</v>
      </c>
    </row>
    <row r="964" spans="1:11">
      <c r="A964" t="s">
        <v>886</v>
      </c>
      <c r="B964" t="s">
        <v>2290</v>
      </c>
      <c r="C964" t="s">
        <v>2291</v>
      </c>
      <c r="D964" t="s">
        <v>21</v>
      </c>
      <c r="E964" t="s">
        <v>22</v>
      </c>
      <c r="F964">
        <v>2</v>
      </c>
      <c r="G964" s="2">
        <v>46286.354166666664</v>
      </c>
      <c r="H964" s="2">
        <v>46409.729166666664</v>
      </c>
      <c r="I964" s="1">
        <v>46162</v>
      </c>
      <c r="J964" t="s">
        <v>1849</v>
      </c>
      <c r="K964" t="s">
        <v>1199</v>
      </c>
    </row>
    <row r="965" spans="1:11">
      <c r="A965" t="s">
        <v>886</v>
      </c>
      <c r="B965" t="s">
        <v>2292</v>
      </c>
      <c r="C965" t="s">
        <v>2293</v>
      </c>
      <c r="D965" t="s">
        <v>21</v>
      </c>
      <c r="E965" t="s">
        <v>22</v>
      </c>
      <c r="F965">
        <v>3</v>
      </c>
      <c r="G965" s="2">
        <v>46286.354166666664</v>
      </c>
      <c r="H965" s="2">
        <v>46409.729166666664</v>
      </c>
      <c r="I965" s="1">
        <v>46163</v>
      </c>
      <c r="J965" t="s">
        <v>1849</v>
      </c>
      <c r="K965" t="s">
        <v>1199</v>
      </c>
    </row>
    <row r="966" spans="1:11">
      <c r="A966" t="s">
        <v>886</v>
      </c>
      <c r="B966" t="s">
        <v>2294</v>
      </c>
      <c r="C966" t="s">
        <v>2295</v>
      </c>
      <c r="D966" t="s">
        <v>21</v>
      </c>
      <c r="E966" t="s">
        <v>22</v>
      </c>
      <c r="F966">
        <v>0</v>
      </c>
      <c r="G966" s="2">
        <v>46286.354166666664</v>
      </c>
      <c r="H966" s="2">
        <v>46409.729166666664</v>
      </c>
      <c r="I966" s="1">
        <v>45315</v>
      </c>
      <c r="J966" t="s">
        <v>1849</v>
      </c>
      <c r="K966" t="s">
        <v>1199</v>
      </c>
    </row>
    <row r="967" spans="1:11">
      <c r="A967" t="s">
        <v>886</v>
      </c>
      <c r="B967" t="s">
        <v>2296</v>
      </c>
      <c r="C967" t="s">
        <v>2297</v>
      </c>
      <c r="D967" t="s">
        <v>21</v>
      </c>
      <c r="E967" t="s">
        <v>22</v>
      </c>
      <c r="F967">
        <v>0</v>
      </c>
      <c r="G967" s="2">
        <v>46286.354166666664</v>
      </c>
      <c r="H967" s="2">
        <v>46409.729166666664</v>
      </c>
      <c r="I967" t="s">
        <v>198</v>
      </c>
      <c r="J967" t="s">
        <v>1849</v>
      </c>
      <c r="K967" t="s">
        <v>1199</v>
      </c>
    </row>
    <row r="968" spans="1:11">
      <c r="A968" t="s">
        <v>886</v>
      </c>
      <c r="B968" t="s">
        <v>2298</v>
      </c>
      <c r="C968" t="s">
        <v>2299</v>
      </c>
      <c r="D968" t="s">
        <v>21</v>
      </c>
      <c r="E968" t="s">
        <v>22</v>
      </c>
      <c r="F968">
        <v>0</v>
      </c>
      <c r="G968" s="2">
        <v>46286.354166666664</v>
      </c>
      <c r="H968" s="2">
        <v>46409.729166666664</v>
      </c>
      <c r="I968" t="s">
        <v>198</v>
      </c>
      <c r="J968" t="s">
        <v>1849</v>
      </c>
      <c r="K968" t="s">
        <v>1199</v>
      </c>
    </row>
    <row r="969" spans="1:11">
      <c r="A969" t="s">
        <v>886</v>
      </c>
      <c r="B969" t="s">
        <v>2300</v>
      </c>
      <c r="C969" t="s">
        <v>2301</v>
      </c>
      <c r="D969" t="s">
        <v>21</v>
      </c>
      <c r="E969" t="s">
        <v>22</v>
      </c>
      <c r="F969">
        <v>1</v>
      </c>
      <c r="G969" s="2">
        <v>46286.354166666664</v>
      </c>
      <c r="H969" s="2">
        <v>46409.729166666664</v>
      </c>
      <c r="I969" s="1">
        <v>46153</v>
      </c>
      <c r="J969" t="s">
        <v>1849</v>
      </c>
      <c r="K969" t="s">
        <v>1199</v>
      </c>
    </row>
    <row r="970" spans="1:11">
      <c r="A970" t="s">
        <v>886</v>
      </c>
      <c r="B970" t="s">
        <v>2302</v>
      </c>
      <c r="C970" t="s">
        <v>2303</v>
      </c>
      <c r="D970" t="s">
        <v>21</v>
      </c>
      <c r="E970" t="s">
        <v>22</v>
      </c>
      <c r="F970">
        <v>3</v>
      </c>
      <c r="G970" s="2">
        <v>46286.354166666664</v>
      </c>
      <c r="H970" s="2">
        <v>46409.729166666664</v>
      </c>
      <c r="I970" s="1">
        <v>46163</v>
      </c>
      <c r="J970" t="s">
        <v>1849</v>
      </c>
      <c r="K970" t="s">
        <v>1199</v>
      </c>
    </row>
    <row r="971" spans="1:11">
      <c r="A971" t="s">
        <v>886</v>
      </c>
      <c r="B971" t="s">
        <v>2304</v>
      </c>
      <c r="C971" t="s">
        <v>2305</v>
      </c>
      <c r="D971" t="s">
        <v>21</v>
      </c>
      <c r="E971" t="s">
        <v>22</v>
      </c>
      <c r="F971">
        <v>1</v>
      </c>
      <c r="G971" s="2">
        <v>46286.354166666664</v>
      </c>
      <c r="H971" s="2">
        <v>46409.729166666664</v>
      </c>
      <c r="I971" s="1">
        <v>46161</v>
      </c>
      <c r="J971" t="s">
        <v>1849</v>
      </c>
      <c r="K971" t="s">
        <v>1199</v>
      </c>
    </row>
    <row r="972" spans="1:11">
      <c r="A972" t="s">
        <v>886</v>
      </c>
      <c r="B972" t="s">
        <v>2306</v>
      </c>
      <c r="C972" t="s">
        <v>2307</v>
      </c>
      <c r="D972" t="s">
        <v>21</v>
      </c>
      <c r="E972" t="s">
        <v>22</v>
      </c>
      <c r="F972">
        <v>0</v>
      </c>
      <c r="G972" s="2">
        <v>46286.354166666664</v>
      </c>
      <c r="H972" s="2">
        <v>46409.729166666664</v>
      </c>
      <c r="I972" s="1">
        <v>46062</v>
      </c>
      <c r="J972" t="s">
        <v>1849</v>
      </c>
      <c r="K972" t="s">
        <v>1199</v>
      </c>
    </row>
    <row r="973" spans="1:11">
      <c r="A973" t="s">
        <v>886</v>
      </c>
      <c r="B973" t="s">
        <v>2308</v>
      </c>
      <c r="C973" t="s">
        <v>2309</v>
      </c>
      <c r="D973" t="s">
        <v>21</v>
      </c>
      <c r="E973" t="s">
        <v>22</v>
      </c>
      <c r="F973">
        <v>2</v>
      </c>
      <c r="G973" s="2">
        <v>46286.354166666664</v>
      </c>
      <c r="H973" s="2">
        <v>46409.729166666664</v>
      </c>
      <c r="I973" s="1">
        <v>46161</v>
      </c>
      <c r="J973" t="s">
        <v>1849</v>
      </c>
      <c r="K973" t="s">
        <v>1199</v>
      </c>
    </row>
    <row r="974" spans="1:11">
      <c r="A974" t="s">
        <v>886</v>
      </c>
      <c r="B974" t="s">
        <v>2310</v>
      </c>
      <c r="C974" t="s">
        <v>2311</v>
      </c>
      <c r="D974" t="s">
        <v>21</v>
      </c>
      <c r="E974" t="s">
        <v>22</v>
      </c>
      <c r="F974">
        <v>1</v>
      </c>
      <c r="G974" s="2">
        <v>46286.354166666664</v>
      </c>
      <c r="H974" s="2">
        <v>46409.729166666664</v>
      </c>
      <c r="I974" s="1">
        <v>46155</v>
      </c>
      <c r="J974" t="s">
        <v>1849</v>
      </c>
      <c r="K974" t="s">
        <v>1199</v>
      </c>
    </row>
    <row r="975" spans="1:11">
      <c r="A975" t="s">
        <v>886</v>
      </c>
      <c r="B975" t="s">
        <v>2312</v>
      </c>
      <c r="C975" t="s">
        <v>2313</v>
      </c>
      <c r="D975" t="s">
        <v>21</v>
      </c>
      <c r="E975" t="s">
        <v>22</v>
      </c>
      <c r="F975">
        <v>0</v>
      </c>
      <c r="G975" s="2">
        <v>46286.354166666664</v>
      </c>
      <c r="H975" s="2">
        <v>46409.729166666664</v>
      </c>
      <c r="I975" t="s">
        <v>198</v>
      </c>
      <c r="J975" t="s">
        <v>1849</v>
      </c>
      <c r="K975" t="s">
        <v>1199</v>
      </c>
    </row>
    <row r="976" spans="1:11">
      <c r="A976" t="s">
        <v>886</v>
      </c>
      <c r="B976" t="s">
        <v>2314</v>
      </c>
      <c r="C976" t="s">
        <v>2315</v>
      </c>
      <c r="D976" t="s">
        <v>21</v>
      </c>
      <c r="E976" t="s">
        <v>22</v>
      </c>
      <c r="F976">
        <v>0</v>
      </c>
      <c r="G976" s="2">
        <v>46286.354166666664</v>
      </c>
      <c r="H976" s="2">
        <v>46409.729166666664</v>
      </c>
      <c r="I976" t="s">
        <v>198</v>
      </c>
      <c r="J976" t="s">
        <v>1849</v>
      </c>
      <c r="K976" t="s">
        <v>1199</v>
      </c>
    </row>
    <row r="977" spans="1:11">
      <c r="A977" t="s">
        <v>886</v>
      </c>
      <c r="B977" t="s">
        <v>2316</v>
      </c>
      <c r="C977" t="s">
        <v>2317</v>
      </c>
      <c r="D977" t="s">
        <v>21</v>
      </c>
      <c r="E977" t="s">
        <v>22</v>
      </c>
      <c r="F977">
        <v>0</v>
      </c>
      <c r="G977" s="2">
        <v>46286.354166666664</v>
      </c>
      <c r="H977" s="2">
        <v>46409.729166666664</v>
      </c>
      <c r="I977" t="s">
        <v>198</v>
      </c>
      <c r="J977" t="s">
        <v>1849</v>
      </c>
      <c r="K977" t="s">
        <v>1199</v>
      </c>
    </row>
    <row r="978" spans="1:11">
      <c r="A978" t="s">
        <v>886</v>
      </c>
      <c r="B978" t="s">
        <v>2318</v>
      </c>
      <c r="C978" t="s">
        <v>2319</v>
      </c>
      <c r="D978" t="s">
        <v>21</v>
      </c>
      <c r="E978" t="s">
        <v>22</v>
      </c>
      <c r="F978">
        <v>2</v>
      </c>
      <c r="G978" s="2">
        <v>46286.520833333336</v>
      </c>
      <c r="H978" s="2">
        <v>46409.5625</v>
      </c>
      <c r="I978" s="1">
        <v>46162</v>
      </c>
      <c r="J978" t="s">
        <v>1970</v>
      </c>
      <c r="K978" t="s">
        <v>1199</v>
      </c>
    </row>
    <row r="979" spans="1:11">
      <c r="A979" t="s">
        <v>886</v>
      </c>
      <c r="B979" t="s">
        <v>2320</v>
      </c>
      <c r="C979" t="s">
        <v>2321</v>
      </c>
      <c r="D979" t="s">
        <v>21</v>
      </c>
      <c r="E979" t="s">
        <v>22</v>
      </c>
      <c r="F979">
        <v>25</v>
      </c>
      <c r="G979" s="2">
        <v>46286.506944444445</v>
      </c>
      <c r="H979" s="2">
        <v>46409.5625</v>
      </c>
      <c r="I979" s="1">
        <v>46163</v>
      </c>
      <c r="J979" t="s">
        <v>1973</v>
      </c>
      <c r="K979" t="s">
        <v>1199</v>
      </c>
    </row>
    <row r="980" spans="1:11">
      <c r="A980" t="s">
        <v>886</v>
      </c>
      <c r="B980" t="s">
        <v>2322</v>
      </c>
      <c r="C980" t="s">
        <v>2323</v>
      </c>
      <c r="D980" t="s">
        <v>21</v>
      </c>
      <c r="E980" t="s">
        <v>22</v>
      </c>
      <c r="F980">
        <v>81</v>
      </c>
      <c r="G980" s="2">
        <v>46286.354166666664</v>
      </c>
      <c r="H980" s="2">
        <v>46409.729166666664</v>
      </c>
      <c r="I980" s="1">
        <v>46163</v>
      </c>
      <c r="J980" t="s">
        <v>1849</v>
      </c>
      <c r="K980" t="s">
        <v>1199</v>
      </c>
    </row>
    <row r="981" spans="1:11">
      <c r="A981" t="s">
        <v>886</v>
      </c>
      <c r="B981" t="s">
        <v>2324</v>
      </c>
      <c r="C981" t="s">
        <v>2325</v>
      </c>
      <c r="D981" t="s">
        <v>21</v>
      </c>
      <c r="E981" t="s">
        <v>22</v>
      </c>
      <c r="F981">
        <v>70</v>
      </c>
      <c r="G981" s="2">
        <v>46286.354166666664</v>
      </c>
      <c r="H981" s="2">
        <v>46409.729166666664</v>
      </c>
      <c r="I981" s="1">
        <v>46162</v>
      </c>
      <c r="J981" t="s">
        <v>1849</v>
      </c>
      <c r="K981" t="s">
        <v>1199</v>
      </c>
    </row>
    <row r="982" spans="1:11">
      <c r="A982" t="s">
        <v>886</v>
      </c>
      <c r="B982" t="s">
        <v>2326</v>
      </c>
      <c r="C982" t="s">
        <v>2327</v>
      </c>
      <c r="D982" t="s">
        <v>21</v>
      </c>
      <c r="E982" t="s">
        <v>22</v>
      </c>
      <c r="F982">
        <v>76</v>
      </c>
      <c r="G982" s="2">
        <v>46286.354166666664</v>
      </c>
      <c r="H982" s="2">
        <v>46409.729166666664</v>
      </c>
      <c r="I982" s="1">
        <v>46163</v>
      </c>
      <c r="J982" t="s">
        <v>1849</v>
      </c>
      <c r="K982" t="s">
        <v>1199</v>
      </c>
    </row>
    <row r="983" spans="1:11">
      <c r="A983" t="s">
        <v>886</v>
      </c>
      <c r="B983" t="s">
        <v>2328</v>
      </c>
      <c r="C983" t="s">
        <v>2329</v>
      </c>
      <c r="D983" t="s">
        <v>21</v>
      </c>
      <c r="E983" t="s">
        <v>22</v>
      </c>
      <c r="F983">
        <v>77</v>
      </c>
      <c r="G983" s="2">
        <v>46286.354166666664</v>
      </c>
      <c r="H983" s="2">
        <v>46409.729166666664</v>
      </c>
      <c r="I983" s="1">
        <v>46163</v>
      </c>
      <c r="J983" t="s">
        <v>1849</v>
      </c>
      <c r="K983" t="s">
        <v>1199</v>
      </c>
    </row>
    <row r="984" spans="1:11">
      <c r="A984" t="s">
        <v>886</v>
      </c>
      <c r="B984" t="s">
        <v>2330</v>
      </c>
      <c r="C984" t="s">
        <v>2331</v>
      </c>
      <c r="D984" t="s">
        <v>21</v>
      </c>
      <c r="E984" t="s">
        <v>22</v>
      </c>
      <c r="F984">
        <v>69</v>
      </c>
      <c r="G984" s="2">
        <v>46286.354166666664</v>
      </c>
      <c r="H984" s="2">
        <v>46409.729166666664</v>
      </c>
      <c r="I984" s="1">
        <v>46162</v>
      </c>
      <c r="J984" t="s">
        <v>1849</v>
      </c>
      <c r="K984" t="s">
        <v>1199</v>
      </c>
    </row>
    <row r="985" spans="1:11">
      <c r="A985" t="s">
        <v>886</v>
      </c>
      <c r="B985" t="s">
        <v>2332</v>
      </c>
      <c r="C985" t="s">
        <v>2333</v>
      </c>
      <c r="D985" t="s">
        <v>21</v>
      </c>
      <c r="E985" t="s">
        <v>22</v>
      </c>
      <c r="F985">
        <v>59</v>
      </c>
      <c r="G985" s="2">
        <v>46286.354166666664</v>
      </c>
      <c r="H985" s="2">
        <v>46409.729166666664</v>
      </c>
      <c r="I985" s="1">
        <v>46163</v>
      </c>
      <c r="J985" t="s">
        <v>1849</v>
      </c>
      <c r="K985" t="s">
        <v>1199</v>
      </c>
    </row>
    <row r="986" spans="1:11">
      <c r="A986" t="s">
        <v>886</v>
      </c>
      <c r="B986" t="s">
        <v>2334</v>
      </c>
      <c r="C986" t="s">
        <v>2335</v>
      </c>
      <c r="D986" t="s">
        <v>21</v>
      </c>
      <c r="E986" t="s">
        <v>22</v>
      </c>
      <c r="F986">
        <v>52</v>
      </c>
      <c r="G986" s="2">
        <v>46286.354166666664</v>
      </c>
      <c r="H986" s="2">
        <v>46409.729166666664</v>
      </c>
      <c r="I986" s="1">
        <v>46162</v>
      </c>
      <c r="J986" t="s">
        <v>1849</v>
      </c>
      <c r="K986" t="s">
        <v>1199</v>
      </c>
    </row>
    <row r="987" spans="1:11">
      <c r="A987" t="s">
        <v>886</v>
      </c>
      <c r="B987" t="s">
        <v>2336</v>
      </c>
      <c r="C987" t="s">
        <v>2337</v>
      </c>
      <c r="D987" t="s">
        <v>21</v>
      </c>
      <c r="E987" t="s">
        <v>22</v>
      </c>
      <c r="F987">
        <v>53</v>
      </c>
      <c r="G987" s="2">
        <v>46286.354166666664</v>
      </c>
      <c r="H987" s="2">
        <v>46409.729166666664</v>
      </c>
      <c r="I987" s="1">
        <v>46163</v>
      </c>
      <c r="J987" t="s">
        <v>1849</v>
      </c>
      <c r="K987" t="s">
        <v>1199</v>
      </c>
    </row>
    <row r="988" spans="1:11">
      <c r="A988" t="s">
        <v>886</v>
      </c>
      <c r="B988" t="s">
        <v>2338</v>
      </c>
      <c r="C988" t="s">
        <v>2339</v>
      </c>
      <c r="D988" t="s">
        <v>21</v>
      </c>
      <c r="E988" t="s">
        <v>22</v>
      </c>
      <c r="F988">
        <v>6</v>
      </c>
      <c r="G988" s="2">
        <v>46286.354166666664</v>
      </c>
      <c r="H988" s="2">
        <v>46409.729166666664</v>
      </c>
      <c r="I988" s="1">
        <v>46161</v>
      </c>
      <c r="J988" t="s">
        <v>1849</v>
      </c>
      <c r="K988" t="s">
        <v>1199</v>
      </c>
    </row>
    <row r="989" spans="1:11">
      <c r="A989" t="s">
        <v>886</v>
      </c>
      <c r="B989" t="s">
        <v>2340</v>
      </c>
      <c r="C989" t="s">
        <v>2341</v>
      </c>
      <c r="D989" t="s">
        <v>21</v>
      </c>
      <c r="E989" t="s">
        <v>22</v>
      </c>
      <c r="F989">
        <v>4</v>
      </c>
      <c r="G989" s="2">
        <v>46286.354166666664</v>
      </c>
      <c r="H989" s="2">
        <v>46409.729166666664</v>
      </c>
      <c r="I989" s="1">
        <v>46153</v>
      </c>
      <c r="J989" t="s">
        <v>1849</v>
      </c>
      <c r="K989" t="s">
        <v>1199</v>
      </c>
    </row>
    <row r="990" spans="1:11">
      <c r="A990" t="s">
        <v>886</v>
      </c>
      <c r="B990" t="s">
        <v>2342</v>
      </c>
      <c r="C990" t="s">
        <v>2343</v>
      </c>
      <c r="D990" t="s">
        <v>21</v>
      </c>
      <c r="E990" t="s">
        <v>22</v>
      </c>
      <c r="F990">
        <v>11</v>
      </c>
      <c r="G990" s="2">
        <v>46286.354166666664</v>
      </c>
      <c r="H990" s="2">
        <v>46409.729166666664</v>
      </c>
      <c r="I990" s="1">
        <v>46162</v>
      </c>
      <c r="J990" t="s">
        <v>1849</v>
      </c>
      <c r="K990" t="s">
        <v>1199</v>
      </c>
    </row>
    <row r="991" spans="1:11">
      <c r="A991" t="s">
        <v>886</v>
      </c>
      <c r="B991" t="s">
        <v>2344</v>
      </c>
      <c r="C991" t="s">
        <v>2345</v>
      </c>
      <c r="D991" t="s">
        <v>21</v>
      </c>
      <c r="E991" t="s">
        <v>22</v>
      </c>
      <c r="F991">
        <v>3</v>
      </c>
      <c r="G991" s="2">
        <v>46286.354166666664</v>
      </c>
      <c r="H991" s="2">
        <v>46409.729166666664</v>
      </c>
      <c r="I991" s="1">
        <v>46158</v>
      </c>
      <c r="J991" t="s">
        <v>1849</v>
      </c>
      <c r="K991" t="s">
        <v>1199</v>
      </c>
    </row>
    <row r="992" spans="1:11">
      <c r="A992" t="s">
        <v>886</v>
      </c>
      <c r="B992" t="s">
        <v>2346</v>
      </c>
      <c r="C992" t="s">
        <v>2347</v>
      </c>
      <c r="D992" t="s">
        <v>21</v>
      </c>
      <c r="E992" t="s">
        <v>22</v>
      </c>
      <c r="F992">
        <v>9</v>
      </c>
      <c r="G992" s="2">
        <v>46286.354166666664</v>
      </c>
      <c r="H992" s="2">
        <v>46409.729166666664</v>
      </c>
      <c r="I992" s="1">
        <v>46162</v>
      </c>
      <c r="J992" t="s">
        <v>1849</v>
      </c>
      <c r="K992" t="s">
        <v>1199</v>
      </c>
    </row>
    <row r="993" spans="1:11">
      <c r="A993" t="s">
        <v>886</v>
      </c>
      <c r="B993" t="s">
        <v>2348</v>
      </c>
      <c r="C993" t="s">
        <v>2349</v>
      </c>
      <c r="D993" t="s">
        <v>21</v>
      </c>
      <c r="E993" t="s">
        <v>22</v>
      </c>
      <c r="F993">
        <v>2</v>
      </c>
      <c r="G993" s="2">
        <v>46286.354166666664</v>
      </c>
      <c r="H993" s="2">
        <v>46409.729166666664</v>
      </c>
      <c r="I993" s="1">
        <v>46160</v>
      </c>
      <c r="J993" t="s">
        <v>1849</v>
      </c>
      <c r="K993" t="s">
        <v>1199</v>
      </c>
    </row>
    <row r="994" spans="1:11">
      <c r="A994" t="s">
        <v>886</v>
      </c>
      <c r="B994" t="s">
        <v>2350</v>
      </c>
      <c r="C994" t="s">
        <v>2351</v>
      </c>
      <c r="D994" t="s">
        <v>21</v>
      </c>
      <c r="E994" t="s">
        <v>22</v>
      </c>
      <c r="F994">
        <v>0</v>
      </c>
      <c r="G994" s="2">
        <v>46286.354166666664</v>
      </c>
      <c r="H994" s="2">
        <v>46409.729166666664</v>
      </c>
      <c r="I994" s="1">
        <v>46046</v>
      </c>
      <c r="J994" t="s">
        <v>1849</v>
      </c>
      <c r="K994" t="s">
        <v>1199</v>
      </c>
    </row>
    <row r="995" spans="1:11">
      <c r="A995" t="s">
        <v>886</v>
      </c>
      <c r="B995" t="s">
        <v>2352</v>
      </c>
      <c r="C995" t="s">
        <v>2353</v>
      </c>
      <c r="D995" t="s">
        <v>21</v>
      </c>
      <c r="E995" t="s">
        <v>22</v>
      </c>
      <c r="F995">
        <v>0</v>
      </c>
      <c r="G995" s="2">
        <v>46286.354166666664</v>
      </c>
      <c r="H995" s="2">
        <v>46409.729166666664</v>
      </c>
      <c r="I995" s="1">
        <v>46107</v>
      </c>
      <c r="J995" t="s">
        <v>1849</v>
      </c>
      <c r="K995" t="s">
        <v>1199</v>
      </c>
    </row>
    <row r="996" spans="1:11">
      <c r="A996" t="s">
        <v>886</v>
      </c>
      <c r="B996" t="s">
        <v>2354</v>
      </c>
      <c r="C996" t="s">
        <v>2355</v>
      </c>
      <c r="D996" t="s">
        <v>21</v>
      </c>
      <c r="E996" t="s">
        <v>22</v>
      </c>
      <c r="F996">
        <v>8</v>
      </c>
      <c r="G996" s="2">
        <v>46286.354166666664</v>
      </c>
      <c r="H996" s="2">
        <v>46409.729166666664</v>
      </c>
      <c r="I996" s="1">
        <v>46162</v>
      </c>
      <c r="J996" t="s">
        <v>1849</v>
      </c>
      <c r="K996" t="s">
        <v>1199</v>
      </c>
    </row>
    <row r="997" spans="1:11">
      <c r="A997" t="s">
        <v>886</v>
      </c>
      <c r="B997" t="s">
        <v>2356</v>
      </c>
      <c r="C997" t="s">
        <v>2357</v>
      </c>
      <c r="D997" t="s">
        <v>21</v>
      </c>
      <c r="E997" t="s">
        <v>22</v>
      </c>
      <c r="F997">
        <v>4</v>
      </c>
      <c r="G997" s="2">
        <v>46286.354166666664</v>
      </c>
      <c r="H997" s="2">
        <v>46409.729166666664</v>
      </c>
      <c r="I997" s="1">
        <v>46161</v>
      </c>
      <c r="J997" t="s">
        <v>1849</v>
      </c>
      <c r="K997" t="s">
        <v>1199</v>
      </c>
    </row>
    <row r="998" spans="1:11">
      <c r="A998" t="s">
        <v>886</v>
      </c>
      <c r="B998" t="s">
        <v>2358</v>
      </c>
      <c r="C998" t="s">
        <v>2359</v>
      </c>
      <c r="D998" t="s">
        <v>21</v>
      </c>
      <c r="E998" t="s">
        <v>22</v>
      </c>
      <c r="F998">
        <v>0</v>
      </c>
      <c r="G998" s="2">
        <v>46286.354166666664</v>
      </c>
      <c r="H998" s="2">
        <v>46409.729166666664</v>
      </c>
      <c r="I998" s="1">
        <v>46103</v>
      </c>
      <c r="J998" t="s">
        <v>1849</v>
      </c>
      <c r="K998" t="s">
        <v>1199</v>
      </c>
    </row>
    <row r="999" spans="1:11">
      <c r="A999" t="s">
        <v>886</v>
      </c>
      <c r="B999" t="s">
        <v>2360</v>
      </c>
      <c r="C999" t="s">
        <v>2361</v>
      </c>
      <c r="D999" t="s">
        <v>21</v>
      </c>
      <c r="E999" t="s">
        <v>22</v>
      </c>
      <c r="F999">
        <v>9</v>
      </c>
      <c r="G999" s="2">
        <v>46286.354166666664</v>
      </c>
      <c r="H999" s="2">
        <v>46409.729166666664</v>
      </c>
      <c r="I999" s="1">
        <v>46161</v>
      </c>
      <c r="J999" t="s">
        <v>1849</v>
      </c>
      <c r="K999" t="s">
        <v>1199</v>
      </c>
    </row>
    <row r="1000" spans="1:11">
      <c r="A1000" t="s">
        <v>886</v>
      </c>
      <c r="B1000" t="s">
        <v>2362</v>
      </c>
      <c r="C1000" t="s">
        <v>2363</v>
      </c>
      <c r="D1000" t="s">
        <v>21</v>
      </c>
      <c r="E1000" t="s">
        <v>22</v>
      </c>
      <c r="F1000">
        <v>2</v>
      </c>
      <c r="G1000" s="2">
        <v>46286.354166666664</v>
      </c>
      <c r="H1000" s="2">
        <v>46409.729166666664</v>
      </c>
      <c r="I1000" s="1">
        <v>46161</v>
      </c>
      <c r="J1000" t="s">
        <v>1849</v>
      </c>
      <c r="K1000" t="s">
        <v>1199</v>
      </c>
    </row>
    <row r="1001" spans="1:11">
      <c r="A1001" t="s">
        <v>886</v>
      </c>
      <c r="B1001" t="s">
        <v>2364</v>
      </c>
      <c r="C1001" t="s">
        <v>2365</v>
      </c>
      <c r="D1001" t="s">
        <v>21</v>
      </c>
      <c r="E1001" t="s">
        <v>22</v>
      </c>
      <c r="F1001">
        <v>1</v>
      </c>
      <c r="G1001" s="2">
        <v>46286.354166666664</v>
      </c>
      <c r="H1001" s="2">
        <v>46409.729166666664</v>
      </c>
      <c r="I1001" s="1">
        <v>46154</v>
      </c>
      <c r="J1001" t="s">
        <v>1849</v>
      </c>
      <c r="K1001" t="s">
        <v>1199</v>
      </c>
    </row>
    <row r="1002" spans="1:11">
      <c r="A1002" t="s">
        <v>886</v>
      </c>
      <c r="B1002" t="s">
        <v>2366</v>
      </c>
      <c r="C1002" t="s">
        <v>2367</v>
      </c>
      <c r="D1002" t="s">
        <v>21</v>
      </c>
      <c r="E1002" t="s">
        <v>22</v>
      </c>
      <c r="F1002">
        <v>1</v>
      </c>
      <c r="G1002" s="2">
        <v>46286.354166666664</v>
      </c>
      <c r="H1002" s="2">
        <v>46409.729166666664</v>
      </c>
      <c r="I1002" s="1">
        <v>46153</v>
      </c>
      <c r="J1002" t="s">
        <v>1849</v>
      </c>
      <c r="K1002" t="s">
        <v>1199</v>
      </c>
    </row>
    <row r="1003" spans="1:11">
      <c r="A1003" t="s">
        <v>886</v>
      </c>
      <c r="B1003" t="s">
        <v>2368</v>
      </c>
      <c r="C1003" t="s">
        <v>2369</v>
      </c>
      <c r="D1003" t="s">
        <v>21</v>
      </c>
      <c r="E1003" t="s">
        <v>22</v>
      </c>
      <c r="F1003">
        <v>0</v>
      </c>
      <c r="G1003" s="2">
        <v>46286.354166666664</v>
      </c>
      <c r="H1003" s="2">
        <v>46409.729166666664</v>
      </c>
      <c r="I1003" t="s">
        <v>198</v>
      </c>
      <c r="J1003" t="s">
        <v>1849</v>
      </c>
      <c r="K1003" t="s">
        <v>1199</v>
      </c>
    </row>
    <row r="1004" spans="1:11">
      <c r="A1004" t="s">
        <v>886</v>
      </c>
      <c r="B1004" t="s">
        <v>2370</v>
      </c>
      <c r="C1004" t="s">
        <v>2371</v>
      </c>
      <c r="D1004" t="s">
        <v>21</v>
      </c>
      <c r="E1004" t="s">
        <v>22</v>
      </c>
      <c r="F1004">
        <v>14</v>
      </c>
      <c r="G1004" s="2">
        <v>46286.354166666664</v>
      </c>
      <c r="H1004" s="2">
        <v>46409.729166666664</v>
      </c>
      <c r="I1004" s="1">
        <v>46161</v>
      </c>
      <c r="J1004" t="s">
        <v>1849</v>
      </c>
      <c r="K1004" t="s">
        <v>1199</v>
      </c>
    </row>
    <row r="1005" spans="1:11">
      <c r="A1005" t="s">
        <v>886</v>
      </c>
      <c r="B1005" t="s">
        <v>2372</v>
      </c>
      <c r="C1005" t="s">
        <v>2373</v>
      </c>
      <c r="D1005" t="s">
        <v>21</v>
      </c>
      <c r="E1005" t="s">
        <v>22</v>
      </c>
      <c r="F1005">
        <v>2</v>
      </c>
      <c r="G1005" s="2">
        <v>46286.354166666664</v>
      </c>
      <c r="H1005" s="2">
        <v>46409.729166666664</v>
      </c>
      <c r="I1005" s="1">
        <v>46160</v>
      </c>
      <c r="J1005" t="s">
        <v>1849</v>
      </c>
      <c r="K1005" t="s">
        <v>1199</v>
      </c>
    </row>
    <row r="1006" spans="1:11">
      <c r="A1006" t="s">
        <v>886</v>
      </c>
      <c r="B1006" t="s">
        <v>2374</v>
      </c>
      <c r="C1006" t="s">
        <v>2375</v>
      </c>
      <c r="D1006" t="s">
        <v>21</v>
      </c>
      <c r="E1006" t="s">
        <v>22</v>
      </c>
      <c r="F1006">
        <v>3</v>
      </c>
      <c r="G1006" s="2">
        <v>46286.354166666664</v>
      </c>
      <c r="H1006" s="2">
        <v>46409.729166666664</v>
      </c>
      <c r="I1006" s="1">
        <v>46154</v>
      </c>
      <c r="J1006" t="s">
        <v>1849</v>
      </c>
      <c r="K1006" t="s">
        <v>1199</v>
      </c>
    </row>
    <row r="1007" spans="1:11">
      <c r="A1007" t="s">
        <v>886</v>
      </c>
      <c r="B1007" t="s">
        <v>2376</v>
      </c>
      <c r="C1007" t="s">
        <v>2377</v>
      </c>
      <c r="D1007" t="s">
        <v>21</v>
      </c>
      <c r="E1007" t="s">
        <v>22</v>
      </c>
      <c r="F1007">
        <v>7</v>
      </c>
      <c r="G1007" s="2">
        <v>46286.354166666664</v>
      </c>
      <c r="H1007" s="2">
        <v>46409.729166666664</v>
      </c>
      <c r="I1007" s="1">
        <v>46160</v>
      </c>
      <c r="J1007" t="s">
        <v>1849</v>
      </c>
      <c r="K1007" t="s">
        <v>1199</v>
      </c>
    </row>
    <row r="1008" spans="1:11">
      <c r="A1008" t="s">
        <v>886</v>
      </c>
      <c r="B1008" t="s">
        <v>2378</v>
      </c>
      <c r="C1008" t="s">
        <v>2379</v>
      </c>
      <c r="D1008" t="s">
        <v>21</v>
      </c>
      <c r="E1008" t="s">
        <v>22</v>
      </c>
      <c r="F1008">
        <v>0</v>
      </c>
      <c r="G1008" s="2">
        <v>46286.354166666664</v>
      </c>
      <c r="H1008" s="2">
        <v>46409.729166666664</v>
      </c>
      <c r="I1008" t="s">
        <v>198</v>
      </c>
      <c r="J1008" t="s">
        <v>1849</v>
      </c>
      <c r="K1008" t="s">
        <v>1199</v>
      </c>
    </row>
    <row r="1009" spans="1:11">
      <c r="A1009" t="s">
        <v>886</v>
      </c>
      <c r="B1009" t="s">
        <v>2380</v>
      </c>
      <c r="C1009" t="s">
        <v>2381</v>
      </c>
      <c r="D1009" t="s">
        <v>21</v>
      </c>
      <c r="E1009" t="s">
        <v>22</v>
      </c>
      <c r="F1009">
        <v>1</v>
      </c>
      <c r="G1009" s="2">
        <v>46286.354166666664</v>
      </c>
      <c r="H1009" s="2">
        <v>46409.729166666664</v>
      </c>
      <c r="I1009" s="1">
        <v>46162</v>
      </c>
      <c r="J1009" t="s">
        <v>1849</v>
      </c>
      <c r="K1009" t="s">
        <v>1199</v>
      </c>
    </row>
    <row r="1010" spans="1:11">
      <c r="A1010" t="s">
        <v>886</v>
      </c>
      <c r="B1010" t="s">
        <v>2382</v>
      </c>
      <c r="C1010" t="s">
        <v>2383</v>
      </c>
      <c r="D1010" t="s">
        <v>21</v>
      </c>
      <c r="E1010" t="s">
        <v>22</v>
      </c>
      <c r="F1010">
        <v>1</v>
      </c>
      <c r="G1010" s="2">
        <v>46286.354166666664</v>
      </c>
      <c r="H1010" s="2">
        <v>46409.729166666664</v>
      </c>
      <c r="I1010" s="1">
        <v>46153</v>
      </c>
      <c r="J1010" t="s">
        <v>1849</v>
      </c>
      <c r="K1010" t="s">
        <v>1199</v>
      </c>
    </row>
    <row r="1011" spans="1:11">
      <c r="A1011" t="s">
        <v>886</v>
      </c>
      <c r="B1011" t="s">
        <v>2384</v>
      </c>
      <c r="C1011" t="s">
        <v>2385</v>
      </c>
      <c r="D1011" t="s">
        <v>21</v>
      </c>
      <c r="E1011" t="s">
        <v>22</v>
      </c>
      <c r="F1011">
        <v>1</v>
      </c>
      <c r="G1011" s="2">
        <v>46286.354166666664</v>
      </c>
      <c r="H1011" s="2">
        <v>46409.729166666664</v>
      </c>
      <c r="I1011" s="1">
        <v>46161</v>
      </c>
      <c r="J1011" t="s">
        <v>1849</v>
      </c>
      <c r="K1011" t="s">
        <v>1199</v>
      </c>
    </row>
    <row r="1012" spans="1:11">
      <c r="A1012" t="s">
        <v>886</v>
      </c>
      <c r="B1012" t="s">
        <v>831</v>
      </c>
      <c r="C1012" t="s">
        <v>830</v>
      </c>
      <c r="D1012" t="s">
        <v>16</v>
      </c>
      <c r="G1012" s="2">
        <v>45943.333333333336</v>
      </c>
      <c r="H1012" s="2">
        <v>46387.999305555553</v>
      </c>
      <c r="I1012" s="1">
        <v>46142</v>
      </c>
      <c r="J1012" t="s">
        <v>1698</v>
      </c>
      <c r="K1012" t="s">
        <v>1199</v>
      </c>
    </row>
    <row r="1013" spans="1:11">
      <c r="A1013" t="s">
        <v>886</v>
      </c>
      <c r="B1013" t="s">
        <v>833</v>
      </c>
      <c r="C1013" t="s">
        <v>832</v>
      </c>
      <c r="D1013" t="s">
        <v>16</v>
      </c>
      <c r="G1013" s="2">
        <v>45943.333333333336</v>
      </c>
      <c r="H1013" s="2">
        <v>46387.999305555553</v>
      </c>
      <c r="I1013" s="1">
        <v>46162</v>
      </c>
      <c r="J1013" t="s">
        <v>1698</v>
      </c>
      <c r="K1013" t="s">
        <v>1199</v>
      </c>
    </row>
    <row r="1014" spans="1:11">
      <c r="A1014" t="s">
        <v>886</v>
      </c>
      <c r="B1014" t="s">
        <v>835</v>
      </c>
      <c r="C1014" t="s">
        <v>834</v>
      </c>
      <c r="D1014" t="s">
        <v>16</v>
      </c>
      <c r="G1014" s="2">
        <v>45943.333333333336</v>
      </c>
      <c r="H1014" s="2">
        <v>46387.999305555553</v>
      </c>
      <c r="I1014" s="1">
        <v>46161</v>
      </c>
      <c r="J1014" t="s">
        <v>1698</v>
      </c>
      <c r="K1014" t="s">
        <v>1199</v>
      </c>
    </row>
    <row r="1015" spans="1:11">
      <c r="A1015" t="s">
        <v>886</v>
      </c>
      <c r="B1015" t="s">
        <v>837</v>
      </c>
      <c r="C1015" t="s">
        <v>836</v>
      </c>
      <c r="D1015" t="s">
        <v>16</v>
      </c>
      <c r="G1015" s="2">
        <v>45943.333333333336</v>
      </c>
      <c r="H1015" s="2">
        <v>46387.999305555553</v>
      </c>
      <c r="I1015" s="1">
        <v>46159</v>
      </c>
      <c r="J1015" t="s">
        <v>1698</v>
      </c>
      <c r="K1015" t="s">
        <v>1199</v>
      </c>
    </row>
    <row r="1016" spans="1:11">
      <c r="A1016" t="s">
        <v>886</v>
      </c>
      <c r="B1016" t="s">
        <v>839</v>
      </c>
      <c r="C1016" t="s">
        <v>838</v>
      </c>
      <c r="D1016" t="s">
        <v>16</v>
      </c>
      <c r="G1016" s="2">
        <v>45943.333333333336</v>
      </c>
      <c r="H1016" s="2">
        <v>46387.999305555553</v>
      </c>
      <c r="I1016" s="1">
        <v>46163</v>
      </c>
      <c r="J1016" t="s">
        <v>1698</v>
      </c>
      <c r="K1016" t="s">
        <v>1199</v>
      </c>
    </row>
    <row r="1017" spans="1:11">
      <c r="A1017" t="s">
        <v>886</v>
      </c>
      <c r="B1017" t="s">
        <v>841</v>
      </c>
      <c r="C1017" t="s">
        <v>840</v>
      </c>
      <c r="D1017" t="s">
        <v>16</v>
      </c>
      <c r="G1017" s="2">
        <v>45943.333333333336</v>
      </c>
      <c r="H1017" s="2">
        <v>46387.999305555553</v>
      </c>
      <c r="I1017" s="1">
        <v>46163</v>
      </c>
      <c r="J1017" t="s">
        <v>1698</v>
      </c>
      <c r="K1017" t="s">
        <v>1199</v>
      </c>
    </row>
    <row r="1018" spans="1:11">
      <c r="A1018" t="s">
        <v>886</v>
      </c>
      <c r="B1018" t="s">
        <v>843</v>
      </c>
      <c r="C1018" t="s">
        <v>842</v>
      </c>
      <c r="D1018" t="s">
        <v>16</v>
      </c>
      <c r="G1018" s="2">
        <v>45943.333333333336</v>
      </c>
      <c r="H1018" s="2">
        <v>46387.999305555553</v>
      </c>
      <c r="I1018" s="1">
        <v>46163</v>
      </c>
      <c r="J1018" t="s">
        <v>1698</v>
      </c>
      <c r="K1018" t="s">
        <v>1199</v>
      </c>
    </row>
    <row r="1019" spans="1:11">
      <c r="A1019" t="s">
        <v>886</v>
      </c>
      <c r="B1019" t="s">
        <v>845</v>
      </c>
      <c r="C1019" t="s">
        <v>844</v>
      </c>
      <c r="D1019" t="s">
        <v>16</v>
      </c>
      <c r="G1019" s="2">
        <v>45943.333333333336</v>
      </c>
      <c r="H1019" s="2">
        <v>46387.999305555553</v>
      </c>
      <c r="J1019" t="s">
        <v>1698</v>
      </c>
      <c r="K1019" t="s">
        <v>1199</v>
      </c>
    </row>
    <row r="1020" spans="1:11">
      <c r="A1020" t="s">
        <v>886</v>
      </c>
      <c r="B1020" t="s">
        <v>847</v>
      </c>
      <c r="C1020" t="s">
        <v>846</v>
      </c>
      <c r="D1020" t="s">
        <v>16</v>
      </c>
      <c r="G1020" s="2">
        <v>45943.333333333336</v>
      </c>
      <c r="H1020" s="2">
        <v>46387.999305555553</v>
      </c>
      <c r="I1020" s="1">
        <v>46153</v>
      </c>
      <c r="J1020" t="s">
        <v>1698</v>
      </c>
      <c r="K1020" t="s">
        <v>1199</v>
      </c>
    </row>
    <row r="1021" spans="1:11">
      <c r="A1021" t="s">
        <v>886</v>
      </c>
      <c r="B1021" t="s">
        <v>849</v>
      </c>
      <c r="C1021" t="s">
        <v>848</v>
      </c>
      <c r="D1021" t="s">
        <v>16</v>
      </c>
      <c r="G1021" s="2">
        <v>45943.333333333336</v>
      </c>
      <c r="H1021" s="2">
        <v>46387.999305555553</v>
      </c>
      <c r="I1021" s="1">
        <v>46163</v>
      </c>
      <c r="J1021" t="s">
        <v>1698</v>
      </c>
      <c r="K1021" t="s">
        <v>1199</v>
      </c>
    </row>
    <row r="1022" spans="1:11">
      <c r="A1022" t="s">
        <v>886</v>
      </c>
      <c r="B1022" t="s">
        <v>851</v>
      </c>
      <c r="C1022" t="s">
        <v>850</v>
      </c>
      <c r="D1022" t="s">
        <v>16</v>
      </c>
      <c r="G1022" s="2">
        <v>45943.333333333336</v>
      </c>
      <c r="H1022" s="2">
        <v>46387.999305555553</v>
      </c>
      <c r="I1022" s="1">
        <v>46163</v>
      </c>
      <c r="J1022" t="s">
        <v>1698</v>
      </c>
      <c r="K1022" t="s">
        <v>1199</v>
      </c>
    </row>
    <row r="1023" spans="1:11">
      <c r="A1023" t="s">
        <v>886</v>
      </c>
      <c r="B1023" t="s">
        <v>853</v>
      </c>
      <c r="C1023" t="s">
        <v>852</v>
      </c>
      <c r="D1023" t="s">
        <v>16</v>
      </c>
      <c r="G1023" s="2">
        <v>45943.333333333336</v>
      </c>
      <c r="H1023" s="2">
        <v>46387.999305555553</v>
      </c>
      <c r="I1023" s="1">
        <v>46162</v>
      </c>
      <c r="J1023" t="s">
        <v>1698</v>
      </c>
      <c r="K1023" t="s">
        <v>1199</v>
      </c>
    </row>
    <row r="1024" spans="1:11">
      <c r="A1024" t="s">
        <v>886</v>
      </c>
      <c r="B1024" t="s">
        <v>855</v>
      </c>
      <c r="C1024" t="s">
        <v>854</v>
      </c>
      <c r="D1024" t="s">
        <v>16</v>
      </c>
      <c r="G1024" s="2">
        <v>45943.333333333336</v>
      </c>
      <c r="H1024" s="2">
        <v>46387.999305555553</v>
      </c>
      <c r="I1024" s="1">
        <v>46132</v>
      </c>
      <c r="J1024" t="s">
        <v>1698</v>
      </c>
      <c r="K1024" t="s">
        <v>1199</v>
      </c>
    </row>
    <row r="1025" spans="1:11">
      <c r="A1025" t="s">
        <v>886</v>
      </c>
      <c r="B1025" t="s">
        <v>857</v>
      </c>
      <c r="C1025" t="s">
        <v>856</v>
      </c>
      <c r="D1025" t="s">
        <v>16</v>
      </c>
      <c r="G1025" s="2">
        <v>45943.333333333336</v>
      </c>
      <c r="H1025" s="2">
        <v>46387.999305555553</v>
      </c>
      <c r="I1025" s="1">
        <v>46162</v>
      </c>
      <c r="J1025" t="s">
        <v>1698</v>
      </c>
      <c r="K1025" t="s">
        <v>1199</v>
      </c>
    </row>
    <row r="1026" spans="1:11">
      <c r="A1026" t="s">
        <v>886</v>
      </c>
      <c r="B1026" t="s">
        <v>859</v>
      </c>
      <c r="C1026" t="s">
        <v>858</v>
      </c>
      <c r="D1026" t="s">
        <v>16</v>
      </c>
      <c r="G1026" s="2">
        <v>45943.333333333336</v>
      </c>
      <c r="H1026" s="2">
        <v>46387.999305555553</v>
      </c>
      <c r="I1026" s="1">
        <v>46163</v>
      </c>
      <c r="J1026" t="s">
        <v>1698</v>
      </c>
      <c r="K1026" t="s">
        <v>1199</v>
      </c>
    </row>
    <row r="1027" spans="1:11">
      <c r="A1027" t="s">
        <v>886</v>
      </c>
      <c r="B1027" t="s">
        <v>861</v>
      </c>
      <c r="C1027" t="s">
        <v>860</v>
      </c>
      <c r="D1027" t="s">
        <v>16</v>
      </c>
      <c r="G1027" s="2">
        <v>45943.333333333336</v>
      </c>
      <c r="H1027" s="2">
        <v>46387.999305555553</v>
      </c>
      <c r="I1027" s="1">
        <v>46110</v>
      </c>
      <c r="J1027" t="s">
        <v>1698</v>
      </c>
      <c r="K1027" t="s">
        <v>1199</v>
      </c>
    </row>
    <row r="1028" spans="1:11">
      <c r="A1028" t="s">
        <v>886</v>
      </c>
      <c r="B1028" t="s">
        <v>863</v>
      </c>
      <c r="C1028" t="s">
        <v>862</v>
      </c>
      <c r="D1028" t="s">
        <v>16</v>
      </c>
      <c r="G1028" s="2">
        <v>45943.333333333336</v>
      </c>
      <c r="H1028" s="2">
        <v>46387.999305555553</v>
      </c>
      <c r="I1028" s="1">
        <v>45975</v>
      </c>
      <c r="J1028" t="s">
        <v>1698</v>
      </c>
      <c r="K1028" t="s">
        <v>1199</v>
      </c>
    </row>
    <row r="1029" spans="1:11">
      <c r="A1029" t="s">
        <v>886</v>
      </c>
      <c r="B1029" t="s">
        <v>888</v>
      </c>
      <c r="C1029" t="s">
        <v>887</v>
      </c>
      <c r="D1029" t="s">
        <v>16</v>
      </c>
      <c r="G1029" s="2">
        <v>45943.333333333336</v>
      </c>
      <c r="H1029" s="2">
        <v>46387.999305555553</v>
      </c>
      <c r="I1029" s="1">
        <v>46162</v>
      </c>
      <c r="J1029" t="s">
        <v>1698</v>
      </c>
      <c r="K1029" t="s">
        <v>1199</v>
      </c>
    </row>
    <row r="1030" spans="1:11">
      <c r="A1030" t="s">
        <v>886</v>
      </c>
      <c r="B1030" t="s">
        <v>865</v>
      </c>
      <c r="C1030" t="s">
        <v>864</v>
      </c>
      <c r="D1030" t="s">
        <v>16</v>
      </c>
      <c r="G1030" s="2">
        <v>45943.333333333336</v>
      </c>
      <c r="H1030" s="2">
        <v>46387.999305555553</v>
      </c>
      <c r="I1030" s="1">
        <v>46155</v>
      </c>
      <c r="J1030" t="s">
        <v>1698</v>
      </c>
      <c r="K1030" t="s">
        <v>1199</v>
      </c>
    </row>
    <row r="1031" spans="1:11">
      <c r="A1031" t="s">
        <v>886</v>
      </c>
      <c r="B1031" t="s">
        <v>867</v>
      </c>
      <c r="C1031" t="s">
        <v>866</v>
      </c>
      <c r="D1031" t="s">
        <v>16</v>
      </c>
      <c r="G1031" s="2">
        <v>45943.333333333336</v>
      </c>
      <c r="H1031" s="2">
        <v>46387.999305555553</v>
      </c>
      <c r="I1031" s="1">
        <v>46153</v>
      </c>
      <c r="J1031" t="s">
        <v>1698</v>
      </c>
      <c r="K1031" t="s">
        <v>1199</v>
      </c>
    </row>
    <row r="1032" spans="1:11">
      <c r="A1032" t="s">
        <v>886</v>
      </c>
      <c r="B1032" t="s">
        <v>869</v>
      </c>
      <c r="C1032" t="s">
        <v>868</v>
      </c>
      <c r="D1032" t="s">
        <v>16</v>
      </c>
      <c r="G1032" s="2">
        <v>45943.333333333336</v>
      </c>
      <c r="H1032" s="2">
        <v>46387.999305555553</v>
      </c>
      <c r="I1032" s="1">
        <v>46163</v>
      </c>
      <c r="J1032" t="s">
        <v>1698</v>
      </c>
      <c r="K1032" t="s">
        <v>1199</v>
      </c>
    </row>
    <row r="1033" spans="1:11">
      <c r="A1033" t="s">
        <v>886</v>
      </c>
      <c r="B1033" t="s">
        <v>871</v>
      </c>
      <c r="C1033" t="s">
        <v>870</v>
      </c>
      <c r="D1033" t="s">
        <v>16</v>
      </c>
      <c r="G1033" s="2">
        <v>45943.333333333336</v>
      </c>
      <c r="H1033" s="2">
        <v>46387.999305555553</v>
      </c>
      <c r="I1033" s="1">
        <v>46147</v>
      </c>
      <c r="J1033" t="s">
        <v>1698</v>
      </c>
      <c r="K1033" t="s">
        <v>1199</v>
      </c>
    </row>
    <row r="1034" spans="1:11">
      <c r="A1034" t="s">
        <v>886</v>
      </c>
      <c r="B1034" t="s">
        <v>873</v>
      </c>
      <c r="C1034" t="s">
        <v>872</v>
      </c>
      <c r="D1034" t="s">
        <v>16</v>
      </c>
      <c r="G1034" s="2">
        <v>45943.333333333336</v>
      </c>
      <c r="H1034" s="2">
        <v>46387.999305555553</v>
      </c>
      <c r="I1034" s="1">
        <v>46160</v>
      </c>
      <c r="J1034" t="s">
        <v>1698</v>
      </c>
      <c r="K1034" t="s">
        <v>1199</v>
      </c>
    </row>
    <row r="1035" spans="1:11">
      <c r="A1035" t="s">
        <v>886</v>
      </c>
      <c r="B1035" t="s">
        <v>875</v>
      </c>
      <c r="C1035" t="s">
        <v>874</v>
      </c>
      <c r="D1035" t="s">
        <v>16</v>
      </c>
      <c r="G1035" s="2">
        <v>45943.333333333336</v>
      </c>
      <c r="H1035" s="2">
        <v>46387.999305555553</v>
      </c>
      <c r="I1035" s="1">
        <v>46157</v>
      </c>
      <c r="J1035" t="s">
        <v>1698</v>
      </c>
      <c r="K1035" t="s">
        <v>1199</v>
      </c>
    </row>
    <row r="1036" spans="1:11">
      <c r="A1036" t="s">
        <v>886</v>
      </c>
      <c r="B1036" t="s">
        <v>877</v>
      </c>
      <c r="C1036" t="s">
        <v>876</v>
      </c>
      <c r="D1036" t="s">
        <v>16</v>
      </c>
      <c r="G1036" s="2">
        <v>45943.333333333336</v>
      </c>
      <c r="H1036" s="2">
        <v>46387.999305555553</v>
      </c>
      <c r="I1036" s="1">
        <v>46162</v>
      </c>
      <c r="J1036" t="s">
        <v>1698</v>
      </c>
      <c r="K1036" t="s">
        <v>1199</v>
      </c>
    </row>
    <row r="1037" spans="1:11">
      <c r="A1037" t="s">
        <v>886</v>
      </c>
      <c r="B1037" t="s">
        <v>879</v>
      </c>
      <c r="C1037" t="s">
        <v>878</v>
      </c>
      <c r="D1037" t="s">
        <v>16</v>
      </c>
      <c r="G1037" s="2">
        <v>45943.333333333336</v>
      </c>
      <c r="H1037" s="2">
        <v>46387.999305555553</v>
      </c>
      <c r="I1037" s="1">
        <v>46163</v>
      </c>
      <c r="J1037" t="s">
        <v>1698</v>
      </c>
      <c r="K1037" t="s">
        <v>1199</v>
      </c>
    </row>
    <row r="1038" spans="1:11">
      <c r="A1038" t="s">
        <v>886</v>
      </c>
      <c r="B1038" t="s">
        <v>881</v>
      </c>
      <c r="C1038" t="s">
        <v>880</v>
      </c>
      <c r="D1038" t="s">
        <v>16</v>
      </c>
      <c r="G1038" s="2">
        <v>45943.333333333336</v>
      </c>
      <c r="H1038" s="2">
        <v>46387.999305555553</v>
      </c>
      <c r="I1038" s="1">
        <v>46160</v>
      </c>
      <c r="J1038" t="s">
        <v>1698</v>
      </c>
      <c r="K1038" t="s">
        <v>1199</v>
      </c>
    </row>
    <row r="1039" spans="1:11">
      <c r="A1039" t="s">
        <v>886</v>
      </c>
      <c r="B1039" t="s">
        <v>883</v>
      </c>
      <c r="C1039" t="s">
        <v>882</v>
      </c>
      <c r="D1039" t="s">
        <v>16</v>
      </c>
      <c r="G1039" s="2">
        <v>45943.333333333336</v>
      </c>
      <c r="H1039" s="2">
        <v>46387.999305555553</v>
      </c>
      <c r="I1039" s="1">
        <v>46161</v>
      </c>
      <c r="J1039" t="s">
        <v>1698</v>
      </c>
      <c r="K1039" t="s">
        <v>1199</v>
      </c>
    </row>
    <row r="1040" spans="1:11">
      <c r="A1040" t="s">
        <v>886</v>
      </c>
      <c r="B1040" t="s">
        <v>885</v>
      </c>
      <c r="C1040" t="s">
        <v>884</v>
      </c>
      <c r="D1040" t="s">
        <v>16</v>
      </c>
      <c r="G1040" s="2">
        <v>45943.333333333336</v>
      </c>
      <c r="H1040" s="2">
        <v>46387.999305555553</v>
      </c>
      <c r="I1040" s="1">
        <v>46155</v>
      </c>
      <c r="J1040" t="s">
        <v>1698</v>
      </c>
      <c r="K1040" t="s">
        <v>1199</v>
      </c>
    </row>
    <row r="1041" spans="1:11">
      <c r="A1041" t="s">
        <v>890</v>
      </c>
      <c r="B1041" t="s">
        <v>893</v>
      </c>
      <c r="C1041" t="s">
        <v>892</v>
      </c>
      <c r="D1041" t="s">
        <v>16</v>
      </c>
      <c r="G1041" t="s">
        <v>17</v>
      </c>
      <c r="I1041" s="1">
        <v>45747</v>
      </c>
      <c r="J1041" t="s">
        <v>1698</v>
      </c>
      <c r="K1041" t="s">
        <v>890</v>
      </c>
    </row>
    <row r="1042" spans="1:11">
      <c r="A1042" t="s">
        <v>890</v>
      </c>
      <c r="B1042" t="s">
        <v>891</v>
      </c>
      <c r="C1042" t="s">
        <v>889</v>
      </c>
      <c r="D1042" t="s">
        <v>38</v>
      </c>
      <c r="I1042" s="1">
        <v>46156</v>
      </c>
      <c r="K1042" t="s">
        <v>890</v>
      </c>
    </row>
    <row r="1043" spans="1:11">
      <c r="A1043" t="s">
        <v>895</v>
      </c>
      <c r="B1043" t="s">
        <v>896</v>
      </c>
      <c r="C1043" t="s">
        <v>894</v>
      </c>
      <c r="D1043" t="s">
        <v>21</v>
      </c>
      <c r="E1043" t="s">
        <v>22</v>
      </c>
      <c r="F1043">
        <v>39</v>
      </c>
      <c r="G1043" s="2">
        <v>46308.395833333336</v>
      </c>
      <c r="H1043" s="2">
        <v>46308.708333333336</v>
      </c>
      <c r="I1043" s="1">
        <v>46153</v>
      </c>
      <c r="J1043" t="s">
        <v>1698</v>
      </c>
      <c r="K1043" t="s">
        <v>890</v>
      </c>
    </row>
    <row r="1044" spans="1:11">
      <c r="A1044" t="s">
        <v>898</v>
      </c>
      <c r="B1044" t="s">
        <v>899</v>
      </c>
      <c r="C1044" t="s">
        <v>1202</v>
      </c>
      <c r="D1044" t="s">
        <v>21</v>
      </c>
      <c r="E1044" t="s">
        <v>25</v>
      </c>
      <c r="G1044" s="2">
        <v>46066.333333333336</v>
      </c>
      <c r="H1044" s="2">
        <v>47312.333333333336</v>
      </c>
      <c r="I1044" t="s">
        <v>198</v>
      </c>
      <c r="J1044" t="s">
        <v>1698</v>
      </c>
      <c r="K1044" t="s">
        <v>890</v>
      </c>
    </row>
    <row r="1045" spans="1:11">
      <c r="A1045" t="s">
        <v>898</v>
      </c>
      <c r="B1045" t="s">
        <v>907</v>
      </c>
      <c r="C1045" t="s">
        <v>906</v>
      </c>
      <c r="D1045" t="s">
        <v>21</v>
      </c>
      <c r="E1045" t="s">
        <v>22</v>
      </c>
      <c r="F1045">
        <v>21</v>
      </c>
      <c r="G1045" s="2">
        <v>46181.375</v>
      </c>
      <c r="H1045" s="2">
        <v>46181.520833333336</v>
      </c>
      <c r="I1045" s="1">
        <v>46160</v>
      </c>
      <c r="J1045" t="s">
        <v>1698</v>
      </c>
      <c r="K1045" t="s">
        <v>890</v>
      </c>
    </row>
    <row r="1046" spans="1:11">
      <c r="A1046" t="s">
        <v>898</v>
      </c>
      <c r="B1046" t="s">
        <v>911</v>
      </c>
      <c r="C1046" t="s">
        <v>910</v>
      </c>
      <c r="D1046" t="s">
        <v>21</v>
      </c>
      <c r="E1046" t="s">
        <v>22</v>
      </c>
      <c r="F1046">
        <v>7</v>
      </c>
      <c r="G1046" s="2">
        <v>46183.375</v>
      </c>
      <c r="H1046" s="2">
        <v>46183.708333333336</v>
      </c>
      <c r="I1046" s="1">
        <v>46161</v>
      </c>
      <c r="J1046" t="s">
        <v>1698</v>
      </c>
      <c r="K1046" t="s">
        <v>890</v>
      </c>
    </row>
    <row r="1047" spans="1:11">
      <c r="A1047" t="s">
        <v>898</v>
      </c>
      <c r="B1047" t="s">
        <v>913</v>
      </c>
      <c r="C1047" t="s">
        <v>912</v>
      </c>
      <c r="D1047" t="s">
        <v>21</v>
      </c>
      <c r="E1047" t="s">
        <v>22</v>
      </c>
      <c r="F1047">
        <v>56</v>
      </c>
      <c r="G1047" s="2">
        <v>46147.395833333336</v>
      </c>
      <c r="H1047" s="2">
        <v>46147.729166666664</v>
      </c>
      <c r="I1047" s="1">
        <v>46148</v>
      </c>
      <c r="J1047" t="s">
        <v>1698</v>
      </c>
      <c r="K1047" t="s">
        <v>890</v>
      </c>
    </row>
    <row r="1048" spans="1:11">
      <c r="A1048" t="s">
        <v>898</v>
      </c>
      <c r="B1048" t="s">
        <v>915</v>
      </c>
      <c r="C1048" t="s">
        <v>914</v>
      </c>
      <c r="D1048" t="s">
        <v>21</v>
      </c>
      <c r="E1048" t="s">
        <v>22</v>
      </c>
      <c r="F1048">
        <v>131</v>
      </c>
      <c r="G1048" s="2">
        <v>46359.375</v>
      </c>
      <c r="H1048" s="2">
        <v>46360.708333333336</v>
      </c>
      <c r="I1048" s="1">
        <v>46162</v>
      </c>
      <c r="J1048" t="s">
        <v>2402</v>
      </c>
      <c r="K1048" t="s">
        <v>890</v>
      </c>
    </row>
    <row r="1049" spans="1:11">
      <c r="A1049" t="s">
        <v>898</v>
      </c>
      <c r="B1049" t="s">
        <v>917</v>
      </c>
      <c r="C1049" t="s">
        <v>916</v>
      </c>
      <c r="D1049" t="s">
        <v>21</v>
      </c>
      <c r="E1049" t="s">
        <v>22</v>
      </c>
      <c r="F1049">
        <v>135</v>
      </c>
      <c r="G1049" s="2">
        <v>46314.375</v>
      </c>
      <c r="H1049" s="2">
        <v>46317.520833333336</v>
      </c>
      <c r="I1049" s="1">
        <v>46161</v>
      </c>
      <c r="J1049" t="s">
        <v>2402</v>
      </c>
      <c r="K1049" t="s">
        <v>890</v>
      </c>
    </row>
    <row r="1050" spans="1:11">
      <c r="A1050" t="s">
        <v>898</v>
      </c>
      <c r="B1050" t="s">
        <v>921</v>
      </c>
      <c r="C1050" t="s">
        <v>920</v>
      </c>
      <c r="D1050" t="s">
        <v>21</v>
      </c>
      <c r="E1050" t="s">
        <v>22</v>
      </c>
      <c r="F1050">
        <v>16</v>
      </c>
      <c r="G1050" s="2">
        <v>46203.375</v>
      </c>
      <c r="H1050" s="2">
        <v>46203.708333333336</v>
      </c>
      <c r="I1050" s="1">
        <v>46163</v>
      </c>
      <c r="J1050" t="s">
        <v>1698</v>
      </c>
      <c r="K1050" t="s">
        <v>890</v>
      </c>
    </row>
    <row r="1051" spans="1:11">
      <c r="A1051" t="s">
        <v>925</v>
      </c>
      <c r="B1051" t="s">
        <v>928</v>
      </c>
      <c r="C1051" t="s">
        <v>927</v>
      </c>
      <c r="D1051" t="s">
        <v>21</v>
      </c>
      <c r="E1051" t="s">
        <v>22</v>
      </c>
      <c r="F1051">
        <v>22</v>
      </c>
      <c r="G1051" s="2">
        <v>46177.375</v>
      </c>
      <c r="H1051" s="2">
        <v>46177.708333333336</v>
      </c>
      <c r="I1051" s="1">
        <v>46157</v>
      </c>
      <c r="J1051" t="s">
        <v>1698</v>
      </c>
      <c r="K1051" t="s">
        <v>890</v>
      </c>
    </row>
    <row r="1052" spans="1:11">
      <c r="A1052" t="s">
        <v>925</v>
      </c>
      <c r="B1052" t="s">
        <v>932</v>
      </c>
      <c r="C1052" t="s">
        <v>931</v>
      </c>
      <c r="D1052" t="s">
        <v>21</v>
      </c>
      <c r="E1052" t="s">
        <v>22</v>
      </c>
      <c r="F1052">
        <v>26</v>
      </c>
      <c r="G1052" s="2">
        <v>46203.385416666664</v>
      </c>
      <c r="H1052" s="2">
        <v>46203.729166666664</v>
      </c>
      <c r="I1052" s="1">
        <v>46148</v>
      </c>
      <c r="J1052" t="s">
        <v>1698</v>
      </c>
      <c r="K1052" t="s">
        <v>890</v>
      </c>
    </row>
    <row r="1053" spans="1:11">
      <c r="A1053" t="s">
        <v>925</v>
      </c>
      <c r="B1053" t="s">
        <v>934</v>
      </c>
      <c r="C1053" t="s">
        <v>933</v>
      </c>
      <c r="D1053" t="s">
        <v>21</v>
      </c>
      <c r="E1053" t="s">
        <v>22</v>
      </c>
      <c r="F1053">
        <v>12</v>
      </c>
      <c r="G1053" s="2">
        <v>46294.395833333336</v>
      </c>
      <c r="H1053" s="2">
        <v>46295.729166666664</v>
      </c>
      <c r="I1053" s="1">
        <v>46163</v>
      </c>
      <c r="J1053" t="s">
        <v>1698</v>
      </c>
      <c r="K1053" t="s">
        <v>890</v>
      </c>
    </row>
    <row r="1054" spans="1:11">
      <c r="A1054" t="s">
        <v>936</v>
      </c>
      <c r="B1054" t="s">
        <v>937</v>
      </c>
      <c r="C1054" t="s">
        <v>935</v>
      </c>
      <c r="D1054" t="s">
        <v>21</v>
      </c>
      <c r="E1054" t="s">
        <v>22</v>
      </c>
      <c r="F1054">
        <v>14</v>
      </c>
      <c r="G1054" s="2">
        <v>45992.395833333336</v>
      </c>
      <c r="H1054" s="2">
        <v>45993.708333333336</v>
      </c>
      <c r="I1054" s="1">
        <v>46147</v>
      </c>
      <c r="J1054" t="s">
        <v>1698</v>
      </c>
      <c r="K1054" t="s">
        <v>890</v>
      </c>
    </row>
    <row r="1055" spans="1:11">
      <c r="A1055" t="s">
        <v>936</v>
      </c>
      <c r="B1055" t="s">
        <v>1203</v>
      </c>
      <c r="C1055" t="s">
        <v>1204</v>
      </c>
      <c r="D1055" t="s">
        <v>21</v>
      </c>
      <c r="E1055" t="s">
        <v>25</v>
      </c>
      <c r="G1055" s="2">
        <v>46104.583333333336</v>
      </c>
      <c r="H1055" s="2">
        <v>46106.583333333336</v>
      </c>
      <c r="I1055" s="1">
        <v>46105</v>
      </c>
      <c r="J1055" t="s">
        <v>1698</v>
      </c>
      <c r="K1055" t="s">
        <v>890</v>
      </c>
    </row>
    <row r="1056" spans="1:11">
      <c r="A1056" t="s">
        <v>936</v>
      </c>
      <c r="B1056" t="s">
        <v>73</v>
      </c>
      <c r="C1056" t="s">
        <v>71</v>
      </c>
      <c r="D1056" t="s">
        <v>21</v>
      </c>
      <c r="E1056" t="s">
        <v>22</v>
      </c>
      <c r="F1056">
        <v>29</v>
      </c>
      <c r="G1056" s="2">
        <v>46023.333333333336</v>
      </c>
      <c r="H1056" s="2">
        <v>46387.75</v>
      </c>
      <c r="I1056" s="1">
        <v>46162</v>
      </c>
      <c r="J1056" t="s">
        <v>1698</v>
      </c>
      <c r="K1056" t="s">
        <v>890</v>
      </c>
    </row>
    <row r="1057" spans="1:11">
      <c r="A1057" t="s">
        <v>936</v>
      </c>
      <c r="B1057" t="s">
        <v>35</v>
      </c>
      <c r="C1057" t="s">
        <v>34</v>
      </c>
      <c r="D1057" t="s">
        <v>21</v>
      </c>
      <c r="E1057" t="s">
        <v>22</v>
      </c>
      <c r="F1057">
        <v>65</v>
      </c>
      <c r="G1057" s="2">
        <v>46027.333333333336</v>
      </c>
      <c r="H1057" s="2">
        <v>46387.75</v>
      </c>
      <c r="I1057" s="1">
        <v>46163</v>
      </c>
      <c r="J1057" t="s">
        <v>1698</v>
      </c>
      <c r="K1057" t="s">
        <v>890</v>
      </c>
    </row>
    <row r="1058" spans="1:11">
      <c r="A1058" t="s">
        <v>936</v>
      </c>
      <c r="B1058" t="s">
        <v>939</v>
      </c>
      <c r="C1058" t="s">
        <v>938</v>
      </c>
      <c r="D1058" t="s">
        <v>21</v>
      </c>
      <c r="E1058" t="s">
        <v>22</v>
      </c>
      <c r="F1058">
        <v>23</v>
      </c>
      <c r="G1058" s="2">
        <v>46344.583333333336</v>
      </c>
      <c r="H1058" s="2">
        <v>46346.520833333336</v>
      </c>
      <c r="I1058" s="1">
        <v>46129</v>
      </c>
      <c r="J1058" t="s">
        <v>1698</v>
      </c>
      <c r="K1058" t="s">
        <v>890</v>
      </c>
    </row>
    <row r="1059" spans="1:11">
      <c r="A1059" t="s">
        <v>941</v>
      </c>
      <c r="B1059" t="s">
        <v>942</v>
      </c>
      <c r="C1059" t="s">
        <v>940</v>
      </c>
      <c r="D1059" t="s">
        <v>21</v>
      </c>
      <c r="E1059" t="s">
        <v>22</v>
      </c>
      <c r="F1059">
        <v>8</v>
      </c>
      <c r="G1059" s="2">
        <v>46107.395833333336</v>
      </c>
      <c r="H1059" s="2">
        <v>46107.520833333336</v>
      </c>
      <c r="I1059" s="1">
        <v>46147</v>
      </c>
      <c r="J1059" t="s">
        <v>1698</v>
      </c>
      <c r="K1059" t="s">
        <v>890</v>
      </c>
    </row>
    <row r="1060" spans="1:11">
      <c r="A1060" t="s">
        <v>14</v>
      </c>
      <c r="B1060" t="s">
        <v>15</v>
      </c>
      <c r="C1060" t="s">
        <v>13</v>
      </c>
      <c r="D1060" t="s">
        <v>16</v>
      </c>
      <c r="G1060" t="s">
        <v>17</v>
      </c>
      <c r="I1060" s="1">
        <v>46162</v>
      </c>
      <c r="J1060" t="s">
        <v>1698</v>
      </c>
      <c r="K1060" t="s">
        <v>14</v>
      </c>
    </row>
    <row r="1061" spans="1:11">
      <c r="A1061" t="s">
        <v>944</v>
      </c>
      <c r="B1061" t="s">
        <v>15</v>
      </c>
      <c r="C1061" t="s">
        <v>13</v>
      </c>
      <c r="D1061" t="s">
        <v>16</v>
      </c>
      <c r="G1061" t="s">
        <v>17</v>
      </c>
      <c r="I1061" s="1">
        <v>46162</v>
      </c>
      <c r="J1061" t="s">
        <v>1698</v>
      </c>
      <c r="K1061" t="s">
        <v>944</v>
      </c>
    </row>
    <row r="1062" spans="1:11">
      <c r="A1062" t="s">
        <v>944</v>
      </c>
      <c r="B1062" t="s">
        <v>946</v>
      </c>
      <c r="D1062" t="s">
        <v>76</v>
      </c>
      <c r="K1062" t="s">
        <v>944</v>
      </c>
    </row>
    <row r="1063" spans="1:11">
      <c r="A1063" t="s">
        <v>944</v>
      </c>
      <c r="B1063" t="s">
        <v>2403</v>
      </c>
      <c r="C1063" t="s">
        <v>947</v>
      </c>
      <c r="D1063" t="s">
        <v>21</v>
      </c>
      <c r="E1063" t="s">
        <v>22</v>
      </c>
      <c r="F1063">
        <v>21</v>
      </c>
      <c r="G1063" s="2">
        <v>46178.416666666664</v>
      </c>
      <c r="H1063" s="2">
        <v>46178.5</v>
      </c>
      <c r="I1063" s="1">
        <v>46163</v>
      </c>
      <c r="J1063" t="s">
        <v>1698</v>
      </c>
      <c r="K1063" t="s">
        <v>944</v>
      </c>
    </row>
    <row r="1064" spans="1:11">
      <c r="A1064" t="s">
        <v>950</v>
      </c>
      <c r="B1064" t="s">
        <v>951</v>
      </c>
      <c r="C1064" t="s">
        <v>949</v>
      </c>
      <c r="D1064" t="s">
        <v>16</v>
      </c>
      <c r="G1064" t="s">
        <v>17</v>
      </c>
      <c r="I1064" s="1">
        <v>46161</v>
      </c>
      <c r="J1064" t="s">
        <v>1698</v>
      </c>
      <c r="K1064" t="s">
        <v>950</v>
      </c>
    </row>
    <row r="1065" spans="1:11">
      <c r="A1065" t="s">
        <v>950</v>
      </c>
      <c r="B1065" t="s">
        <v>15</v>
      </c>
      <c r="C1065" t="s">
        <v>13</v>
      </c>
      <c r="D1065" t="s">
        <v>16</v>
      </c>
      <c r="G1065" t="s">
        <v>17</v>
      </c>
      <c r="I1065" s="1">
        <v>46162</v>
      </c>
      <c r="J1065" t="s">
        <v>1698</v>
      </c>
      <c r="K1065" t="s">
        <v>950</v>
      </c>
    </row>
    <row r="1066" spans="1:11">
      <c r="A1066" t="s">
        <v>950</v>
      </c>
      <c r="B1066" t="s">
        <v>955</v>
      </c>
      <c r="C1066" t="s">
        <v>954</v>
      </c>
      <c r="D1066" t="s">
        <v>21</v>
      </c>
      <c r="E1066" t="s">
        <v>22</v>
      </c>
      <c r="F1066">
        <v>45</v>
      </c>
      <c r="G1066" s="2">
        <v>46136.479166666664</v>
      </c>
      <c r="H1066" s="2">
        <v>46136.541666666664</v>
      </c>
      <c r="I1066" s="1">
        <v>46161</v>
      </c>
      <c r="J1066" t="s">
        <v>1698</v>
      </c>
      <c r="K1066" t="s">
        <v>950</v>
      </c>
    </row>
    <row r="1067" spans="1:11">
      <c r="A1067" t="s">
        <v>950</v>
      </c>
      <c r="B1067" t="s">
        <v>957</v>
      </c>
      <c r="C1067" t="s">
        <v>956</v>
      </c>
      <c r="D1067" t="s">
        <v>21</v>
      </c>
      <c r="E1067" t="s">
        <v>22</v>
      </c>
      <c r="F1067">
        <v>7</v>
      </c>
      <c r="G1067" s="2">
        <v>46170.583333333336</v>
      </c>
      <c r="H1067" s="2">
        <v>46170.645833333336</v>
      </c>
      <c r="I1067" s="1">
        <v>46163</v>
      </c>
      <c r="J1067" t="s">
        <v>1698</v>
      </c>
      <c r="K1067" t="s">
        <v>950</v>
      </c>
    </row>
    <row r="1068" spans="1:11">
      <c r="A1068" t="s">
        <v>950</v>
      </c>
      <c r="B1068" t="s">
        <v>959</v>
      </c>
      <c r="C1068" t="s">
        <v>958</v>
      </c>
      <c r="D1068" t="s">
        <v>21</v>
      </c>
      <c r="E1068" t="s">
        <v>22</v>
      </c>
      <c r="F1068">
        <v>36</v>
      </c>
      <c r="G1068" s="2">
        <v>46181.354166666664</v>
      </c>
      <c r="H1068" s="2">
        <v>46183.729166666664</v>
      </c>
      <c r="I1068" s="1">
        <v>46163</v>
      </c>
      <c r="J1068" t="s">
        <v>1698</v>
      </c>
      <c r="K1068" t="s">
        <v>950</v>
      </c>
    </row>
    <row r="1069" spans="1:11">
      <c r="A1069" t="s">
        <v>950</v>
      </c>
      <c r="B1069" t="s">
        <v>961</v>
      </c>
      <c r="C1069" t="s">
        <v>960</v>
      </c>
      <c r="D1069" t="s">
        <v>21</v>
      </c>
      <c r="E1069" t="s">
        <v>22</v>
      </c>
      <c r="F1069">
        <v>13</v>
      </c>
      <c r="G1069" s="2">
        <v>46189.666666666664</v>
      </c>
      <c r="H1069" s="2">
        <v>46189.729166666664</v>
      </c>
      <c r="I1069" s="1">
        <v>46161</v>
      </c>
      <c r="J1069" t="s">
        <v>1698</v>
      </c>
      <c r="K1069" t="s">
        <v>950</v>
      </c>
    </row>
    <row r="1070" spans="1:11">
      <c r="A1070" t="s">
        <v>950</v>
      </c>
      <c r="B1070" t="s">
        <v>963</v>
      </c>
      <c r="C1070" t="s">
        <v>962</v>
      </c>
      <c r="D1070" t="s">
        <v>38</v>
      </c>
      <c r="I1070" s="1">
        <v>46163</v>
      </c>
      <c r="K1070" t="s">
        <v>950</v>
      </c>
    </row>
    <row r="1071" spans="1:11">
      <c r="A1071" t="s">
        <v>950</v>
      </c>
      <c r="B1071" t="s">
        <v>965</v>
      </c>
      <c r="C1071" t="s">
        <v>964</v>
      </c>
      <c r="D1071" t="s">
        <v>21</v>
      </c>
      <c r="E1071" t="s">
        <v>22</v>
      </c>
      <c r="F1071">
        <v>25</v>
      </c>
      <c r="G1071" s="2">
        <v>46356.59375</v>
      </c>
      <c r="H1071" s="2">
        <v>46356.739583333336</v>
      </c>
      <c r="I1071" s="1">
        <v>46162</v>
      </c>
      <c r="J1071" t="s">
        <v>1698</v>
      </c>
      <c r="K1071" t="s">
        <v>950</v>
      </c>
    </row>
    <row r="1072" spans="1:11">
      <c r="A1072" t="s">
        <v>950</v>
      </c>
      <c r="B1072" t="s">
        <v>558</v>
      </c>
      <c r="C1072" t="s">
        <v>557</v>
      </c>
      <c r="D1072" t="s">
        <v>21</v>
      </c>
      <c r="E1072" t="s">
        <v>22</v>
      </c>
      <c r="F1072">
        <v>79</v>
      </c>
      <c r="G1072" s="2">
        <v>46196.583333333336</v>
      </c>
      <c r="H1072" s="2">
        <v>46196.729166666664</v>
      </c>
      <c r="I1072" s="1">
        <v>46160</v>
      </c>
      <c r="J1072" t="s">
        <v>1698</v>
      </c>
      <c r="K1072" t="s">
        <v>950</v>
      </c>
    </row>
    <row r="1073" spans="1:11">
      <c r="A1073" t="s">
        <v>950</v>
      </c>
      <c r="B1073" t="s">
        <v>967</v>
      </c>
      <c r="C1073" t="s">
        <v>966</v>
      </c>
      <c r="D1073" t="s">
        <v>21</v>
      </c>
      <c r="E1073" t="s">
        <v>22</v>
      </c>
      <c r="F1073">
        <v>18</v>
      </c>
      <c r="G1073" s="2">
        <v>46190.583333333336</v>
      </c>
      <c r="H1073" s="2">
        <v>46190.645833333336</v>
      </c>
      <c r="I1073" s="1">
        <v>46163</v>
      </c>
      <c r="J1073" t="s">
        <v>1698</v>
      </c>
      <c r="K1073" t="s">
        <v>950</v>
      </c>
    </row>
    <row r="1074" spans="1:11">
      <c r="A1074" t="s">
        <v>969</v>
      </c>
      <c r="B1074" t="s">
        <v>970</v>
      </c>
      <c r="C1074" t="s">
        <v>968</v>
      </c>
      <c r="D1074" t="s">
        <v>38</v>
      </c>
      <c r="I1074" s="1">
        <v>46157</v>
      </c>
      <c r="K1074" t="s">
        <v>1210</v>
      </c>
    </row>
    <row r="1075" spans="1:11">
      <c r="A1075" t="s">
        <v>969</v>
      </c>
      <c r="B1075" t="s">
        <v>972</v>
      </c>
      <c r="C1075" t="s">
        <v>971</v>
      </c>
      <c r="D1075" t="s">
        <v>38</v>
      </c>
      <c r="I1075" s="1">
        <v>46148</v>
      </c>
      <c r="K1075" t="s">
        <v>1210</v>
      </c>
    </row>
    <row r="1076" spans="1:11">
      <c r="A1076" t="s">
        <v>969</v>
      </c>
      <c r="B1076" t="s">
        <v>974</v>
      </c>
      <c r="C1076" t="s">
        <v>973</v>
      </c>
      <c r="D1076" t="s">
        <v>38</v>
      </c>
      <c r="I1076" s="1">
        <v>45961</v>
      </c>
      <c r="K1076" t="s">
        <v>1210</v>
      </c>
    </row>
    <row r="1077" spans="1:11">
      <c r="A1077" t="s">
        <v>976</v>
      </c>
      <c r="B1077" t="s">
        <v>977</v>
      </c>
      <c r="C1077" t="s">
        <v>975</v>
      </c>
      <c r="D1077" t="s">
        <v>38</v>
      </c>
      <c r="I1077" s="1">
        <v>46099</v>
      </c>
      <c r="K1077" t="s">
        <v>1210</v>
      </c>
    </row>
    <row r="1078" spans="1:11">
      <c r="A1078" t="s">
        <v>976</v>
      </c>
      <c r="B1078" t="s">
        <v>979</v>
      </c>
      <c r="C1078" t="s">
        <v>978</v>
      </c>
      <c r="D1078" t="s">
        <v>38</v>
      </c>
      <c r="I1078" s="1">
        <v>46133</v>
      </c>
      <c r="K1078" t="s">
        <v>1210</v>
      </c>
    </row>
    <row r="1079" spans="1:11">
      <c r="A1079" t="s">
        <v>981</v>
      </c>
      <c r="B1079" t="s">
        <v>982</v>
      </c>
      <c r="C1079" t="s">
        <v>980</v>
      </c>
      <c r="D1079" t="s">
        <v>38</v>
      </c>
      <c r="I1079" s="1">
        <v>46122</v>
      </c>
      <c r="K1079" t="s">
        <v>1210</v>
      </c>
    </row>
    <row r="1080" spans="1:11">
      <c r="A1080" t="s">
        <v>981</v>
      </c>
      <c r="B1080" t="s">
        <v>984</v>
      </c>
      <c r="C1080" t="s">
        <v>983</v>
      </c>
      <c r="D1080" t="s">
        <v>38</v>
      </c>
      <c r="I1080" s="1">
        <v>46149</v>
      </c>
      <c r="K1080" t="s">
        <v>1210</v>
      </c>
    </row>
    <row r="1081" spans="1:11">
      <c r="A1081" t="s">
        <v>986</v>
      </c>
      <c r="B1081" t="s">
        <v>987</v>
      </c>
      <c r="C1081" t="s">
        <v>985</v>
      </c>
      <c r="D1081" t="s">
        <v>38</v>
      </c>
      <c r="I1081" s="1">
        <v>45897</v>
      </c>
      <c r="K1081" t="s">
        <v>1210</v>
      </c>
    </row>
    <row r="1082" spans="1:11">
      <c r="A1082" t="s">
        <v>986</v>
      </c>
      <c r="B1082" t="s">
        <v>989</v>
      </c>
      <c r="C1082" t="s">
        <v>988</v>
      </c>
      <c r="D1082" t="s">
        <v>38</v>
      </c>
      <c r="I1082" s="1">
        <v>45693</v>
      </c>
      <c r="K1082" t="s">
        <v>1210</v>
      </c>
    </row>
    <row r="1083" spans="1:11">
      <c r="A1083" t="s">
        <v>1212</v>
      </c>
      <c r="B1083" t="s">
        <v>1213</v>
      </c>
      <c r="C1083" t="s">
        <v>1214</v>
      </c>
      <c r="D1083" t="s">
        <v>38</v>
      </c>
      <c r="I1083" s="1">
        <v>46149</v>
      </c>
      <c r="K1083" t="s">
        <v>1210</v>
      </c>
    </row>
    <row r="1084" spans="1:11">
      <c r="A1084" t="s">
        <v>1212</v>
      </c>
      <c r="B1084" t="s">
        <v>1215</v>
      </c>
      <c r="C1084" t="s">
        <v>1216</v>
      </c>
      <c r="D1084" t="s">
        <v>38</v>
      </c>
      <c r="I1084" s="1">
        <v>46105</v>
      </c>
      <c r="K1084" t="s">
        <v>1210</v>
      </c>
    </row>
    <row r="1085" spans="1:11">
      <c r="A1085" t="s">
        <v>1212</v>
      </c>
      <c r="B1085" t="s">
        <v>1217</v>
      </c>
      <c r="C1085" t="s">
        <v>1218</v>
      </c>
      <c r="D1085" t="s">
        <v>38</v>
      </c>
      <c r="K1085" t="s">
        <v>1210</v>
      </c>
    </row>
    <row r="1086" spans="1:11">
      <c r="A1086" t="s">
        <v>1023</v>
      </c>
      <c r="B1086" t="s">
        <v>2404</v>
      </c>
      <c r="C1086" t="s">
        <v>2405</v>
      </c>
      <c r="D1086" t="s">
        <v>21</v>
      </c>
      <c r="E1086" t="s">
        <v>22</v>
      </c>
      <c r="F1086">
        <v>2</v>
      </c>
      <c r="G1086" s="2">
        <v>46150.385416666664</v>
      </c>
      <c r="H1086" s="2">
        <v>46150.541666666664</v>
      </c>
      <c r="I1086" s="1">
        <v>46162</v>
      </c>
      <c r="J1086" t="s">
        <v>1698</v>
      </c>
      <c r="K1086" t="s">
        <v>1023</v>
      </c>
    </row>
    <row r="1087" spans="1:11">
      <c r="A1087" t="s">
        <v>1023</v>
      </c>
      <c r="B1087" t="s">
        <v>1026</v>
      </c>
      <c r="C1087" t="s">
        <v>1027</v>
      </c>
      <c r="D1087" t="s">
        <v>21</v>
      </c>
      <c r="E1087" t="s">
        <v>22</v>
      </c>
      <c r="F1087">
        <v>35</v>
      </c>
      <c r="G1087" s="2">
        <v>46198.395833333336</v>
      </c>
      <c r="H1087" s="2">
        <v>46198.520833333336</v>
      </c>
      <c r="I1087" s="1">
        <v>46160</v>
      </c>
      <c r="J1087" t="s">
        <v>1698</v>
      </c>
      <c r="K1087" t="s">
        <v>1023</v>
      </c>
    </row>
    <row r="1088" spans="1:11">
      <c r="A1088" t="s">
        <v>1023</v>
      </c>
      <c r="B1088" t="s">
        <v>1029</v>
      </c>
      <c r="C1088" t="s">
        <v>1028</v>
      </c>
      <c r="D1088" t="s">
        <v>21</v>
      </c>
      <c r="E1088" t="s">
        <v>22</v>
      </c>
      <c r="F1088">
        <v>17</v>
      </c>
      <c r="G1088" s="2">
        <v>46345.375</v>
      </c>
      <c r="H1088" s="2">
        <v>46345.708333333336</v>
      </c>
      <c r="I1088" s="1">
        <v>46162</v>
      </c>
      <c r="J1088" t="s">
        <v>1698</v>
      </c>
      <c r="K1088" t="s">
        <v>1023</v>
      </c>
    </row>
    <row r="1089" spans="1:11">
      <c r="A1089" t="s">
        <v>1023</v>
      </c>
      <c r="B1089" t="s">
        <v>1031</v>
      </c>
      <c r="C1089" t="s">
        <v>1030</v>
      </c>
      <c r="D1089" t="s">
        <v>21</v>
      </c>
      <c r="E1089" t="s">
        <v>25</v>
      </c>
      <c r="G1089" s="2">
        <v>45770.333333333336</v>
      </c>
      <c r="H1089" s="2">
        <v>47330.333333333336</v>
      </c>
      <c r="I1089" t="s">
        <v>198</v>
      </c>
      <c r="J1089" t="s">
        <v>1698</v>
      </c>
      <c r="K1089" t="s">
        <v>1023</v>
      </c>
    </row>
    <row r="1090" spans="1:11">
      <c r="A1090" t="s">
        <v>1023</v>
      </c>
      <c r="B1090" t="s">
        <v>1033</v>
      </c>
      <c r="C1090" t="s">
        <v>1032</v>
      </c>
      <c r="D1090" t="s">
        <v>21</v>
      </c>
      <c r="E1090" t="s">
        <v>22</v>
      </c>
      <c r="F1090">
        <v>37</v>
      </c>
      <c r="G1090" s="2">
        <v>46359.395833333336</v>
      </c>
      <c r="H1090" s="2">
        <v>46359.708333333336</v>
      </c>
      <c r="I1090" s="1">
        <v>46162</v>
      </c>
      <c r="J1090" t="s">
        <v>1698</v>
      </c>
      <c r="K1090" t="s">
        <v>1023</v>
      </c>
    </row>
    <row r="1091" spans="1:11">
      <c r="A1091" t="s">
        <v>1023</v>
      </c>
      <c r="B1091" t="s">
        <v>1035</v>
      </c>
      <c r="C1091" t="s">
        <v>1034</v>
      </c>
      <c r="D1091" t="s">
        <v>21</v>
      </c>
      <c r="E1091" t="s">
        <v>25</v>
      </c>
      <c r="G1091" s="2">
        <v>45727.333333333336</v>
      </c>
      <c r="H1091" s="2">
        <v>47330.333333333336</v>
      </c>
      <c r="I1091" t="s">
        <v>198</v>
      </c>
      <c r="J1091" t="s">
        <v>1698</v>
      </c>
      <c r="K1091" t="s">
        <v>1023</v>
      </c>
    </row>
    <row r="1092" spans="1:11">
      <c r="A1092" t="s">
        <v>1023</v>
      </c>
      <c r="B1092" t="s">
        <v>1037</v>
      </c>
      <c r="C1092" t="s">
        <v>1036</v>
      </c>
      <c r="D1092" t="s">
        <v>21</v>
      </c>
      <c r="E1092" t="s">
        <v>22</v>
      </c>
      <c r="F1092">
        <v>30</v>
      </c>
      <c r="G1092" s="2">
        <v>45757.520833333336</v>
      </c>
      <c r="H1092" s="2">
        <v>45757.583333333336</v>
      </c>
      <c r="I1092" s="1">
        <v>46125</v>
      </c>
      <c r="J1092" t="s">
        <v>1698</v>
      </c>
      <c r="K1092" t="s">
        <v>1023</v>
      </c>
    </row>
    <row r="1093" spans="1:11">
      <c r="A1093" t="s">
        <v>1023</v>
      </c>
      <c r="B1093" t="s">
        <v>1039</v>
      </c>
      <c r="C1093" t="s">
        <v>1038</v>
      </c>
      <c r="D1093" t="s">
        <v>21</v>
      </c>
      <c r="E1093" t="s">
        <v>22</v>
      </c>
      <c r="F1093">
        <v>25</v>
      </c>
      <c r="G1093" s="2">
        <v>46336.375</v>
      </c>
      <c r="H1093" s="2">
        <v>46352.708333333336</v>
      </c>
      <c r="I1093" s="1">
        <v>46163</v>
      </c>
      <c r="J1093" t="s">
        <v>1698</v>
      </c>
      <c r="K1093" t="s">
        <v>1023</v>
      </c>
    </row>
    <row r="1094" spans="1:11">
      <c r="A1094" t="s">
        <v>1023</v>
      </c>
      <c r="B1094" t="s">
        <v>2406</v>
      </c>
      <c r="C1094" t="s">
        <v>2407</v>
      </c>
      <c r="D1094" t="s">
        <v>21</v>
      </c>
      <c r="E1094" t="s">
        <v>25</v>
      </c>
      <c r="G1094" s="2">
        <v>46186.375</v>
      </c>
      <c r="H1094" s="2">
        <v>46187.75</v>
      </c>
      <c r="I1094" s="1">
        <v>46163</v>
      </c>
      <c r="J1094" t="s">
        <v>1698</v>
      </c>
      <c r="K1094" t="s">
        <v>1023</v>
      </c>
    </row>
    <row r="1095" spans="1:11">
      <c r="A1095" t="s">
        <v>1023</v>
      </c>
      <c r="B1095" t="s">
        <v>472</v>
      </c>
      <c r="C1095" t="s">
        <v>1042</v>
      </c>
      <c r="D1095" t="s">
        <v>21</v>
      </c>
      <c r="E1095" t="s">
        <v>22</v>
      </c>
      <c r="F1095">
        <v>14</v>
      </c>
      <c r="G1095" s="2">
        <v>46035.375</v>
      </c>
      <c r="H1095" s="2">
        <v>46091.4375</v>
      </c>
      <c r="I1095" s="1">
        <v>46162</v>
      </c>
      <c r="J1095" t="s">
        <v>1698</v>
      </c>
      <c r="K1095" t="s">
        <v>1023</v>
      </c>
    </row>
  </sheetData>
  <phoneticPr fontId="20"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E192-864C-4500-B7E5-1100D71D5AFD}">
  <dimension ref="A1:J565"/>
  <sheetViews>
    <sheetView workbookViewId="0">
      <selection activeCell="M27" sqref="M27"/>
    </sheetView>
  </sheetViews>
  <sheetFormatPr defaultRowHeight="14.65"/>
  <cols>
    <col min="1" max="1" width="23.42578125" customWidth="1"/>
    <col min="2" max="2" width="47.7109375" customWidth="1"/>
    <col min="3" max="3" width="27.42578125" customWidth="1"/>
    <col min="4" max="4" width="13.85546875" customWidth="1"/>
    <col min="5" max="5" width="14" customWidth="1"/>
    <col min="6" max="6" width="25.140625" customWidth="1"/>
    <col min="7" max="7" width="26.5703125" customWidth="1"/>
    <col min="8" max="8" width="24.5703125" customWidth="1"/>
    <col min="9" max="9" width="23.28515625" customWidth="1"/>
    <col min="10" max="10" width="11.85546875" customWidth="1"/>
  </cols>
  <sheetData>
    <row r="1" spans="1:10" ht="17.100000000000001">
      <c r="A1" s="34" t="s">
        <v>1687</v>
      </c>
      <c r="B1" s="34"/>
      <c r="C1" s="34"/>
      <c r="D1" s="34"/>
      <c r="E1" s="34"/>
      <c r="F1" s="34"/>
      <c r="G1" s="34"/>
      <c r="H1" s="34"/>
      <c r="I1" s="34"/>
      <c r="J1" s="34"/>
    </row>
    <row r="2" spans="1:10" ht="17.100000000000001">
      <c r="A2" s="34" t="s">
        <v>1688</v>
      </c>
      <c r="B2" s="34"/>
      <c r="C2" s="34"/>
      <c r="D2" s="34"/>
      <c r="E2" s="34"/>
      <c r="F2" s="34"/>
      <c r="G2" s="34"/>
      <c r="H2" s="34"/>
      <c r="I2" s="34"/>
      <c r="J2" s="34"/>
    </row>
    <row r="3" spans="1:10" ht="17.100000000000001">
      <c r="A3" s="34" t="s">
        <v>2408</v>
      </c>
      <c r="B3" s="34"/>
      <c r="C3" s="34"/>
      <c r="D3" s="34"/>
      <c r="E3" s="34"/>
      <c r="F3" s="34"/>
      <c r="G3" s="34"/>
      <c r="H3" s="34"/>
      <c r="I3" s="34"/>
      <c r="J3" s="34"/>
    </row>
    <row r="4" spans="1:10" ht="17.100000000000001">
      <c r="A4" s="34"/>
      <c r="B4" s="34"/>
      <c r="C4" s="34"/>
      <c r="D4" s="34"/>
      <c r="E4" s="34"/>
      <c r="F4" s="34"/>
      <c r="G4" s="34"/>
      <c r="H4" s="34"/>
      <c r="I4" s="34"/>
      <c r="J4" s="34"/>
    </row>
    <row r="5" spans="1:10" ht="17.100000000000001">
      <c r="A5" s="34"/>
      <c r="B5" s="34"/>
      <c r="C5" s="34"/>
      <c r="D5" s="34"/>
      <c r="E5" s="34"/>
      <c r="F5" s="34"/>
      <c r="G5" s="34"/>
      <c r="H5" s="34"/>
      <c r="I5" s="34"/>
      <c r="J5" s="34"/>
    </row>
    <row r="6" spans="1:10" ht="17.100000000000001">
      <c r="A6" s="34" t="s">
        <v>1690</v>
      </c>
      <c r="B6" s="34"/>
      <c r="C6" s="34"/>
      <c r="D6" s="34"/>
      <c r="E6" s="34"/>
      <c r="F6" s="34"/>
      <c r="G6" s="34"/>
      <c r="H6" s="34"/>
      <c r="I6" s="34"/>
      <c r="J6" s="34"/>
    </row>
    <row r="7" spans="1:10" ht="17.100000000000001">
      <c r="A7" s="34"/>
      <c r="B7" s="34"/>
      <c r="C7" s="34"/>
      <c r="D7" s="34"/>
      <c r="E7" s="34"/>
      <c r="F7" s="34"/>
      <c r="G7" s="34"/>
      <c r="H7" s="34"/>
      <c r="I7" s="34"/>
      <c r="J7" s="34"/>
    </row>
    <row r="8" spans="1:10" ht="17.100000000000001">
      <c r="A8" s="34" t="s">
        <v>1691</v>
      </c>
      <c r="B8" s="34"/>
      <c r="C8" s="34"/>
      <c r="D8" s="34"/>
      <c r="E8" s="34"/>
      <c r="F8" s="34"/>
      <c r="G8" s="34"/>
      <c r="H8" s="34"/>
      <c r="I8" s="34"/>
      <c r="J8" s="34"/>
    </row>
    <row r="9" spans="1:10" ht="17.100000000000001">
      <c r="A9" s="34" t="s">
        <v>1692</v>
      </c>
      <c r="B9" s="34" t="s">
        <v>2409</v>
      </c>
      <c r="C9" s="34"/>
      <c r="D9" s="34"/>
      <c r="E9" s="34"/>
      <c r="F9" s="34"/>
      <c r="G9" s="34"/>
      <c r="H9" s="34"/>
      <c r="I9" s="34"/>
      <c r="J9" s="34"/>
    </row>
    <row r="10" spans="1:10" ht="17.100000000000001">
      <c r="A10" s="34"/>
      <c r="B10" s="34"/>
      <c r="C10" s="34"/>
      <c r="D10" s="34"/>
      <c r="E10" s="34"/>
      <c r="F10" s="34"/>
      <c r="G10" s="34"/>
      <c r="H10" s="34"/>
      <c r="I10" s="34"/>
      <c r="J10" s="34"/>
    </row>
    <row r="11" spans="1:10" ht="17.100000000000001">
      <c r="A11" s="34"/>
      <c r="B11" s="34"/>
      <c r="C11" s="34"/>
      <c r="D11" s="34"/>
      <c r="E11" s="34"/>
      <c r="F11" s="34"/>
      <c r="G11" s="34"/>
      <c r="H11" s="34"/>
      <c r="I11" s="34"/>
      <c r="J11" s="34"/>
    </row>
    <row r="12" spans="1:10">
      <c r="A12" t="s">
        <v>3</v>
      </c>
      <c r="B12" t="s">
        <v>4</v>
      </c>
      <c r="C12" t="s">
        <v>0</v>
      </c>
      <c r="D12" t="s">
        <v>5</v>
      </c>
      <c r="E12" t="s">
        <v>6</v>
      </c>
      <c r="F12" t="s">
        <v>7</v>
      </c>
      <c r="G12" t="s">
        <v>8</v>
      </c>
      <c r="H12" t="s">
        <v>9</v>
      </c>
      <c r="I12" t="s">
        <v>10</v>
      </c>
      <c r="J12" t="s">
        <v>1694</v>
      </c>
    </row>
    <row r="13" spans="1:10">
      <c r="A13" t="s">
        <v>14</v>
      </c>
      <c r="B13" t="s">
        <v>15</v>
      </c>
      <c r="C13" t="s">
        <v>13</v>
      </c>
      <c r="D13" t="s">
        <v>16</v>
      </c>
      <c r="G13" t="s">
        <v>17</v>
      </c>
      <c r="I13" s="1">
        <v>46196</v>
      </c>
      <c r="J13" t="s">
        <v>1698</v>
      </c>
    </row>
    <row r="14" spans="1:10">
      <c r="A14" t="s">
        <v>19</v>
      </c>
      <c r="B14" t="s">
        <v>1696</v>
      </c>
      <c r="C14" t="s">
        <v>1697</v>
      </c>
      <c r="D14" t="s">
        <v>21</v>
      </c>
      <c r="E14" t="s">
        <v>25</v>
      </c>
      <c r="G14" s="2">
        <v>46203.375</v>
      </c>
      <c r="H14" s="2">
        <v>46203.541666666664</v>
      </c>
      <c r="I14" s="1">
        <v>46195</v>
      </c>
      <c r="J14" t="s">
        <v>1698</v>
      </c>
    </row>
    <row r="15" spans="1:10">
      <c r="A15" t="s">
        <v>19</v>
      </c>
      <c r="B15" t="s">
        <v>20</v>
      </c>
      <c r="C15" t="s">
        <v>18</v>
      </c>
      <c r="D15" t="s">
        <v>21</v>
      </c>
      <c r="E15" t="s">
        <v>22</v>
      </c>
      <c r="F15">
        <v>30</v>
      </c>
      <c r="G15" s="2">
        <v>45923.375</v>
      </c>
      <c r="H15" s="2">
        <v>45923.541666666664</v>
      </c>
      <c r="I15" s="1">
        <v>46191</v>
      </c>
      <c r="J15" t="s">
        <v>1698</v>
      </c>
    </row>
    <row r="16" spans="1:10">
      <c r="A16" t="s">
        <v>19</v>
      </c>
      <c r="B16" t="s">
        <v>210</v>
      </c>
      <c r="C16" t="s">
        <v>209</v>
      </c>
      <c r="D16" t="s">
        <v>21</v>
      </c>
      <c r="E16" t="s">
        <v>22</v>
      </c>
      <c r="F16">
        <v>10</v>
      </c>
      <c r="G16" s="2">
        <v>46191.395833333336</v>
      </c>
      <c r="H16" s="2">
        <v>46191.708333333336</v>
      </c>
      <c r="I16" s="1">
        <v>46191</v>
      </c>
      <c r="J16" t="s">
        <v>1698</v>
      </c>
    </row>
    <row r="17" spans="1:10">
      <c r="A17" t="s">
        <v>19</v>
      </c>
      <c r="B17" t="s">
        <v>29</v>
      </c>
      <c r="C17" t="s">
        <v>28</v>
      </c>
      <c r="D17" t="s">
        <v>21</v>
      </c>
      <c r="E17" t="s">
        <v>22</v>
      </c>
      <c r="F17">
        <v>48</v>
      </c>
      <c r="G17" s="2">
        <v>46344.375</v>
      </c>
      <c r="H17" s="2">
        <v>46346.708333333336</v>
      </c>
      <c r="I17" s="1">
        <v>46196</v>
      </c>
      <c r="J17" t="s">
        <v>1698</v>
      </c>
    </row>
    <row r="18" spans="1:10">
      <c r="A18" t="s">
        <v>19</v>
      </c>
      <c r="B18" t="s">
        <v>35</v>
      </c>
      <c r="C18" t="s">
        <v>34</v>
      </c>
      <c r="D18" t="s">
        <v>21</v>
      </c>
      <c r="E18" t="s">
        <v>22</v>
      </c>
      <c r="F18">
        <v>65</v>
      </c>
      <c r="G18" s="2">
        <v>46027.333333333336</v>
      </c>
      <c r="H18" s="2">
        <v>46387.75</v>
      </c>
      <c r="I18" s="1">
        <v>46196</v>
      </c>
      <c r="J18" t="s">
        <v>1698</v>
      </c>
    </row>
    <row r="19" spans="1:10">
      <c r="A19" t="s">
        <v>19</v>
      </c>
      <c r="B19" t="s">
        <v>40</v>
      </c>
      <c r="C19" t="s">
        <v>39</v>
      </c>
      <c r="D19" t="s">
        <v>21</v>
      </c>
      <c r="E19" t="s">
        <v>22</v>
      </c>
      <c r="F19">
        <v>61</v>
      </c>
      <c r="G19" s="2">
        <v>46351.395833333336</v>
      </c>
      <c r="H19" s="2">
        <v>46351.708333333336</v>
      </c>
      <c r="I19" s="1">
        <v>46196</v>
      </c>
      <c r="J19" t="s">
        <v>1698</v>
      </c>
    </row>
    <row r="20" spans="1:10">
      <c r="A20" t="s">
        <v>19</v>
      </c>
      <c r="B20" t="s">
        <v>42</v>
      </c>
      <c r="C20" t="s">
        <v>41</v>
      </c>
      <c r="D20" t="s">
        <v>21</v>
      </c>
      <c r="E20" t="s">
        <v>22</v>
      </c>
      <c r="F20">
        <v>96</v>
      </c>
      <c r="G20" s="2">
        <v>46337.395833333336</v>
      </c>
      <c r="H20" s="2">
        <v>46337.520833333336</v>
      </c>
      <c r="I20" s="1">
        <v>46191</v>
      </c>
      <c r="J20" t="s">
        <v>1698</v>
      </c>
    </row>
    <row r="21" spans="1:10">
      <c r="A21" t="s">
        <v>19</v>
      </c>
      <c r="B21" t="s">
        <v>1699</v>
      </c>
      <c r="C21" t="s">
        <v>43</v>
      </c>
      <c r="D21" t="s">
        <v>21</v>
      </c>
      <c r="E21" t="s">
        <v>22</v>
      </c>
      <c r="F21">
        <v>44</v>
      </c>
      <c r="G21" s="2">
        <v>46345.395833333336</v>
      </c>
      <c r="H21" s="2">
        <v>46345.520833333336</v>
      </c>
      <c r="I21" s="1">
        <v>46185</v>
      </c>
      <c r="J21" t="s">
        <v>1698</v>
      </c>
    </row>
    <row r="22" spans="1:10">
      <c r="A22" t="s">
        <v>19</v>
      </c>
      <c r="B22" t="s">
        <v>46</v>
      </c>
      <c r="C22" t="s">
        <v>45</v>
      </c>
      <c r="D22" t="s">
        <v>21</v>
      </c>
      <c r="E22" t="s">
        <v>22</v>
      </c>
      <c r="F22">
        <v>39</v>
      </c>
      <c r="G22" s="2">
        <v>46346.395833333336</v>
      </c>
      <c r="H22" s="2">
        <v>46346.520833333336</v>
      </c>
      <c r="I22" s="1">
        <v>46191</v>
      </c>
      <c r="J22" t="s">
        <v>1698</v>
      </c>
    </row>
    <row r="23" spans="1:10">
      <c r="A23" t="s">
        <v>19</v>
      </c>
      <c r="B23" t="s">
        <v>48</v>
      </c>
      <c r="C23" t="s">
        <v>47</v>
      </c>
      <c r="D23" t="s">
        <v>21</v>
      </c>
      <c r="E23" t="s">
        <v>22</v>
      </c>
      <c r="F23">
        <v>32</v>
      </c>
      <c r="G23" s="2">
        <v>46357.395833333336</v>
      </c>
      <c r="H23" s="2">
        <v>46357.520833333336</v>
      </c>
      <c r="I23" s="1">
        <v>46188</v>
      </c>
      <c r="J23" t="s">
        <v>1698</v>
      </c>
    </row>
    <row r="24" spans="1:10">
      <c r="A24" t="s">
        <v>19</v>
      </c>
      <c r="B24" t="s">
        <v>52</v>
      </c>
      <c r="C24" t="s">
        <v>2410</v>
      </c>
      <c r="D24" t="s">
        <v>16</v>
      </c>
      <c r="G24" s="2">
        <v>46175.395833333336</v>
      </c>
      <c r="H24" s="2">
        <v>46175.520833333336</v>
      </c>
      <c r="I24" s="1">
        <v>46171</v>
      </c>
      <c r="J24" t="s">
        <v>1698</v>
      </c>
    </row>
    <row r="25" spans="1:10">
      <c r="A25" t="s">
        <v>19</v>
      </c>
      <c r="B25" t="s">
        <v>1700</v>
      </c>
      <c r="C25" t="s">
        <v>1701</v>
      </c>
      <c r="D25" t="s">
        <v>38</v>
      </c>
      <c r="I25" s="1">
        <v>46195</v>
      </c>
    </row>
    <row r="26" spans="1:10">
      <c r="A26" t="s">
        <v>54</v>
      </c>
      <c r="B26" t="s">
        <v>63</v>
      </c>
      <c r="C26" t="s">
        <v>1052</v>
      </c>
      <c r="D26" t="s">
        <v>16</v>
      </c>
      <c r="G26" t="s">
        <v>17</v>
      </c>
      <c r="I26" s="1">
        <v>46197</v>
      </c>
      <c r="J26" t="s">
        <v>1698</v>
      </c>
    </row>
    <row r="27" spans="1:10">
      <c r="A27" t="s">
        <v>54</v>
      </c>
      <c r="B27" t="s">
        <v>1053</v>
      </c>
      <c r="C27" t="s">
        <v>1054</v>
      </c>
      <c r="D27" t="s">
        <v>21</v>
      </c>
      <c r="E27" t="s">
        <v>25</v>
      </c>
      <c r="G27" s="2">
        <v>46072.333333333336</v>
      </c>
      <c r="H27" s="2">
        <v>47168.333333333336</v>
      </c>
      <c r="I27" t="s">
        <v>198</v>
      </c>
      <c r="J27" t="s">
        <v>1698</v>
      </c>
    </row>
    <row r="28" spans="1:10">
      <c r="A28" t="s">
        <v>54</v>
      </c>
      <c r="B28" t="s">
        <v>65</v>
      </c>
      <c r="C28" t="s">
        <v>1056</v>
      </c>
      <c r="D28" t="s">
        <v>21</v>
      </c>
      <c r="E28" t="s">
        <v>25</v>
      </c>
      <c r="G28" s="2">
        <v>46072.333333333336</v>
      </c>
      <c r="H28" s="2">
        <v>47168.333333333336</v>
      </c>
      <c r="I28" t="s">
        <v>198</v>
      </c>
      <c r="J28" t="s">
        <v>1698</v>
      </c>
    </row>
    <row r="29" spans="1:10">
      <c r="A29" t="s">
        <v>54</v>
      </c>
      <c r="B29" t="s">
        <v>1057</v>
      </c>
      <c r="C29" t="s">
        <v>60</v>
      </c>
      <c r="D29" t="s">
        <v>21</v>
      </c>
      <c r="E29" t="s">
        <v>22</v>
      </c>
      <c r="F29">
        <v>18</v>
      </c>
      <c r="G29" s="2">
        <v>46280.427083333336</v>
      </c>
      <c r="H29" s="2">
        <v>46280.479166666664</v>
      </c>
      <c r="I29" s="1">
        <v>46189</v>
      </c>
      <c r="J29" t="s">
        <v>1698</v>
      </c>
    </row>
    <row r="30" spans="1:10">
      <c r="A30" t="s">
        <v>54</v>
      </c>
      <c r="B30" t="s">
        <v>1058</v>
      </c>
      <c r="C30" t="s">
        <v>56</v>
      </c>
      <c r="D30" t="s">
        <v>21</v>
      </c>
      <c r="E30" t="s">
        <v>22</v>
      </c>
      <c r="F30">
        <v>33</v>
      </c>
      <c r="I30" s="1">
        <v>46177</v>
      </c>
      <c r="J30" t="s">
        <v>1698</v>
      </c>
    </row>
    <row r="31" spans="1:10">
      <c r="A31" t="s">
        <v>54</v>
      </c>
      <c r="B31" t="s">
        <v>1702</v>
      </c>
      <c r="C31" t="s">
        <v>53</v>
      </c>
      <c r="D31" t="s">
        <v>21</v>
      </c>
      <c r="E31" t="s">
        <v>22</v>
      </c>
      <c r="F31">
        <v>22</v>
      </c>
      <c r="G31" s="2">
        <v>46273.4375</v>
      </c>
      <c r="H31" s="2">
        <v>46273.479166666664</v>
      </c>
      <c r="I31" s="1">
        <v>46189</v>
      </c>
      <c r="J31" t="s">
        <v>1698</v>
      </c>
    </row>
    <row r="32" spans="1:10">
      <c r="A32" t="s">
        <v>54</v>
      </c>
      <c r="B32" t="s">
        <v>68</v>
      </c>
      <c r="C32" t="s">
        <v>1059</v>
      </c>
      <c r="D32" t="s">
        <v>21</v>
      </c>
      <c r="E32" t="s">
        <v>25</v>
      </c>
      <c r="G32" s="2">
        <v>46072.333333333336</v>
      </c>
      <c r="H32" s="2">
        <v>47177.333333333336</v>
      </c>
      <c r="I32" t="s">
        <v>198</v>
      </c>
      <c r="J32" t="s">
        <v>1698</v>
      </c>
    </row>
    <row r="33" spans="1:10">
      <c r="A33" t="s">
        <v>72</v>
      </c>
      <c r="B33" t="s">
        <v>73</v>
      </c>
      <c r="C33" t="s">
        <v>71</v>
      </c>
      <c r="D33" t="s">
        <v>21</v>
      </c>
      <c r="E33" t="s">
        <v>22</v>
      </c>
      <c r="F33">
        <v>28</v>
      </c>
      <c r="G33" s="2">
        <v>46023.333333333336</v>
      </c>
      <c r="H33" s="2">
        <v>46387.75</v>
      </c>
      <c r="I33" s="1">
        <v>46189</v>
      </c>
      <c r="J33" t="s">
        <v>1698</v>
      </c>
    </row>
    <row r="34" spans="1:10">
      <c r="A34" t="s">
        <v>72</v>
      </c>
      <c r="B34" t="s">
        <v>35</v>
      </c>
      <c r="C34" t="s">
        <v>34</v>
      </c>
      <c r="D34" t="s">
        <v>21</v>
      </c>
      <c r="E34" t="s">
        <v>22</v>
      </c>
      <c r="F34">
        <v>65</v>
      </c>
      <c r="G34" s="2">
        <v>46027.333333333336</v>
      </c>
      <c r="H34" s="2">
        <v>46387.75</v>
      </c>
      <c r="I34" s="1">
        <v>46196</v>
      </c>
      <c r="J34" t="s">
        <v>1698</v>
      </c>
    </row>
    <row r="35" spans="1:10">
      <c r="A35" t="s">
        <v>74</v>
      </c>
      <c r="B35" t="s">
        <v>75</v>
      </c>
      <c r="D35" t="s">
        <v>76</v>
      </c>
    </row>
    <row r="36" spans="1:10">
      <c r="A36" t="s">
        <v>1703</v>
      </c>
      <c r="B36" t="s">
        <v>1704</v>
      </c>
      <c r="C36" t="s">
        <v>1705</v>
      </c>
      <c r="D36" t="s">
        <v>38</v>
      </c>
      <c r="I36" s="1">
        <v>46184</v>
      </c>
    </row>
    <row r="37" spans="1:10">
      <c r="A37" t="s">
        <v>1703</v>
      </c>
      <c r="B37" t="s">
        <v>1706</v>
      </c>
      <c r="C37" t="s">
        <v>1707</v>
      </c>
      <c r="D37" t="s">
        <v>38</v>
      </c>
    </row>
    <row r="38" spans="1:10">
      <c r="A38" t="s">
        <v>1703</v>
      </c>
      <c r="B38" t="s">
        <v>1708</v>
      </c>
      <c r="C38" t="s">
        <v>1709</v>
      </c>
      <c r="D38" t="s">
        <v>38</v>
      </c>
      <c r="I38" s="1">
        <v>46130</v>
      </c>
    </row>
    <row r="39" spans="1:10">
      <c r="A39" t="s">
        <v>1703</v>
      </c>
      <c r="B39" t="s">
        <v>1710</v>
      </c>
      <c r="C39" t="s">
        <v>1711</v>
      </c>
      <c r="D39" t="s">
        <v>38</v>
      </c>
      <c r="I39" s="1">
        <v>46162</v>
      </c>
    </row>
    <row r="40" spans="1:10">
      <c r="A40" t="s">
        <v>1703</v>
      </c>
      <c r="B40" t="s">
        <v>1712</v>
      </c>
      <c r="C40" t="s">
        <v>1713</v>
      </c>
      <c r="D40" t="s">
        <v>38</v>
      </c>
      <c r="I40" s="1">
        <v>46195</v>
      </c>
    </row>
    <row r="41" spans="1:10">
      <c r="A41" t="s">
        <v>1062</v>
      </c>
      <c r="B41" t="s">
        <v>82</v>
      </c>
      <c r="C41" t="s">
        <v>80</v>
      </c>
      <c r="D41" t="s">
        <v>38</v>
      </c>
      <c r="I41" s="1">
        <v>46148</v>
      </c>
    </row>
    <row r="42" spans="1:10">
      <c r="A42" t="s">
        <v>1062</v>
      </c>
      <c r="B42" t="s">
        <v>84</v>
      </c>
      <c r="C42" t="s">
        <v>83</v>
      </c>
      <c r="D42" t="s">
        <v>38</v>
      </c>
      <c r="I42" s="1">
        <v>46154</v>
      </c>
    </row>
    <row r="43" spans="1:10">
      <c r="A43" t="s">
        <v>1062</v>
      </c>
      <c r="B43" t="s">
        <v>86</v>
      </c>
      <c r="C43" t="s">
        <v>85</v>
      </c>
      <c r="D43" t="s">
        <v>38</v>
      </c>
      <c r="I43" s="1">
        <v>45688</v>
      </c>
    </row>
    <row r="44" spans="1:10">
      <c r="A44" t="s">
        <v>1062</v>
      </c>
      <c r="B44" t="s">
        <v>88</v>
      </c>
      <c r="C44" t="s">
        <v>87</v>
      </c>
      <c r="D44" t="s">
        <v>38</v>
      </c>
      <c r="I44" s="1">
        <v>46107</v>
      </c>
    </row>
    <row r="45" spans="1:10">
      <c r="A45" t="s">
        <v>1062</v>
      </c>
      <c r="B45" t="s">
        <v>90</v>
      </c>
      <c r="C45" t="s">
        <v>89</v>
      </c>
      <c r="D45" t="s">
        <v>38</v>
      </c>
      <c r="I45" s="1">
        <v>46184</v>
      </c>
    </row>
    <row r="46" spans="1:10">
      <c r="A46" t="s">
        <v>1062</v>
      </c>
      <c r="B46" t="s">
        <v>92</v>
      </c>
      <c r="C46" t="s">
        <v>91</v>
      </c>
      <c r="D46" t="s">
        <v>38</v>
      </c>
      <c r="I46" s="1">
        <v>46169</v>
      </c>
    </row>
    <row r="47" spans="1:10">
      <c r="A47" t="s">
        <v>1062</v>
      </c>
      <c r="B47" t="s">
        <v>94</v>
      </c>
      <c r="C47" t="s">
        <v>93</v>
      </c>
      <c r="D47" t="s">
        <v>38</v>
      </c>
      <c r="I47" s="1">
        <v>46079</v>
      </c>
    </row>
    <row r="48" spans="1:10">
      <c r="A48" t="s">
        <v>1062</v>
      </c>
      <c r="B48" t="s">
        <v>96</v>
      </c>
      <c r="C48" t="s">
        <v>95</v>
      </c>
      <c r="D48" t="s">
        <v>38</v>
      </c>
      <c r="I48" s="1">
        <v>46129</v>
      </c>
    </row>
    <row r="49" spans="1:9">
      <c r="A49" t="s">
        <v>1062</v>
      </c>
      <c r="B49" t="s">
        <v>98</v>
      </c>
      <c r="C49" t="s">
        <v>97</v>
      </c>
      <c r="D49" t="s">
        <v>38</v>
      </c>
      <c r="I49" s="1">
        <v>46108</v>
      </c>
    </row>
    <row r="50" spans="1:9">
      <c r="A50" t="s">
        <v>1063</v>
      </c>
      <c r="B50" t="s">
        <v>101</v>
      </c>
      <c r="C50" t="s">
        <v>99</v>
      </c>
      <c r="D50" t="s">
        <v>38</v>
      </c>
      <c r="I50" s="1">
        <v>45569</v>
      </c>
    </row>
    <row r="51" spans="1:9">
      <c r="A51" t="s">
        <v>1063</v>
      </c>
      <c r="B51" t="s">
        <v>103</v>
      </c>
      <c r="C51" t="s">
        <v>102</v>
      </c>
      <c r="D51" t="s">
        <v>38</v>
      </c>
      <c r="I51" s="1">
        <v>45512</v>
      </c>
    </row>
    <row r="52" spans="1:9">
      <c r="A52" t="s">
        <v>1063</v>
      </c>
      <c r="B52" t="s">
        <v>105</v>
      </c>
      <c r="C52" t="s">
        <v>104</v>
      </c>
      <c r="D52" t="s">
        <v>38</v>
      </c>
      <c r="I52" s="1">
        <v>45964</v>
      </c>
    </row>
    <row r="53" spans="1:9">
      <c r="A53" t="s">
        <v>1064</v>
      </c>
      <c r="B53" t="s">
        <v>1065</v>
      </c>
      <c r="C53" t="s">
        <v>1066</v>
      </c>
      <c r="D53" t="s">
        <v>38</v>
      </c>
      <c r="I53" s="1">
        <v>46153</v>
      </c>
    </row>
    <row r="54" spans="1:9">
      <c r="A54" t="s">
        <v>1064</v>
      </c>
      <c r="B54" t="s">
        <v>1067</v>
      </c>
      <c r="C54" t="s">
        <v>1068</v>
      </c>
      <c r="D54" t="s">
        <v>38</v>
      </c>
      <c r="I54" s="1">
        <v>46149</v>
      </c>
    </row>
    <row r="55" spans="1:9">
      <c r="A55" t="s">
        <v>1064</v>
      </c>
      <c r="B55" t="s">
        <v>1071</v>
      </c>
      <c r="C55" t="s">
        <v>1072</v>
      </c>
      <c r="D55" t="s">
        <v>38</v>
      </c>
      <c r="I55" s="1">
        <v>46154</v>
      </c>
    </row>
    <row r="56" spans="1:9">
      <c r="A56" t="s">
        <v>1064</v>
      </c>
      <c r="B56" t="s">
        <v>1069</v>
      </c>
      <c r="C56" t="s">
        <v>1070</v>
      </c>
      <c r="D56" t="s">
        <v>38</v>
      </c>
      <c r="I56" s="1">
        <v>46191</v>
      </c>
    </row>
    <row r="57" spans="1:9">
      <c r="A57" t="s">
        <v>1064</v>
      </c>
      <c r="B57" t="s">
        <v>1073</v>
      </c>
      <c r="C57" t="s">
        <v>1074</v>
      </c>
      <c r="D57" t="s">
        <v>38</v>
      </c>
      <c r="I57" s="1">
        <v>46195</v>
      </c>
    </row>
    <row r="58" spans="1:9">
      <c r="A58" t="s">
        <v>1064</v>
      </c>
      <c r="B58" t="s">
        <v>1075</v>
      </c>
      <c r="C58" t="s">
        <v>1076</v>
      </c>
      <c r="D58" t="s">
        <v>38</v>
      </c>
      <c r="I58" s="1">
        <v>46154</v>
      </c>
    </row>
    <row r="59" spans="1:9">
      <c r="A59" t="s">
        <v>1064</v>
      </c>
      <c r="B59" t="s">
        <v>79</v>
      </c>
      <c r="C59" t="s">
        <v>77</v>
      </c>
      <c r="D59" t="s">
        <v>38</v>
      </c>
      <c r="I59" s="1">
        <v>46192</v>
      </c>
    </row>
    <row r="60" spans="1:9">
      <c r="A60" t="s">
        <v>1064</v>
      </c>
      <c r="B60" t="s">
        <v>1077</v>
      </c>
      <c r="C60" t="s">
        <v>1078</v>
      </c>
      <c r="D60" t="s">
        <v>38</v>
      </c>
      <c r="I60" s="1">
        <v>46177</v>
      </c>
    </row>
    <row r="61" spans="1:9">
      <c r="A61" t="s">
        <v>1064</v>
      </c>
      <c r="B61" t="s">
        <v>1079</v>
      </c>
      <c r="C61" t="s">
        <v>1080</v>
      </c>
      <c r="D61" t="s">
        <v>38</v>
      </c>
      <c r="I61" s="1">
        <v>46185</v>
      </c>
    </row>
    <row r="62" spans="1:9">
      <c r="A62" t="s">
        <v>129</v>
      </c>
      <c r="B62" t="s">
        <v>130</v>
      </c>
      <c r="C62" t="s">
        <v>128</v>
      </c>
      <c r="D62" t="s">
        <v>38</v>
      </c>
      <c r="I62" s="1">
        <v>46126</v>
      </c>
    </row>
    <row r="63" spans="1:9">
      <c r="A63" t="s">
        <v>129</v>
      </c>
      <c r="B63" t="s">
        <v>132</v>
      </c>
      <c r="C63" t="s">
        <v>131</v>
      </c>
      <c r="D63" t="s">
        <v>38</v>
      </c>
      <c r="I63" s="1">
        <v>46132</v>
      </c>
    </row>
    <row r="64" spans="1:9">
      <c r="A64" t="s">
        <v>129</v>
      </c>
      <c r="B64" t="s">
        <v>134</v>
      </c>
      <c r="C64" t="s">
        <v>133</v>
      </c>
      <c r="D64" t="s">
        <v>38</v>
      </c>
      <c r="I64" s="1">
        <v>45894</v>
      </c>
    </row>
    <row r="65" spans="1:9">
      <c r="A65" t="s">
        <v>129</v>
      </c>
      <c r="B65" t="s">
        <v>136</v>
      </c>
      <c r="C65" t="s">
        <v>135</v>
      </c>
      <c r="D65" t="s">
        <v>38</v>
      </c>
      <c r="I65" s="1">
        <v>45894</v>
      </c>
    </row>
    <row r="66" spans="1:9">
      <c r="A66" t="s">
        <v>129</v>
      </c>
      <c r="B66" t="s">
        <v>138</v>
      </c>
      <c r="C66" t="s">
        <v>137</v>
      </c>
      <c r="D66" t="s">
        <v>38</v>
      </c>
      <c r="I66" s="1">
        <v>45894</v>
      </c>
    </row>
    <row r="67" spans="1:9">
      <c r="A67" t="s">
        <v>140</v>
      </c>
      <c r="B67" t="s">
        <v>141</v>
      </c>
      <c r="C67" t="s">
        <v>139</v>
      </c>
      <c r="D67" t="s">
        <v>38</v>
      </c>
      <c r="I67" s="1">
        <v>46127</v>
      </c>
    </row>
    <row r="68" spans="1:9">
      <c r="A68" t="s">
        <v>140</v>
      </c>
      <c r="B68" t="s">
        <v>143</v>
      </c>
      <c r="C68" t="s">
        <v>142</v>
      </c>
      <c r="D68" t="s">
        <v>38</v>
      </c>
      <c r="I68" s="1">
        <v>46171</v>
      </c>
    </row>
    <row r="69" spans="1:9">
      <c r="A69" t="s">
        <v>140</v>
      </c>
      <c r="B69" t="s">
        <v>145</v>
      </c>
      <c r="C69" t="s">
        <v>144</v>
      </c>
      <c r="D69" t="s">
        <v>38</v>
      </c>
      <c r="I69" s="1">
        <v>46171</v>
      </c>
    </row>
    <row r="70" spans="1:9">
      <c r="A70" t="s">
        <v>140</v>
      </c>
      <c r="B70" t="s">
        <v>147</v>
      </c>
      <c r="C70" t="s">
        <v>146</v>
      </c>
      <c r="D70" t="s">
        <v>38</v>
      </c>
      <c r="I70" s="1">
        <v>45915</v>
      </c>
    </row>
    <row r="71" spans="1:9">
      <c r="A71" t="s">
        <v>149</v>
      </c>
      <c r="B71" t="s">
        <v>150</v>
      </c>
      <c r="C71" t="s">
        <v>148</v>
      </c>
      <c r="D71" t="s">
        <v>38</v>
      </c>
      <c r="I71" s="1">
        <v>46182</v>
      </c>
    </row>
    <row r="72" spans="1:9">
      <c r="A72" t="s">
        <v>149</v>
      </c>
      <c r="B72" t="s">
        <v>152</v>
      </c>
      <c r="C72" t="s">
        <v>151</v>
      </c>
      <c r="D72" t="s">
        <v>38</v>
      </c>
      <c r="I72" s="1">
        <v>46139</v>
      </c>
    </row>
    <row r="73" spans="1:9">
      <c r="A73" t="s">
        <v>149</v>
      </c>
      <c r="B73" t="s">
        <v>154</v>
      </c>
      <c r="C73" t="s">
        <v>153</v>
      </c>
      <c r="D73" t="s">
        <v>38</v>
      </c>
      <c r="I73" s="1">
        <v>46190</v>
      </c>
    </row>
    <row r="74" spans="1:9">
      <c r="A74" t="s">
        <v>149</v>
      </c>
      <c r="B74" t="s">
        <v>156</v>
      </c>
      <c r="C74" t="s">
        <v>155</v>
      </c>
      <c r="D74" t="s">
        <v>38</v>
      </c>
      <c r="I74" s="1">
        <v>46056</v>
      </c>
    </row>
    <row r="75" spans="1:9">
      <c r="A75" t="s">
        <v>149</v>
      </c>
      <c r="B75" t="s">
        <v>158</v>
      </c>
      <c r="C75" t="s">
        <v>157</v>
      </c>
      <c r="D75" t="s">
        <v>38</v>
      </c>
      <c r="I75" s="1">
        <v>46185</v>
      </c>
    </row>
    <row r="76" spans="1:9">
      <c r="A76" t="s">
        <v>149</v>
      </c>
      <c r="B76" t="s">
        <v>160</v>
      </c>
      <c r="C76" t="s">
        <v>159</v>
      </c>
      <c r="D76" t="s">
        <v>38</v>
      </c>
      <c r="I76" s="1">
        <v>45771</v>
      </c>
    </row>
    <row r="77" spans="1:9">
      <c r="A77" t="s">
        <v>162</v>
      </c>
      <c r="B77" t="s">
        <v>163</v>
      </c>
      <c r="C77" t="s">
        <v>161</v>
      </c>
      <c r="D77" t="s">
        <v>38</v>
      </c>
      <c r="I77" s="1">
        <v>46196</v>
      </c>
    </row>
    <row r="78" spans="1:9">
      <c r="A78" t="s">
        <v>162</v>
      </c>
      <c r="B78" t="s">
        <v>165</v>
      </c>
      <c r="C78" t="s">
        <v>164</v>
      </c>
      <c r="D78" t="s">
        <v>38</v>
      </c>
      <c r="I78" s="1">
        <v>46185</v>
      </c>
    </row>
    <row r="79" spans="1:9">
      <c r="A79" t="s">
        <v>162</v>
      </c>
      <c r="B79" t="s">
        <v>167</v>
      </c>
      <c r="C79" t="s">
        <v>166</v>
      </c>
      <c r="D79" t="s">
        <v>38</v>
      </c>
      <c r="I79" s="1">
        <v>46157</v>
      </c>
    </row>
    <row r="80" spans="1:9">
      <c r="A80" t="s">
        <v>162</v>
      </c>
      <c r="B80" t="s">
        <v>169</v>
      </c>
      <c r="C80" t="s">
        <v>168</v>
      </c>
      <c r="D80" t="s">
        <v>38</v>
      </c>
      <c r="I80" s="1">
        <v>46092</v>
      </c>
    </row>
    <row r="81" spans="1:10">
      <c r="A81" t="s">
        <v>162</v>
      </c>
      <c r="B81" t="s">
        <v>171</v>
      </c>
      <c r="C81" t="s">
        <v>170</v>
      </c>
      <c r="D81" t="s">
        <v>38</v>
      </c>
      <c r="I81" s="1">
        <v>46142</v>
      </c>
    </row>
    <row r="82" spans="1:10">
      <c r="A82" t="s">
        <v>173</v>
      </c>
      <c r="B82" t="s">
        <v>174</v>
      </c>
      <c r="C82" t="s">
        <v>172</v>
      </c>
      <c r="D82" t="s">
        <v>38</v>
      </c>
      <c r="I82" s="1">
        <v>46092</v>
      </c>
    </row>
    <row r="83" spans="1:10">
      <c r="A83" t="s">
        <v>173</v>
      </c>
      <c r="B83" t="s">
        <v>176</v>
      </c>
      <c r="C83" t="s">
        <v>175</v>
      </c>
      <c r="D83" t="s">
        <v>38</v>
      </c>
      <c r="I83" s="1">
        <v>46098</v>
      </c>
    </row>
    <row r="84" spans="1:10">
      <c r="A84" t="s">
        <v>173</v>
      </c>
      <c r="B84" t="s">
        <v>178</v>
      </c>
      <c r="C84" t="s">
        <v>177</v>
      </c>
      <c r="D84" t="s">
        <v>38</v>
      </c>
      <c r="I84" s="1">
        <v>46174</v>
      </c>
    </row>
    <row r="85" spans="1:10">
      <c r="A85" t="s">
        <v>173</v>
      </c>
      <c r="B85" t="s">
        <v>180</v>
      </c>
      <c r="C85" t="s">
        <v>179</v>
      </c>
      <c r="D85" t="s">
        <v>38</v>
      </c>
      <c r="I85" s="1">
        <v>46057</v>
      </c>
    </row>
    <row r="86" spans="1:10">
      <c r="A86" t="s">
        <v>173</v>
      </c>
      <c r="B86" t="s">
        <v>182</v>
      </c>
      <c r="C86" t="s">
        <v>181</v>
      </c>
      <c r="D86" t="s">
        <v>38</v>
      </c>
      <c r="I86" s="1">
        <v>45985</v>
      </c>
    </row>
    <row r="87" spans="1:10">
      <c r="A87" t="s">
        <v>173</v>
      </c>
      <c r="B87" t="s">
        <v>184</v>
      </c>
      <c r="C87" t="s">
        <v>183</v>
      </c>
      <c r="D87" t="s">
        <v>38</v>
      </c>
      <c r="I87" s="1">
        <v>46175</v>
      </c>
    </row>
    <row r="88" spans="1:10">
      <c r="A88" t="s">
        <v>173</v>
      </c>
      <c r="B88" t="s">
        <v>186</v>
      </c>
      <c r="C88" t="s">
        <v>185</v>
      </c>
      <c r="D88" t="s">
        <v>38</v>
      </c>
      <c r="I88" s="1">
        <v>46066</v>
      </c>
    </row>
    <row r="89" spans="1:10">
      <c r="A89" t="s">
        <v>173</v>
      </c>
      <c r="B89" t="s">
        <v>188</v>
      </c>
      <c r="C89" t="s">
        <v>187</v>
      </c>
      <c r="D89" t="s">
        <v>38</v>
      </c>
      <c r="I89" s="1">
        <v>45839</v>
      </c>
    </row>
    <row r="90" spans="1:10">
      <c r="A90" t="s">
        <v>190</v>
      </c>
      <c r="B90" t="s">
        <v>1714</v>
      </c>
      <c r="C90" t="s">
        <v>189</v>
      </c>
      <c r="D90" t="s">
        <v>21</v>
      </c>
      <c r="E90" t="s">
        <v>22</v>
      </c>
      <c r="F90">
        <v>47</v>
      </c>
      <c r="G90" s="2">
        <v>46357.375</v>
      </c>
      <c r="H90" s="2">
        <v>46357.541666666664</v>
      </c>
      <c r="I90" s="1">
        <v>46195</v>
      </c>
      <c r="J90" t="s">
        <v>1698</v>
      </c>
    </row>
    <row r="91" spans="1:10">
      <c r="A91" t="s">
        <v>190</v>
      </c>
      <c r="B91" t="s">
        <v>1081</v>
      </c>
      <c r="C91" t="s">
        <v>1082</v>
      </c>
      <c r="D91" t="s">
        <v>21</v>
      </c>
      <c r="E91" t="s">
        <v>22</v>
      </c>
      <c r="F91">
        <v>12</v>
      </c>
      <c r="G91" s="2">
        <v>46310.375</v>
      </c>
      <c r="H91" s="2">
        <v>46310.520833333336</v>
      </c>
      <c r="I91" s="1">
        <v>46196</v>
      </c>
      <c r="J91" t="s">
        <v>1698</v>
      </c>
    </row>
    <row r="92" spans="1:10">
      <c r="A92" t="s">
        <v>190</v>
      </c>
      <c r="B92" t="s">
        <v>195</v>
      </c>
      <c r="C92" t="s">
        <v>194</v>
      </c>
      <c r="D92" t="s">
        <v>21</v>
      </c>
      <c r="E92" t="s">
        <v>25</v>
      </c>
      <c r="G92" s="2">
        <v>45667.333333333336</v>
      </c>
      <c r="H92" s="2">
        <v>47312.333333333336</v>
      </c>
      <c r="I92" s="1">
        <v>46052</v>
      </c>
      <c r="J92" t="s">
        <v>1698</v>
      </c>
    </row>
    <row r="93" spans="1:10">
      <c r="A93" t="s">
        <v>190</v>
      </c>
      <c r="B93" t="s">
        <v>197</v>
      </c>
      <c r="C93" t="s">
        <v>196</v>
      </c>
      <c r="D93" t="s">
        <v>21</v>
      </c>
      <c r="E93" t="s">
        <v>25</v>
      </c>
      <c r="G93" s="2">
        <v>45686.333333333336</v>
      </c>
      <c r="H93" s="2">
        <v>47330.333333333336</v>
      </c>
      <c r="I93" t="s">
        <v>198</v>
      </c>
      <c r="J93" t="s">
        <v>1698</v>
      </c>
    </row>
    <row r="94" spans="1:10">
      <c r="A94" t="s">
        <v>190</v>
      </c>
      <c r="B94" t="s">
        <v>1715</v>
      </c>
      <c r="C94" t="s">
        <v>1716</v>
      </c>
      <c r="D94" t="s">
        <v>21</v>
      </c>
      <c r="E94" t="s">
        <v>22</v>
      </c>
      <c r="F94">
        <v>0</v>
      </c>
      <c r="G94" s="2">
        <v>46150.416666666664</v>
      </c>
      <c r="H94" s="2">
        <v>46150.520833333336</v>
      </c>
      <c r="I94" s="1">
        <v>46153</v>
      </c>
      <c r="J94" t="s">
        <v>1698</v>
      </c>
    </row>
    <row r="95" spans="1:10">
      <c r="A95" t="s">
        <v>190</v>
      </c>
      <c r="B95" t="s">
        <v>204</v>
      </c>
      <c r="C95" t="s">
        <v>1083</v>
      </c>
      <c r="D95" t="s">
        <v>21</v>
      </c>
      <c r="E95" t="s">
        <v>22</v>
      </c>
      <c r="F95">
        <v>89</v>
      </c>
      <c r="G95" s="2">
        <v>45805.395833333336</v>
      </c>
      <c r="H95" s="2">
        <v>45805.729166666664</v>
      </c>
      <c r="I95" s="1">
        <v>46196</v>
      </c>
      <c r="J95" t="s">
        <v>1698</v>
      </c>
    </row>
    <row r="96" spans="1:10">
      <c r="A96" t="s">
        <v>190</v>
      </c>
      <c r="B96" t="s">
        <v>1085</v>
      </c>
      <c r="C96" t="s">
        <v>1086</v>
      </c>
      <c r="D96" t="s">
        <v>21</v>
      </c>
      <c r="E96" t="s">
        <v>22</v>
      </c>
      <c r="F96">
        <v>7</v>
      </c>
      <c r="G96" s="2">
        <v>46295.583333333336</v>
      </c>
      <c r="H96" s="2">
        <v>46295.729166666664</v>
      </c>
      <c r="I96" s="1">
        <v>46190</v>
      </c>
      <c r="J96" t="s">
        <v>1698</v>
      </c>
    </row>
    <row r="97" spans="1:10">
      <c r="A97" t="s">
        <v>190</v>
      </c>
      <c r="B97" t="s">
        <v>1298</v>
      </c>
      <c r="C97" t="s">
        <v>215</v>
      </c>
      <c r="D97" t="s">
        <v>21</v>
      </c>
      <c r="E97" t="s">
        <v>25</v>
      </c>
      <c r="G97" s="2">
        <v>45729.333333333336</v>
      </c>
      <c r="H97" s="2">
        <v>47330.333333333336</v>
      </c>
      <c r="I97" t="s">
        <v>198</v>
      </c>
      <c r="J97" t="s">
        <v>1698</v>
      </c>
    </row>
    <row r="98" spans="1:10">
      <c r="A98" t="s">
        <v>190</v>
      </c>
      <c r="B98" t="s">
        <v>218</v>
      </c>
      <c r="C98" t="s">
        <v>217</v>
      </c>
      <c r="D98" t="s">
        <v>21</v>
      </c>
      <c r="E98" t="s">
        <v>22</v>
      </c>
      <c r="F98">
        <v>24</v>
      </c>
      <c r="G98" s="2">
        <v>46175.625</v>
      </c>
      <c r="H98" s="2">
        <v>46175.65625</v>
      </c>
      <c r="I98" s="1">
        <v>46185</v>
      </c>
      <c r="J98" t="s">
        <v>1698</v>
      </c>
    </row>
    <row r="99" spans="1:10">
      <c r="A99" t="s">
        <v>190</v>
      </c>
      <c r="B99" t="s">
        <v>1088</v>
      </c>
      <c r="C99" t="s">
        <v>237</v>
      </c>
      <c r="D99" t="s">
        <v>21</v>
      </c>
      <c r="E99" t="s">
        <v>22</v>
      </c>
      <c r="F99">
        <v>5</v>
      </c>
      <c r="G99" s="2">
        <v>46223.395833333336</v>
      </c>
      <c r="H99" s="2">
        <v>46223.479166666664</v>
      </c>
      <c r="I99" s="1">
        <v>46189</v>
      </c>
      <c r="J99" t="s">
        <v>1698</v>
      </c>
    </row>
    <row r="100" spans="1:10">
      <c r="A100" t="s">
        <v>190</v>
      </c>
      <c r="B100" t="s">
        <v>33</v>
      </c>
      <c r="C100" t="s">
        <v>1717</v>
      </c>
      <c r="D100" t="s">
        <v>21</v>
      </c>
      <c r="E100" t="s">
        <v>25</v>
      </c>
      <c r="G100" s="2">
        <v>45489.333333333336</v>
      </c>
      <c r="H100" s="2">
        <v>47325.333333333336</v>
      </c>
      <c r="I100" t="s">
        <v>198</v>
      </c>
      <c r="J100" t="s">
        <v>1698</v>
      </c>
    </row>
    <row r="101" spans="1:10">
      <c r="A101" t="s">
        <v>190</v>
      </c>
      <c r="B101" t="s">
        <v>228</v>
      </c>
      <c r="C101" t="s">
        <v>227</v>
      </c>
      <c r="D101" t="s">
        <v>21</v>
      </c>
      <c r="E101" t="s">
        <v>22</v>
      </c>
      <c r="F101">
        <v>23</v>
      </c>
      <c r="G101" s="2">
        <v>46335.5625</v>
      </c>
      <c r="H101" s="2">
        <v>46335.708333333336</v>
      </c>
      <c r="I101" s="1">
        <v>46196</v>
      </c>
      <c r="J101" t="s">
        <v>1698</v>
      </c>
    </row>
    <row r="102" spans="1:10">
      <c r="A102" t="s">
        <v>190</v>
      </c>
      <c r="B102" t="s">
        <v>232</v>
      </c>
      <c r="C102" t="s">
        <v>231</v>
      </c>
      <c r="D102" t="s">
        <v>38</v>
      </c>
      <c r="I102" s="1">
        <v>46190</v>
      </c>
    </row>
    <row r="103" spans="1:10">
      <c r="A103" t="s">
        <v>190</v>
      </c>
      <c r="B103" t="s">
        <v>236</v>
      </c>
      <c r="C103" t="s">
        <v>235</v>
      </c>
      <c r="D103" t="s">
        <v>21</v>
      </c>
      <c r="E103" t="s">
        <v>25</v>
      </c>
      <c r="G103" s="2">
        <v>45729.333333333336</v>
      </c>
      <c r="H103" s="2">
        <v>47330.333333333336</v>
      </c>
      <c r="I103" t="s">
        <v>198</v>
      </c>
      <c r="J103" t="s">
        <v>1698</v>
      </c>
    </row>
    <row r="104" spans="1:10">
      <c r="A104" t="s">
        <v>190</v>
      </c>
      <c r="B104" t="s">
        <v>2411</v>
      </c>
      <c r="C104" t="s">
        <v>2412</v>
      </c>
      <c r="D104" t="s">
        <v>21</v>
      </c>
      <c r="E104" t="s">
        <v>25</v>
      </c>
      <c r="G104" s="2">
        <v>46171.333333333336</v>
      </c>
      <c r="H104" s="2">
        <v>47330.333333333336</v>
      </c>
      <c r="I104" t="s">
        <v>198</v>
      </c>
      <c r="J104" t="s">
        <v>1698</v>
      </c>
    </row>
    <row r="105" spans="1:10">
      <c r="A105" t="s">
        <v>190</v>
      </c>
      <c r="B105" t="s">
        <v>240</v>
      </c>
      <c r="C105" t="s">
        <v>239</v>
      </c>
      <c r="D105" t="s">
        <v>21</v>
      </c>
      <c r="E105" t="s">
        <v>22</v>
      </c>
      <c r="F105">
        <v>34</v>
      </c>
      <c r="G105" s="2">
        <v>46289.395833333336</v>
      </c>
      <c r="H105" s="2">
        <v>46289.708333333336</v>
      </c>
      <c r="I105" s="1">
        <v>46196</v>
      </c>
      <c r="J105" t="s">
        <v>1698</v>
      </c>
    </row>
    <row r="106" spans="1:10">
      <c r="A106" t="s">
        <v>190</v>
      </c>
      <c r="B106" t="s">
        <v>1718</v>
      </c>
      <c r="C106" t="s">
        <v>1719</v>
      </c>
      <c r="D106" t="s">
        <v>21</v>
      </c>
      <c r="E106" t="s">
        <v>25</v>
      </c>
      <c r="G106" s="2">
        <v>45489.333333333336</v>
      </c>
      <c r="H106" s="2">
        <v>47325.333333333336</v>
      </c>
      <c r="I106" t="s">
        <v>198</v>
      </c>
      <c r="J106" t="s">
        <v>1698</v>
      </c>
    </row>
    <row r="107" spans="1:10">
      <c r="A107" t="s">
        <v>190</v>
      </c>
      <c r="B107" t="s">
        <v>242</v>
      </c>
      <c r="C107" t="s">
        <v>241</v>
      </c>
      <c r="D107" t="s">
        <v>21</v>
      </c>
      <c r="E107" t="s">
        <v>22</v>
      </c>
      <c r="F107">
        <v>26</v>
      </c>
      <c r="G107" s="2">
        <v>46356.375</v>
      </c>
      <c r="H107" s="2">
        <v>46356.520833333336</v>
      </c>
      <c r="I107" s="1">
        <v>46196</v>
      </c>
      <c r="J107" t="s">
        <v>1698</v>
      </c>
    </row>
    <row r="108" spans="1:10">
      <c r="A108" t="s">
        <v>190</v>
      </c>
      <c r="B108" t="s">
        <v>244</v>
      </c>
      <c r="C108" t="s">
        <v>243</v>
      </c>
      <c r="D108" t="s">
        <v>21</v>
      </c>
      <c r="E108" t="s">
        <v>22</v>
      </c>
      <c r="F108">
        <v>36</v>
      </c>
      <c r="G108" s="2">
        <v>46315.583333333336</v>
      </c>
      <c r="H108" s="2">
        <v>46315.75</v>
      </c>
      <c r="I108" s="1">
        <v>46194</v>
      </c>
      <c r="J108" t="s">
        <v>1698</v>
      </c>
    </row>
    <row r="109" spans="1:10">
      <c r="A109" t="s">
        <v>190</v>
      </c>
      <c r="B109" t="s">
        <v>246</v>
      </c>
      <c r="C109" t="s">
        <v>245</v>
      </c>
      <c r="D109" t="s">
        <v>21</v>
      </c>
      <c r="E109" t="s">
        <v>22</v>
      </c>
      <c r="F109">
        <v>21</v>
      </c>
      <c r="G109" s="2">
        <v>46202.395833333336</v>
      </c>
      <c r="H109" s="2">
        <v>46202.729166666664</v>
      </c>
      <c r="I109" s="1">
        <v>46197</v>
      </c>
      <c r="J109" t="s">
        <v>1698</v>
      </c>
    </row>
    <row r="110" spans="1:10">
      <c r="A110" t="s">
        <v>190</v>
      </c>
      <c r="B110" t="s">
        <v>246</v>
      </c>
      <c r="C110" t="s">
        <v>247</v>
      </c>
      <c r="D110" t="s">
        <v>21</v>
      </c>
      <c r="E110" t="s">
        <v>25</v>
      </c>
      <c r="G110" s="2">
        <v>46324.375</v>
      </c>
      <c r="H110" s="2">
        <v>46324.708333333336</v>
      </c>
      <c r="I110" s="1">
        <v>46196</v>
      </c>
      <c r="J110" t="s">
        <v>1698</v>
      </c>
    </row>
    <row r="111" spans="1:10">
      <c r="A111" t="s">
        <v>190</v>
      </c>
      <c r="B111" t="s">
        <v>251</v>
      </c>
      <c r="C111" t="s">
        <v>250</v>
      </c>
      <c r="D111" t="s">
        <v>21</v>
      </c>
      <c r="E111" t="s">
        <v>22</v>
      </c>
      <c r="F111">
        <v>25</v>
      </c>
      <c r="G111" s="2">
        <v>46344.375</v>
      </c>
      <c r="H111" s="2">
        <v>46344.708333333336</v>
      </c>
      <c r="I111" s="1">
        <v>46196</v>
      </c>
      <c r="J111" t="s">
        <v>1698</v>
      </c>
    </row>
    <row r="112" spans="1:10">
      <c r="A112" t="s">
        <v>255</v>
      </c>
      <c r="B112" t="s">
        <v>1093</v>
      </c>
      <c r="C112" t="s">
        <v>1094</v>
      </c>
      <c r="D112" t="s">
        <v>21</v>
      </c>
      <c r="E112" t="s">
        <v>22</v>
      </c>
      <c r="F112">
        <v>15</v>
      </c>
      <c r="G112" s="2">
        <v>46204.583333333336</v>
      </c>
      <c r="H112" s="2">
        <v>46204.666666666664</v>
      </c>
      <c r="I112" s="1">
        <v>46197</v>
      </c>
      <c r="J112" t="s">
        <v>1698</v>
      </c>
    </row>
    <row r="113" spans="1:10">
      <c r="A113" t="s">
        <v>255</v>
      </c>
      <c r="B113" t="s">
        <v>256</v>
      </c>
      <c r="C113" t="s">
        <v>254</v>
      </c>
      <c r="D113" t="s">
        <v>21</v>
      </c>
      <c r="E113" t="s">
        <v>22</v>
      </c>
      <c r="F113">
        <v>8</v>
      </c>
      <c r="G113" s="2">
        <v>45826.375</v>
      </c>
      <c r="H113" s="2">
        <v>45826.520833333336</v>
      </c>
      <c r="I113" s="1">
        <v>46162</v>
      </c>
      <c r="J113" t="s">
        <v>1698</v>
      </c>
    </row>
    <row r="114" spans="1:10">
      <c r="A114" t="s">
        <v>255</v>
      </c>
      <c r="B114" t="s">
        <v>258</v>
      </c>
      <c r="C114" t="s">
        <v>257</v>
      </c>
      <c r="D114" t="s">
        <v>21</v>
      </c>
      <c r="E114" t="s">
        <v>22</v>
      </c>
      <c r="F114">
        <v>6</v>
      </c>
      <c r="G114" s="2">
        <v>45912.375</v>
      </c>
      <c r="H114" s="2">
        <v>45912.520833333336</v>
      </c>
      <c r="I114" s="1">
        <v>46190</v>
      </c>
      <c r="J114" t="s">
        <v>1698</v>
      </c>
    </row>
    <row r="115" spans="1:10">
      <c r="A115" t="s">
        <v>255</v>
      </c>
      <c r="B115" t="s">
        <v>260</v>
      </c>
      <c r="C115" t="s">
        <v>259</v>
      </c>
      <c r="D115" t="s">
        <v>21</v>
      </c>
      <c r="E115" t="s">
        <v>22</v>
      </c>
      <c r="F115">
        <v>11</v>
      </c>
      <c r="G115" s="2">
        <v>45915.375</v>
      </c>
      <c r="H115" s="2">
        <v>45915.520833333336</v>
      </c>
      <c r="I115" s="1">
        <v>46162</v>
      </c>
      <c r="J115" t="s">
        <v>1698</v>
      </c>
    </row>
    <row r="116" spans="1:10">
      <c r="A116" t="s">
        <v>255</v>
      </c>
      <c r="B116" t="s">
        <v>262</v>
      </c>
      <c r="C116" t="s">
        <v>261</v>
      </c>
      <c r="D116" t="s">
        <v>21</v>
      </c>
      <c r="E116" t="s">
        <v>22</v>
      </c>
      <c r="F116">
        <v>32</v>
      </c>
      <c r="G116" s="2">
        <v>45911.375</v>
      </c>
      <c r="H116" s="2">
        <v>45911.520833333336</v>
      </c>
      <c r="I116" s="1">
        <v>46170</v>
      </c>
      <c r="J116" t="s">
        <v>1698</v>
      </c>
    </row>
    <row r="117" spans="1:10">
      <c r="A117" t="s">
        <v>255</v>
      </c>
      <c r="B117" t="s">
        <v>1721</v>
      </c>
      <c r="C117" t="s">
        <v>263</v>
      </c>
      <c r="D117" t="s">
        <v>21</v>
      </c>
      <c r="E117" t="s">
        <v>22</v>
      </c>
      <c r="F117">
        <v>32</v>
      </c>
      <c r="G117" s="2">
        <v>45908.375</v>
      </c>
      <c r="H117" s="2">
        <v>45908.520833333336</v>
      </c>
      <c r="I117" s="1">
        <v>46104</v>
      </c>
      <c r="J117" t="s">
        <v>1698</v>
      </c>
    </row>
    <row r="118" spans="1:10">
      <c r="A118" t="s">
        <v>255</v>
      </c>
      <c r="B118" t="s">
        <v>1722</v>
      </c>
      <c r="C118" t="s">
        <v>265</v>
      </c>
      <c r="D118" t="s">
        <v>21</v>
      </c>
      <c r="E118" t="s">
        <v>22</v>
      </c>
      <c r="F118">
        <v>16</v>
      </c>
      <c r="G118" s="2">
        <v>45909.375</v>
      </c>
      <c r="H118" s="2">
        <v>45909.520833333336</v>
      </c>
      <c r="I118" s="1">
        <v>46170</v>
      </c>
      <c r="J118" t="s">
        <v>1698</v>
      </c>
    </row>
    <row r="119" spans="1:10">
      <c r="A119" t="s">
        <v>255</v>
      </c>
      <c r="B119" t="s">
        <v>268</v>
      </c>
      <c r="C119" t="s">
        <v>267</v>
      </c>
      <c r="D119" t="s">
        <v>21</v>
      </c>
      <c r="E119" t="s">
        <v>22</v>
      </c>
      <c r="F119">
        <v>33</v>
      </c>
      <c r="G119" s="2">
        <v>45905.375</v>
      </c>
      <c r="H119" s="2">
        <v>45905.520833333336</v>
      </c>
      <c r="I119" s="1">
        <v>46189</v>
      </c>
      <c r="J119" t="s">
        <v>1698</v>
      </c>
    </row>
    <row r="120" spans="1:10">
      <c r="A120" t="s">
        <v>255</v>
      </c>
      <c r="B120" t="s">
        <v>270</v>
      </c>
      <c r="C120" t="s">
        <v>269</v>
      </c>
      <c r="D120" t="s">
        <v>21</v>
      </c>
      <c r="E120" t="s">
        <v>22</v>
      </c>
      <c r="F120">
        <v>48</v>
      </c>
      <c r="G120" s="2">
        <v>45903.375</v>
      </c>
      <c r="H120" s="2">
        <v>45903.520833333336</v>
      </c>
      <c r="I120" s="1">
        <v>46189</v>
      </c>
      <c r="J120" t="s">
        <v>1698</v>
      </c>
    </row>
    <row r="121" spans="1:10">
      <c r="A121" t="s">
        <v>255</v>
      </c>
      <c r="B121" t="s">
        <v>272</v>
      </c>
      <c r="C121" t="s">
        <v>271</v>
      </c>
      <c r="D121" t="s">
        <v>21</v>
      </c>
      <c r="E121" t="s">
        <v>22</v>
      </c>
      <c r="F121">
        <v>114</v>
      </c>
      <c r="G121" s="2">
        <v>46185.416666666664</v>
      </c>
      <c r="H121" s="2">
        <v>46185.479166666664</v>
      </c>
      <c r="I121" s="1">
        <v>46189</v>
      </c>
      <c r="J121" t="s">
        <v>1698</v>
      </c>
    </row>
    <row r="122" spans="1:10">
      <c r="A122" t="s">
        <v>255</v>
      </c>
      <c r="B122" t="s">
        <v>274</v>
      </c>
      <c r="C122" t="s">
        <v>273</v>
      </c>
      <c r="D122" t="s">
        <v>21</v>
      </c>
      <c r="E122" t="s">
        <v>22</v>
      </c>
      <c r="F122">
        <v>78</v>
      </c>
      <c r="G122" s="2">
        <v>46308.416666666664</v>
      </c>
      <c r="H122" s="2">
        <v>46308.479166666664</v>
      </c>
      <c r="I122" s="1">
        <v>46191</v>
      </c>
      <c r="J122" t="s">
        <v>1698</v>
      </c>
    </row>
    <row r="123" spans="1:10">
      <c r="A123" t="s">
        <v>255</v>
      </c>
      <c r="B123" t="s">
        <v>276</v>
      </c>
      <c r="C123" t="s">
        <v>275</v>
      </c>
      <c r="D123" t="s">
        <v>21</v>
      </c>
      <c r="E123" t="s">
        <v>22</v>
      </c>
      <c r="F123">
        <v>63</v>
      </c>
      <c r="G123" s="2">
        <v>46315.416666666664</v>
      </c>
      <c r="H123" s="2">
        <v>46315.479166666664</v>
      </c>
      <c r="I123" s="1">
        <v>46191</v>
      </c>
      <c r="J123" t="s">
        <v>1698</v>
      </c>
    </row>
    <row r="124" spans="1:10">
      <c r="A124" t="s">
        <v>255</v>
      </c>
      <c r="B124" t="s">
        <v>278</v>
      </c>
      <c r="C124" t="s">
        <v>277</v>
      </c>
      <c r="D124" t="s">
        <v>21</v>
      </c>
      <c r="E124" t="s">
        <v>22</v>
      </c>
      <c r="F124">
        <v>54</v>
      </c>
      <c r="G124" s="2">
        <v>46336.416666666664</v>
      </c>
      <c r="H124" s="2">
        <v>46336.479166666664</v>
      </c>
      <c r="I124" s="1">
        <v>46183</v>
      </c>
      <c r="J124" t="s">
        <v>1698</v>
      </c>
    </row>
    <row r="125" spans="1:10">
      <c r="A125" t="s">
        <v>255</v>
      </c>
      <c r="B125" t="s">
        <v>280</v>
      </c>
      <c r="C125" t="s">
        <v>2413</v>
      </c>
      <c r="D125" t="s">
        <v>38</v>
      </c>
      <c r="I125" s="1">
        <v>46191</v>
      </c>
    </row>
    <row r="126" spans="1:10">
      <c r="A126" t="s">
        <v>288</v>
      </c>
      <c r="B126" t="s">
        <v>289</v>
      </c>
      <c r="C126" t="s">
        <v>287</v>
      </c>
      <c r="D126" t="s">
        <v>21</v>
      </c>
      <c r="E126" t="s">
        <v>22</v>
      </c>
      <c r="F126">
        <v>45</v>
      </c>
      <c r="G126" s="2">
        <v>46295.375</v>
      </c>
      <c r="H126" s="2">
        <v>46295.708333333336</v>
      </c>
      <c r="I126" s="1">
        <v>46191</v>
      </c>
      <c r="J126" t="s">
        <v>1698</v>
      </c>
    </row>
    <row r="127" spans="1:10">
      <c r="A127" t="s">
        <v>288</v>
      </c>
      <c r="B127" t="s">
        <v>291</v>
      </c>
      <c r="C127" t="s">
        <v>290</v>
      </c>
      <c r="D127" t="s">
        <v>21</v>
      </c>
      <c r="E127" t="s">
        <v>22</v>
      </c>
      <c r="F127">
        <v>6</v>
      </c>
      <c r="G127" s="2">
        <v>46287.375</v>
      </c>
      <c r="H127" s="2">
        <v>46289.708333333336</v>
      </c>
      <c r="I127" s="1">
        <v>46196</v>
      </c>
      <c r="J127" t="s">
        <v>1698</v>
      </c>
    </row>
    <row r="128" spans="1:10">
      <c r="A128" t="s">
        <v>293</v>
      </c>
      <c r="B128" t="s">
        <v>294</v>
      </c>
      <c r="C128" t="s">
        <v>292</v>
      </c>
      <c r="D128" t="s">
        <v>21</v>
      </c>
      <c r="E128" t="s">
        <v>22</v>
      </c>
      <c r="F128">
        <v>23</v>
      </c>
      <c r="G128" s="2">
        <v>46289.458333333336</v>
      </c>
      <c r="H128" s="2">
        <v>46289.5</v>
      </c>
      <c r="I128" s="1">
        <v>46196</v>
      </c>
      <c r="J128" t="s">
        <v>1698</v>
      </c>
    </row>
    <row r="129" spans="1:10">
      <c r="A129" t="s">
        <v>293</v>
      </c>
      <c r="B129" t="s">
        <v>296</v>
      </c>
      <c r="C129" t="s">
        <v>295</v>
      </c>
      <c r="D129" t="s">
        <v>21</v>
      </c>
      <c r="E129" t="s">
        <v>25</v>
      </c>
      <c r="I129" s="1">
        <v>46196</v>
      </c>
      <c r="J129" t="s">
        <v>1698</v>
      </c>
    </row>
    <row r="130" spans="1:10">
      <c r="A130" t="s">
        <v>293</v>
      </c>
      <c r="B130" t="s">
        <v>298</v>
      </c>
      <c r="C130" t="s">
        <v>297</v>
      </c>
      <c r="D130" t="s">
        <v>38</v>
      </c>
      <c r="I130" s="1">
        <v>46191</v>
      </c>
    </row>
    <row r="131" spans="1:10">
      <c r="A131" t="s">
        <v>293</v>
      </c>
      <c r="B131" t="s">
        <v>1723</v>
      </c>
      <c r="C131" t="s">
        <v>1724</v>
      </c>
      <c r="D131" t="s">
        <v>21</v>
      </c>
      <c r="E131" t="s">
        <v>22</v>
      </c>
      <c r="F131">
        <v>2</v>
      </c>
      <c r="G131" s="2">
        <v>46149.416666666664</v>
      </c>
      <c r="H131" s="2">
        <v>46149.5</v>
      </c>
      <c r="I131" s="1">
        <v>46196</v>
      </c>
      <c r="J131" t="s">
        <v>1698</v>
      </c>
    </row>
    <row r="132" spans="1:10">
      <c r="A132" t="s">
        <v>293</v>
      </c>
      <c r="B132" t="s">
        <v>300</v>
      </c>
      <c r="C132" t="s">
        <v>299</v>
      </c>
      <c r="D132" t="s">
        <v>16</v>
      </c>
      <c r="G132" t="s">
        <v>17</v>
      </c>
      <c r="I132" s="1">
        <v>46184</v>
      </c>
      <c r="J132" t="s">
        <v>1698</v>
      </c>
    </row>
    <row r="133" spans="1:10">
      <c r="A133" t="s">
        <v>293</v>
      </c>
      <c r="B133" t="s">
        <v>302</v>
      </c>
      <c r="C133" t="s">
        <v>301</v>
      </c>
      <c r="D133" t="s">
        <v>16</v>
      </c>
      <c r="G133" t="s">
        <v>17</v>
      </c>
      <c r="I133" s="1">
        <v>46094</v>
      </c>
      <c r="J133" t="s">
        <v>1698</v>
      </c>
    </row>
    <row r="134" spans="1:10">
      <c r="A134" t="s">
        <v>293</v>
      </c>
      <c r="B134" t="s">
        <v>1725</v>
      </c>
      <c r="C134" t="s">
        <v>1726</v>
      </c>
      <c r="D134" t="s">
        <v>21</v>
      </c>
      <c r="E134" t="s">
        <v>22</v>
      </c>
      <c r="F134">
        <v>10</v>
      </c>
      <c r="G134" s="2">
        <v>46203.375</v>
      </c>
      <c r="H134" s="2">
        <v>46203.708333333336</v>
      </c>
      <c r="I134" s="1">
        <v>46196</v>
      </c>
      <c r="J134" t="s">
        <v>1698</v>
      </c>
    </row>
    <row r="135" spans="1:10">
      <c r="A135" t="s">
        <v>293</v>
      </c>
      <c r="B135" t="s">
        <v>304</v>
      </c>
      <c r="C135" t="s">
        <v>303</v>
      </c>
      <c r="D135" t="s">
        <v>21</v>
      </c>
      <c r="E135" t="s">
        <v>22</v>
      </c>
      <c r="F135">
        <v>104</v>
      </c>
      <c r="G135" s="2">
        <v>46211.5625</v>
      </c>
      <c r="H135" s="2">
        <v>46212.5</v>
      </c>
      <c r="I135" s="1">
        <v>46197</v>
      </c>
      <c r="J135" t="s">
        <v>1698</v>
      </c>
    </row>
    <row r="136" spans="1:10">
      <c r="A136" t="s">
        <v>293</v>
      </c>
      <c r="B136" t="s">
        <v>1727</v>
      </c>
      <c r="C136" t="s">
        <v>1728</v>
      </c>
      <c r="D136" t="s">
        <v>21</v>
      </c>
      <c r="E136" t="s">
        <v>22</v>
      </c>
      <c r="F136">
        <v>3</v>
      </c>
      <c r="G136" s="2">
        <v>46135.416666666664</v>
      </c>
      <c r="H136" s="2">
        <v>46135.5</v>
      </c>
      <c r="I136" s="1">
        <v>46188</v>
      </c>
      <c r="J136" t="s">
        <v>1698</v>
      </c>
    </row>
    <row r="137" spans="1:10">
      <c r="A137" t="s">
        <v>293</v>
      </c>
      <c r="B137" t="s">
        <v>306</v>
      </c>
      <c r="C137" t="s">
        <v>305</v>
      </c>
      <c r="D137" t="s">
        <v>16</v>
      </c>
      <c r="G137" t="s">
        <v>17</v>
      </c>
      <c r="I137" s="1">
        <v>46195</v>
      </c>
      <c r="J137" t="s">
        <v>1698</v>
      </c>
    </row>
    <row r="138" spans="1:10">
      <c r="A138" t="s">
        <v>313</v>
      </c>
      <c r="B138" t="s">
        <v>316</v>
      </c>
      <c r="C138" t="s">
        <v>315</v>
      </c>
      <c r="D138" t="s">
        <v>16</v>
      </c>
      <c r="G138" t="s">
        <v>17</v>
      </c>
      <c r="I138" s="1">
        <v>46155</v>
      </c>
      <c r="J138" t="s">
        <v>1698</v>
      </c>
    </row>
    <row r="139" spans="1:10">
      <c r="A139" t="s">
        <v>322</v>
      </c>
      <c r="B139" t="s">
        <v>323</v>
      </c>
      <c r="C139" t="s">
        <v>321</v>
      </c>
      <c r="D139" t="s">
        <v>21</v>
      </c>
      <c r="E139" t="s">
        <v>22</v>
      </c>
      <c r="F139">
        <v>57</v>
      </c>
      <c r="G139" s="2">
        <v>45679.375</v>
      </c>
      <c r="H139" s="2">
        <v>45679.708333333336</v>
      </c>
      <c r="I139" s="1">
        <v>46079</v>
      </c>
      <c r="J139" t="s">
        <v>1729</v>
      </c>
    </row>
    <row r="140" spans="1:10">
      <c r="A140" t="s">
        <v>2414</v>
      </c>
      <c r="B140" t="s">
        <v>1730</v>
      </c>
      <c r="C140" t="s">
        <v>1731</v>
      </c>
      <c r="D140" t="s">
        <v>21</v>
      </c>
      <c r="E140" t="s">
        <v>22</v>
      </c>
      <c r="F140">
        <v>1</v>
      </c>
      <c r="G140" s="2">
        <v>46169.604166666664</v>
      </c>
      <c r="H140" s="2">
        <v>46169.625</v>
      </c>
      <c r="I140" s="1">
        <v>46175</v>
      </c>
      <c r="J140" t="s">
        <v>1698</v>
      </c>
    </row>
    <row r="141" spans="1:10">
      <c r="A141" t="s">
        <v>2414</v>
      </c>
      <c r="B141" t="s">
        <v>351</v>
      </c>
      <c r="C141" t="s">
        <v>349</v>
      </c>
      <c r="D141" t="s">
        <v>16</v>
      </c>
      <c r="G141" t="s">
        <v>17</v>
      </c>
      <c r="I141" s="1">
        <v>46196</v>
      </c>
      <c r="J141" t="s">
        <v>1698</v>
      </c>
    </row>
    <row r="142" spans="1:10">
      <c r="A142" t="s">
        <v>2414</v>
      </c>
      <c r="B142" t="s">
        <v>353</v>
      </c>
      <c r="C142" t="s">
        <v>352</v>
      </c>
      <c r="D142" t="s">
        <v>16</v>
      </c>
      <c r="G142" t="s">
        <v>17</v>
      </c>
      <c r="I142" s="1">
        <v>46196</v>
      </c>
      <c r="J142" t="s">
        <v>1698</v>
      </c>
    </row>
    <row r="143" spans="1:10">
      <c r="A143" t="s">
        <v>2414</v>
      </c>
      <c r="B143" t="s">
        <v>355</v>
      </c>
      <c r="C143" t="s">
        <v>354</v>
      </c>
      <c r="D143" t="s">
        <v>16</v>
      </c>
      <c r="G143" t="s">
        <v>17</v>
      </c>
      <c r="I143" s="1">
        <v>46195</v>
      </c>
      <c r="J143" t="s">
        <v>1698</v>
      </c>
    </row>
    <row r="144" spans="1:10">
      <c r="A144" t="s">
        <v>2414</v>
      </c>
      <c r="B144" t="s">
        <v>357</v>
      </c>
      <c r="C144" t="s">
        <v>356</v>
      </c>
      <c r="D144" t="s">
        <v>16</v>
      </c>
      <c r="G144" t="s">
        <v>17</v>
      </c>
      <c r="I144" s="1">
        <v>46195</v>
      </c>
      <c r="J144" t="s">
        <v>1698</v>
      </c>
    </row>
    <row r="145" spans="1:10">
      <c r="A145" t="s">
        <v>2414</v>
      </c>
      <c r="B145" t="s">
        <v>374</v>
      </c>
      <c r="C145" t="s">
        <v>373</v>
      </c>
      <c r="D145" t="s">
        <v>21</v>
      </c>
      <c r="E145" t="s">
        <v>22</v>
      </c>
      <c r="F145">
        <v>48</v>
      </c>
      <c r="G145" s="2">
        <v>45946.708333333336</v>
      </c>
      <c r="H145" s="2">
        <v>45946.739583333336</v>
      </c>
      <c r="I145" s="1">
        <v>46161</v>
      </c>
      <c r="J145" t="s">
        <v>1698</v>
      </c>
    </row>
    <row r="146" spans="1:10">
      <c r="A146" t="s">
        <v>2414</v>
      </c>
      <c r="B146" t="s">
        <v>376</v>
      </c>
      <c r="C146" t="s">
        <v>375</v>
      </c>
      <c r="D146" t="s">
        <v>21</v>
      </c>
      <c r="E146" t="s">
        <v>22</v>
      </c>
      <c r="F146">
        <v>32</v>
      </c>
      <c r="G146" s="2">
        <v>46205.416666666664</v>
      </c>
      <c r="H146" s="2">
        <v>46205.458333333336</v>
      </c>
      <c r="I146" s="1">
        <v>46192</v>
      </c>
      <c r="J146" t="s">
        <v>1698</v>
      </c>
    </row>
    <row r="147" spans="1:10">
      <c r="A147" t="s">
        <v>2414</v>
      </c>
      <c r="B147" t="s">
        <v>378</v>
      </c>
      <c r="C147" t="s">
        <v>377</v>
      </c>
      <c r="D147" t="s">
        <v>21</v>
      </c>
      <c r="E147" t="s">
        <v>22</v>
      </c>
      <c r="F147">
        <v>17</v>
      </c>
      <c r="G147" s="2">
        <v>46203.5</v>
      </c>
      <c r="H147" s="2">
        <v>46203.5625</v>
      </c>
      <c r="I147" s="1">
        <v>46197</v>
      </c>
      <c r="J147" t="s">
        <v>1698</v>
      </c>
    </row>
    <row r="148" spans="1:10">
      <c r="A148" t="s">
        <v>2414</v>
      </c>
      <c r="B148" t="s">
        <v>380</v>
      </c>
      <c r="C148" t="s">
        <v>379</v>
      </c>
      <c r="D148" t="s">
        <v>21</v>
      </c>
      <c r="E148" t="s">
        <v>22</v>
      </c>
      <c r="F148">
        <v>18</v>
      </c>
      <c r="G148" s="2">
        <v>46356.375</v>
      </c>
      <c r="H148" s="2">
        <v>46356.520833333336</v>
      </c>
      <c r="I148" s="1">
        <v>46196</v>
      </c>
      <c r="J148" t="s">
        <v>1698</v>
      </c>
    </row>
    <row r="149" spans="1:10">
      <c r="A149" t="s">
        <v>2414</v>
      </c>
      <c r="B149" t="s">
        <v>1736</v>
      </c>
      <c r="C149" t="s">
        <v>1737</v>
      </c>
      <c r="D149" t="s">
        <v>21</v>
      </c>
      <c r="E149" t="s">
        <v>22</v>
      </c>
      <c r="F149">
        <v>0</v>
      </c>
      <c r="G149" s="2">
        <v>46199.416666666664</v>
      </c>
      <c r="H149" s="2">
        <v>46199.5</v>
      </c>
      <c r="I149" s="1">
        <v>46185</v>
      </c>
      <c r="J149" t="s">
        <v>1698</v>
      </c>
    </row>
    <row r="150" spans="1:10">
      <c r="A150" t="s">
        <v>2414</v>
      </c>
      <c r="B150" t="s">
        <v>384</v>
      </c>
      <c r="C150" t="s">
        <v>383</v>
      </c>
      <c r="D150" t="s">
        <v>16</v>
      </c>
      <c r="G150" t="s">
        <v>17</v>
      </c>
      <c r="I150" s="1">
        <v>46142</v>
      </c>
      <c r="J150" t="s">
        <v>1698</v>
      </c>
    </row>
    <row r="151" spans="1:10">
      <c r="A151" t="s">
        <v>2414</v>
      </c>
      <c r="B151" t="s">
        <v>1738</v>
      </c>
      <c r="C151" t="s">
        <v>381</v>
      </c>
      <c r="D151" t="s">
        <v>21</v>
      </c>
      <c r="E151" t="s">
        <v>22</v>
      </c>
      <c r="F151">
        <v>36</v>
      </c>
      <c r="G151" s="2">
        <v>45952.624305555553</v>
      </c>
      <c r="H151" s="2">
        <v>45952.6875</v>
      </c>
      <c r="I151" s="1">
        <v>46161</v>
      </c>
      <c r="J151" t="s">
        <v>1698</v>
      </c>
    </row>
    <row r="152" spans="1:10">
      <c r="A152" t="s">
        <v>2414</v>
      </c>
      <c r="B152" t="s">
        <v>1732</v>
      </c>
      <c r="C152" t="s">
        <v>1733</v>
      </c>
      <c r="D152" t="s">
        <v>16</v>
      </c>
      <c r="G152" t="s">
        <v>17</v>
      </c>
      <c r="I152" s="1">
        <v>46196</v>
      </c>
      <c r="J152" t="s">
        <v>1698</v>
      </c>
    </row>
    <row r="153" spans="1:10">
      <c r="A153" t="s">
        <v>2415</v>
      </c>
      <c r="B153" t="s">
        <v>309</v>
      </c>
      <c r="C153" t="s">
        <v>307</v>
      </c>
      <c r="D153" t="s">
        <v>21</v>
      </c>
      <c r="E153" t="s">
        <v>22</v>
      </c>
      <c r="F153">
        <v>6</v>
      </c>
      <c r="G153" s="2">
        <v>46288.375</v>
      </c>
      <c r="H153" s="2">
        <v>46288.541666666664</v>
      </c>
      <c r="I153" s="1">
        <v>46195</v>
      </c>
      <c r="J153" t="s">
        <v>1698</v>
      </c>
    </row>
    <row r="154" spans="1:10">
      <c r="A154" t="s">
        <v>2415</v>
      </c>
      <c r="B154" t="s">
        <v>1102</v>
      </c>
      <c r="C154" t="s">
        <v>1103</v>
      </c>
      <c r="D154" t="s">
        <v>21</v>
      </c>
      <c r="E154" t="s">
        <v>22</v>
      </c>
      <c r="F154">
        <v>87</v>
      </c>
      <c r="G154" s="2">
        <v>46282.583333333336</v>
      </c>
      <c r="H154" s="2">
        <v>46282.6875</v>
      </c>
      <c r="I154" s="1">
        <v>46196</v>
      </c>
      <c r="J154" t="s">
        <v>1698</v>
      </c>
    </row>
    <row r="155" spans="1:10">
      <c r="A155" t="s">
        <v>2415</v>
      </c>
      <c r="B155" t="s">
        <v>394</v>
      </c>
      <c r="C155" t="s">
        <v>393</v>
      </c>
      <c r="D155" t="s">
        <v>21</v>
      </c>
      <c r="E155" t="s">
        <v>22</v>
      </c>
      <c r="F155">
        <v>25</v>
      </c>
      <c r="G155" s="2">
        <v>46335.375</v>
      </c>
      <c r="H155" s="2">
        <v>46336.708333333336</v>
      </c>
      <c r="I155" s="1">
        <v>46197</v>
      </c>
      <c r="J155" t="s">
        <v>1698</v>
      </c>
    </row>
    <row r="156" spans="1:10">
      <c r="A156" t="s">
        <v>2415</v>
      </c>
      <c r="B156" t="s">
        <v>398</v>
      </c>
      <c r="C156" t="s">
        <v>397</v>
      </c>
      <c r="D156" t="s">
        <v>21</v>
      </c>
      <c r="E156" t="s">
        <v>22</v>
      </c>
      <c r="F156">
        <v>219</v>
      </c>
      <c r="G156" s="2">
        <v>46175.375</v>
      </c>
      <c r="H156" s="2">
        <v>46176.708333333336</v>
      </c>
      <c r="I156" s="1">
        <v>46195</v>
      </c>
      <c r="J156" t="s">
        <v>1734</v>
      </c>
    </row>
    <row r="157" spans="1:10">
      <c r="A157" t="s">
        <v>2415</v>
      </c>
      <c r="B157" t="s">
        <v>1740</v>
      </c>
      <c r="C157" t="s">
        <v>403</v>
      </c>
      <c r="D157" t="s">
        <v>21</v>
      </c>
      <c r="E157" t="s">
        <v>22</v>
      </c>
      <c r="F157">
        <v>17</v>
      </c>
      <c r="G157" s="2">
        <v>46307.375</v>
      </c>
      <c r="H157" s="2">
        <v>46314.708333333336</v>
      </c>
      <c r="I157" s="1">
        <v>46196</v>
      </c>
      <c r="J157" t="s">
        <v>1698</v>
      </c>
    </row>
    <row r="158" spans="1:10">
      <c r="A158" t="s">
        <v>2415</v>
      </c>
      <c r="B158" t="s">
        <v>1741</v>
      </c>
      <c r="C158" t="s">
        <v>405</v>
      </c>
      <c r="D158" t="s">
        <v>21</v>
      </c>
      <c r="E158" t="s">
        <v>22</v>
      </c>
      <c r="F158">
        <v>31</v>
      </c>
      <c r="G158" s="2">
        <v>46281.375</v>
      </c>
      <c r="H158" s="2">
        <v>46281.708333333336</v>
      </c>
      <c r="I158" s="1">
        <v>46196</v>
      </c>
      <c r="J158" t="s">
        <v>1698</v>
      </c>
    </row>
    <row r="159" spans="1:10">
      <c r="A159" t="s">
        <v>324</v>
      </c>
      <c r="B159" t="s">
        <v>325</v>
      </c>
      <c r="D159" t="s">
        <v>76</v>
      </c>
    </row>
    <row r="160" spans="1:10">
      <c r="A160" t="s">
        <v>324</v>
      </c>
      <c r="B160" t="s">
        <v>327</v>
      </c>
      <c r="C160" t="s">
        <v>326</v>
      </c>
      <c r="D160" t="s">
        <v>21</v>
      </c>
      <c r="E160" t="s">
        <v>22</v>
      </c>
      <c r="F160">
        <v>14</v>
      </c>
      <c r="G160" s="2">
        <v>46205.458333333336</v>
      </c>
      <c r="H160" s="2">
        <v>46205.520833333336</v>
      </c>
      <c r="I160" s="1">
        <v>46196</v>
      </c>
      <c r="J160" t="s">
        <v>1698</v>
      </c>
    </row>
    <row r="161" spans="1:10">
      <c r="A161" t="s">
        <v>324</v>
      </c>
      <c r="B161" t="s">
        <v>329</v>
      </c>
      <c r="C161" t="s">
        <v>328</v>
      </c>
      <c r="D161" t="s">
        <v>38</v>
      </c>
      <c r="I161" s="1">
        <v>46185</v>
      </c>
    </row>
    <row r="162" spans="1:10">
      <c r="A162" t="s">
        <v>324</v>
      </c>
      <c r="B162" t="s">
        <v>330</v>
      </c>
      <c r="D162" t="s">
        <v>76</v>
      </c>
    </row>
    <row r="163" spans="1:10">
      <c r="A163" t="s">
        <v>324</v>
      </c>
      <c r="B163" t="s">
        <v>332</v>
      </c>
      <c r="C163" t="s">
        <v>331</v>
      </c>
      <c r="D163" t="s">
        <v>21</v>
      </c>
      <c r="E163" t="s">
        <v>22</v>
      </c>
      <c r="F163">
        <v>43</v>
      </c>
      <c r="G163" s="2">
        <v>46309.395833333336</v>
      </c>
      <c r="H163" s="2">
        <v>46309.489583333336</v>
      </c>
      <c r="I163" s="1">
        <v>46196</v>
      </c>
      <c r="J163" t="s">
        <v>1698</v>
      </c>
    </row>
    <row r="164" spans="1:10">
      <c r="A164" t="s">
        <v>324</v>
      </c>
      <c r="B164" t="s">
        <v>333</v>
      </c>
      <c r="D164" t="s">
        <v>76</v>
      </c>
    </row>
    <row r="165" spans="1:10">
      <c r="A165" t="s">
        <v>324</v>
      </c>
      <c r="B165" t="s">
        <v>335</v>
      </c>
      <c r="C165" t="s">
        <v>334</v>
      </c>
      <c r="D165" t="s">
        <v>21</v>
      </c>
      <c r="E165" t="s">
        <v>22</v>
      </c>
      <c r="F165">
        <v>8</v>
      </c>
      <c r="G165" s="2">
        <v>46218.395833333336</v>
      </c>
      <c r="H165" s="2">
        <v>46218.416666666664</v>
      </c>
      <c r="I165" s="1">
        <v>46181</v>
      </c>
      <c r="J165" t="s">
        <v>1698</v>
      </c>
    </row>
    <row r="166" spans="1:10">
      <c r="A166" t="s">
        <v>324</v>
      </c>
      <c r="B166" t="s">
        <v>337</v>
      </c>
      <c r="C166" t="s">
        <v>336</v>
      </c>
      <c r="D166" t="s">
        <v>16</v>
      </c>
      <c r="G166" t="s">
        <v>17</v>
      </c>
      <c r="I166" s="1">
        <v>46170</v>
      </c>
      <c r="J166" t="s">
        <v>1698</v>
      </c>
    </row>
    <row r="167" spans="1:10">
      <c r="A167" t="s">
        <v>2416</v>
      </c>
      <c r="B167" t="s">
        <v>361</v>
      </c>
      <c r="C167" t="s">
        <v>360</v>
      </c>
      <c r="D167" t="s">
        <v>21</v>
      </c>
      <c r="E167" t="s">
        <v>22</v>
      </c>
      <c r="F167">
        <v>67</v>
      </c>
      <c r="G167" s="2">
        <v>45831.375</v>
      </c>
      <c r="H167" s="2">
        <v>45835.708333333336</v>
      </c>
      <c r="I167" s="1">
        <v>46181</v>
      </c>
      <c r="J167" t="s">
        <v>1698</v>
      </c>
    </row>
    <row r="168" spans="1:10">
      <c r="A168" t="s">
        <v>2416</v>
      </c>
      <c r="B168" t="s">
        <v>364</v>
      </c>
      <c r="C168" t="s">
        <v>363</v>
      </c>
      <c r="D168" t="s">
        <v>21</v>
      </c>
      <c r="E168" t="s">
        <v>22</v>
      </c>
      <c r="F168">
        <v>105</v>
      </c>
      <c r="G168" s="2">
        <v>46342.375</v>
      </c>
      <c r="H168" s="2">
        <v>46343.708333333336</v>
      </c>
      <c r="I168" s="1">
        <v>46196</v>
      </c>
      <c r="J168" t="s">
        <v>1734</v>
      </c>
    </row>
    <row r="169" spans="1:10">
      <c r="A169" t="s">
        <v>2416</v>
      </c>
      <c r="B169" t="s">
        <v>366</v>
      </c>
      <c r="C169" t="s">
        <v>365</v>
      </c>
      <c r="D169" t="s">
        <v>21</v>
      </c>
      <c r="E169" t="s">
        <v>22</v>
      </c>
      <c r="F169">
        <v>68</v>
      </c>
      <c r="G169" s="2">
        <v>46202.375</v>
      </c>
      <c r="H169" s="2">
        <v>46204.708333333336</v>
      </c>
      <c r="I169" s="1">
        <v>46197</v>
      </c>
      <c r="J169" t="s">
        <v>1735</v>
      </c>
    </row>
    <row r="170" spans="1:10">
      <c r="A170" t="s">
        <v>2416</v>
      </c>
      <c r="B170" t="s">
        <v>368</v>
      </c>
      <c r="C170" t="s">
        <v>367</v>
      </c>
      <c r="D170" t="s">
        <v>21</v>
      </c>
      <c r="E170" t="s">
        <v>22</v>
      </c>
      <c r="F170">
        <v>48</v>
      </c>
      <c r="G170" s="2">
        <v>46122.375</v>
      </c>
      <c r="H170" s="2">
        <v>46126.709027777775</v>
      </c>
      <c r="I170" s="1">
        <v>46195</v>
      </c>
      <c r="J170" t="s">
        <v>1735</v>
      </c>
    </row>
    <row r="171" spans="1:10">
      <c r="A171" t="s">
        <v>2416</v>
      </c>
      <c r="B171" t="s">
        <v>370</v>
      </c>
      <c r="C171" t="s">
        <v>369</v>
      </c>
      <c r="D171" t="s">
        <v>21</v>
      </c>
      <c r="E171" t="s">
        <v>22</v>
      </c>
      <c r="F171">
        <v>68</v>
      </c>
      <c r="G171" s="2">
        <v>46321.375</v>
      </c>
      <c r="H171" s="2">
        <v>46323.708333333336</v>
      </c>
      <c r="I171" s="1">
        <v>46195</v>
      </c>
      <c r="J171" t="s">
        <v>1735</v>
      </c>
    </row>
    <row r="172" spans="1:10">
      <c r="A172" t="s">
        <v>2416</v>
      </c>
      <c r="B172" t="s">
        <v>372</v>
      </c>
      <c r="C172" t="s">
        <v>371</v>
      </c>
      <c r="D172" t="s">
        <v>21</v>
      </c>
      <c r="E172" t="s">
        <v>22</v>
      </c>
      <c r="F172">
        <v>82</v>
      </c>
      <c r="G172" s="2">
        <v>46281.375</v>
      </c>
      <c r="H172" s="2">
        <v>46283.708333333336</v>
      </c>
      <c r="I172" s="1">
        <v>46195</v>
      </c>
      <c r="J172" t="s">
        <v>1735</v>
      </c>
    </row>
    <row r="173" spans="1:10">
      <c r="A173" t="s">
        <v>2416</v>
      </c>
      <c r="B173" t="s">
        <v>386</v>
      </c>
      <c r="C173" t="s">
        <v>385</v>
      </c>
      <c r="D173" t="s">
        <v>38</v>
      </c>
      <c r="I173" s="1">
        <v>46188</v>
      </c>
    </row>
    <row r="174" spans="1:10">
      <c r="A174" t="s">
        <v>2417</v>
      </c>
      <c r="B174" t="s">
        <v>440</v>
      </c>
      <c r="C174" t="s">
        <v>438</v>
      </c>
      <c r="D174" t="s">
        <v>21</v>
      </c>
      <c r="E174" t="s">
        <v>22</v>
      </c>
      <c r="F174">
        <v>165</v>
      </c>
      <c r="G174" s="2">
        <v>46212.375</v>
      </c>
      <c r="H174" s="2">
        <v>46212.708333333336</v>
      </c>
      <c r="I174" s="1">
        <v>46191</v>
      </c>
      <c r="J174" t="s">
        <v>1746</v>
      </c>
    </row>
    <row r="175" spans="1:10">
      <c r="A175" t="s">
        <v>2417</v>
      </c>
      <c r="B175" t="s">
        <v>427</v>
      </c>
      <c r="C175" t="s">
        <v>425</v>
      </c>
      <c r="D175" t="s">
        <v>21</v>
      </c>
      <c r="E175" t="s">
        <v>22</v>
      </c>
      <c r="F175">
        <v>36</v>
      </c>
      <c r="G175" s="2">
        <v>46191.645833333336</v>
      </c>
      <c r="H175" s="2">
        <v>46191.708333333336</v>
      </c>
      <c r="I175" s="1">
        <v>46192</v>
      </c>
      <c r="J175" t="s">
        <v>1698</v>
      </c>
    </row>
    <row r="176" spans="1:10">
      <c r="A176" t="s">
        <v>2417</v>
      </c>
      <c r="B176" t="s">
        <v>1744</v>
      </c>
      <c r="C176" t="s">
        <v>428</v>
      </c>
      <c r="D176" t="s">
        <v>21</v>
      </c>
      <c r="E176" t="s">
        <v>22</v>
      </c>
      <c r="F176">
        <v>133</v>
      </c>
      <c r="G176" s="2">
        <v>46286.375</v>
      </c>
      <c r="H176" s="2">
        <v>46286.4375</v>
      </c>
      <c r="I176" s="1">
        <v>46195</v>
      </c>
      <c r="J176" t="s">
        <v>1698</v>
      </c>
    </row>
    <row r="177" spans="1:10">
      <c r="A177" t="s">
        <v>2417</v>
      </c>
      <c r="B177" t="s">
        <v>1745</v>
      </c>
      <c r="C177" t="s">
        <v>430</v>
      </c>
      <c r="D177" t="s">
        <v>21</v>
      </c>
      <c r="E177" t="s">
        <v>22</v>
      </c>
      <c r="F177">
        <v>80</v>
      </c>
      <c r="G177" s="2">
        <v>46286.458333333336</v>
      </c>
      <c r="H177" s="2">
        <v>46286.520833333336</v>
      </c>
      <c r="I177" s="1">
        <v>46191</v>
      </c>
      <c r="J177" t="s">
        <v>1698</v>
      </c>
    </row>
    <row r="178" spans="1:10">
      <c r="A178" t="s">
        <v>2417</v>
      </c>
      <c r="B178" t="s">
        <v>433</v>
      </c>
      <c r="C178" t="s">
        <v>432</v>
      </c>
      <c r="D178" t="s">
        <v>21</v>
      </c>
      <c r="E178" t="s">
        <v>22</v>
      </c>
      <c r="F178">
        <v>36</v>
      </c>
      <c r="G178" s="2">
        <v>46286.645833333336</v>
      </c>
      <c r="H178" s="2">
        <v>46286.708333333336</v>
      </c>
      <c r="I178" s="1">
        <v>46196</v>
      </c>
      <c r="J178" t="s">
        <v>1698</v>
      </c>
    </row>
    <row r="179" spans="1:10">
      <c r="A179" t="s">
        <v>2417</v>
      </c>
      <c r="B179" t="s">
        <v>435</v>
      </c>
      <c r="C179" t="s">
        <v>434</v>
      </c>
      <c r="D179" t="s">
        <v>21</v>
      </c>
      <c r="E179" t="s">
        <v>22</v>
      </c>
      <c r="F179">
        <v>41</v>
      </c>
      <c r="G179" s="2">
        <v>46191.5625</v>
      </c>
      <c r="H179" s="2">
        <v>46191.625</v>
      </c>
      <c r="I179" s="1">
        <v>46191</v>
      </c>
      <c r="J179" t="s">
        <v>1698</v>
      </c>
    </row>
    <row r="180" spans="1:10">
      <c r="A180" t="s">
        <v>2417</v>
      </c>
      <c r="B180" t="s">
        <v>437</v>
      </c>
      <c r="C180" t="s">
        <v>436</v>
      </c>
      <c r="D180" t="s">
        <v>21</v>
      </c>
      <c r="E180" t="s">
        <v>22</v>
      </c>
      <c r="F180">
        <v>54</v>
      </c>
      <c r="G180" s="2">
        <v>46286.5625</v>
      </c>
      <c r="H180" s="2">
        <v>46286.625</v>
      </c>
      <c r="I180" s="1">
        <v>46181</v>
      </c>
      <c r="J180" t="s">
        <v>1698</v>
      </c>
    </row>
    <row r="181" spans="1:10">
      <c r="A181" t="s">
        <v>2417</v>
      </c>
      <c r="B181" t="s">
        <v>340</v>
      </c>
      <c r="C181" t="s">
        <v>338</v>
      </c>
      <c r="D181" t="s">
        <v>21</v>
      </c>
      <c r="E181" t="s">
        <v>22</v>
      </c>
      <c r="F181">
        <v>30</v>
      </c>
      <c r="G181" s="2">
        <v>46294.5625</v>
      </c>
      <c r="H181" s="2">
        <v>46294.708333333336</v>
      </c>
      <c r="I181" s="1">
        <v>46196</v>
      </c>
      <c r="J181" t="s">
        <v>1698</v>
      </c>
    </row>
    <row r="182" spans="1:10">
      <c r="A182" t="s">
        <v>2417</v>
      </c>
      <c r="B182" t="s">
        <v>342</v>
      </c>
      <c r="C182" t="s">
        <v>341</v>
      </c>
      <c r="D182" t="s">
        <v>21</v>
      </c>
      <c r="E182" t="s">
        <v>22</v>
      </c>
      <c r="F182">
        <v>44</v>
      </c>
      <c r="G182" s="2">
        <v>46136.5625</v>
      </c>
      <c r="H182" s="2">
        <v>46136.708333333336</v>
      </c>
      <c r="I182" s="1">
        <v>46181</v>
      </c>
      <c r="J182" t="s">
        <v>1698</v>
      </c>
    </row>
    <row r="183" spans="1:10">
      <c r="A183" t="s">
        <v>2417</v>
      </c>
      <c r="B183" t="s">
        <v>344</v>
      </c>
      <c r="C183" t="s">
        <v>343</v>
      </c>
      <c r="D183" t="s">
        <v>21</v>
      </c>
      <c r="E183" t="s">
        <v>22</v>
      </c>
      <c r="F183">
        <v>43</v>
      </c>
      <c r="G183" s="2">
        <v>46358.375</v>
      </c>
      <c r="H183" s="2">
        <v>46358.520833333336</v>
      </c>
      <c r="I183" s="1">
        <v>46188</v>
      </c>
      <c r="J183" t="s">
        <v>1698</v>
      </c>
    </row>
    <row r="184" spans="1:10">
      <c r="A184" t="s">
        <v>2417</v>
      </c>
      <c r="B184" t="s">
        <v>346</v>
      </c>
      <c r="C184" t="s">
        <v>345</v>
      </c>
      <c r="D184" t="s">
        <v>21</v>
      </c>
      <c r="E184" t="s">
        <v>22</v>
      </c>
      <c r="F184">
        <v>37</v>
      </c>
      <c r="G184" s="2">
        <v>46218.5625</v>
      </c>
      <c r="H184" s="2">
        <v>46218.708333333336</v>
      </c>
      <c r="I184" s="1">
        <v>46188</v>
      </c>
      <c r="J184" t="s">
        <v>1698</v>
      </c>
    </row>
    <row r="185" spans="1:10">
      <c r="A185" t="s">
        <v>2417</v>
      </c>
      <c r="B185" t="s">
        <v>348</v>
      </c>
      <c r="C185" t="s">
        <v>347</v>
      </c>
      <c r="D185" t="s">
        <v>21</v>
      </c>
      <c r="E185" t="s">
        <v>22</v>
      </c>
      <c r="F185">
        <v>48</v>
      </c>
      <c r="G185" s="2">
        <v>46045.375</v>
      </c>
      <c r="H185" s="2">
        <v>46045.520833333336</v>
      </c>
      <c r="I185" s="1">
        <v>46195</v>
      </c>
      <c r="J185" t="s">
        <v>1698</v>
      </c>
    </row>
    <row r="186" spans="1:10">
      <c r="A186" t="s">
        <v>2417</v>
      </c>
      <c r="B186" t="s">
        <v>419</v>
      </c>
      <c r="C186" t="s">
        <v>417</v>
      </c>
      <c r="D186" t="s">
        <v>21</v>
      </c>
      <c r="E186" t="s">
        <v>22</v>
      </c>
      <c r="F186">
        <v>39</v>
      </c>
      <c r="G186" s="2">
        <v>46293.375</v>
      </c>
      <c r="H186" s="2">
        <v>46293.520833333336</v>
      </c>
      <c r="I186" s="1">
        <v>46184</v>
      </c>
      <c r="J186" t="s">
        <v>1698</v>
      </c>
    </row>
    <row r="187" spans="1:10">
      <c r="A187" t="s">
        <v>2417</v>
      </c>
      <c r="B187" t="s">
        <v>421</v>
      </c>
      <c r="C187" t="s">
        <v>420</v>
      </c>
      <c r="D187" t="s">
        <v>21</v>
      </c>
      <c r="E187" t="s">
        <v>22</v>
      </c>
      <c r="F187">
        <v>35</v>
      </c>
      <c r="G187" s="2">
        <v>46293.5625</v>
      </c>
      <c r="H187" s="2">
        <v>46293.708333333336</v>
      </c>
      <c r="I187" s="1">
        <v>46191</v>
      </c>
      <c r="J187" t="s">
        <v>1698</v>
      </c>
    </row>
    <row r="188" spans="1:10">
      <c r="A188" t="s">
        <v>2417</v>
      </c>
      <c r="B188" t="s">
        <v>442</v>
      </c>
      <c r="C188" t="s">
        <v>441</v>
      </c>
      <c r="D188" t="s">
        <v>21</v>
      </c>
      <c r="E188" t="s">
        <v>22</v>
      </c>
      <c r="F188">
        <v>23</v>
      </c>
      <c r="G188" s="2">
        <v>46293.375</v>
      </c>
      <c r="H188" s="2">
        <v>46293.520833333336</v>
      </c>
      <c r="I188" s="1">
        <v>46195</v>
      </c>
      <c r="J188" t="s">
        <v>1698</v>
      </c>
    </row>
    <row r="189" spans="1:10">
      <c r="A189" t="s">
        <v>2417</v>
      </c>
      <c r="B189" t="s">
        <v>444</v>
      </c>
      <c r="C189" t="s">
        <v>443</v>
      </c>
      <c r="D189" t="s">
        <v>21</v>
      </c>
      <c r="E189" t="s">
        <v>22</v>
      </c>
      <c r="F189">
        <v>14</v>
      </c>
      <c r="G189" s="2">
        <v>46218.375</v>
      </c>
      <c r="H189" s="2">
        <v>46218.520833333336</v>
      </c>
      <c r="I189" s="1">
        <v>46195</v>
      </c>
      <c r="J189" t="s">
        <v>1698</v>
      </c>
    </row>
    <row r="190" spans="1:10">
      <c r="A190" t="s">
        <v>2417</v>
      </c>
      <c r="B190" t="s">
        <v>446</v>
      </c>
      <c r="C190" t="s">
        <v>445</v>
      </c>
      <c r="D190" t="s">
        <v>21</v>
      </c>
      <c r="E190" t="s">
        <v>22</v>
      </c>
      <c r="F190">
        <v>26</v>
      </c>
      <c r="G190" s="2">
        <v>46358.5625</v>
      </c>
      <c r="H190" s="2">
        <v>46358.708333333336</v>
      </c>
      <c r="I190" s="1">
        <v>46189</v>
      </c>
      <c r="J190" t="s">
        <v>1698</v>
      </c>
    </row>
    <row r="191" spans="1:10">
      <c r="A191" t="s">
        <v>2417</v>
      </c>
      <c r="B191" t="s">
        <v>1742</v>
      </c>
      <c r="C191" t="s">
        <v>409</v>
      </c>
      <c r="D191" t="s">
        <v>21</v>
      </c>
      <c r="E191" t="s">
        <v>22</v>
      </c>
      <c r="F191">
        <v>18</v>
      </c>
      <c r="G191" s="2">
        <v>46294.375</v>
      </c>
      <c r="H191" s="2">
        <v>46294.520833333336</v>
      </c>
      <c r="I191" s="1">
        <v>46184</v>
      </c>
      <c r="J191" t="s">
        <v>1698</v>
      </c>
    </row>
    <row r="192" spans="1:10">
      <c r="A192" t="s">
        <v>2417</v>
      </c>
      <c r="B192" t="s">
        <v>1743</v>
      </c>
      <c r="C192" t="s">
        <v>411</v>
      </c>
      <c r="D192" t="s">
        <v>21</v>
      </c>
      <c r="E192" t="s">
        <v>22</v>
      </c>
      <c r="F192">
        <v>11</v>
      </c>
      <c r="G192" s="2">
        <v>46294.5625</v>
      </c>
      <c r="H192" s="2">
        <v>46294.708333333336</v>
      </c>
      <c r="I192" s="1">
        <v>46183</v>
      </c>
      <c r="J192" t="s">
        <v>1698</v>
      </c>
    </row>
    <row r="193" spans="1:10">
      <c r="A193" t="s">
        <v>388</v>
      </c>
      <c r="B193" t="s">
        <v>1739</v>
      </c>
      <c r="C193" t="s">
        <v>1101</v>
      </c>
      <c r="D193" t="s">
        <v>16</v>
      </c>
      <c r="G193" t="s">
        <v>17</v>
      </c>
      <c r="I193" s="1">
        <v>46190</v>
      </c>
      <c r="J193" t="s">
        <v>1698</v>
      </c>
    </row>
    <row r="194" spans="1:10">
      <c r="A194" t="s">
        <v>388</v>
      </c>
      <c r="B194" t="s">
        <v>390</v>
      </c>
      <c r="D194" t="s">
        <v>76</v>
      </c>
    </row>
    <row r="195" spans="1:10">
      <c r="A195" t="s">
        <v>388</v>
      </c>
      <c r="B195" t="s">
        <v>402</v>
      </c>
      <c r="C195" t="s">
        <v>401</v>
      </c>
      <c r="D195" t="s">
        <v>16</v>
      </c>
      <c r="G195" t="s">
        <v>17</v>
      </c>
      <c r="I195" s="1">
        <v>46196</v>
      </c>
      <c r="J195" t="s">
        <v>1698</v>
      </c>
    </row>
    <row r="196" spans="1:10">
      <c r="A196" t="s">
        <v>388</v>
      </c>
      <c r="B196" t="s">
        <v>414</v>
      </c>
      <c r="C196" t="s">
        <v>413</v>
      </c>
      <c r="D196" t="s">
        <v>16</v>
      </c>
      <c r="G196" t="s">
        <v>17</v>
      </c>
      <c r="I196" s="1">
        <v>46134</v>
      </c>
      <c r="J196" t="s">
        <v>1698</v>
      </c>
    </row>
    <row r="197" spans="1:10">
      <c r="A197" t="s">
        <v>388</v>
      </c>
      <c r="B197" t="s">
        <v>416</v>
      </c>
      <c r="C197" t="s">
        <v>415</v>
      </c>
      <c r="D197" t="s">
        <v>21</v>
      </c>
      <c r="E197" t="s">
        <v>22</v>
      </c>
      <c r="F197">
        <v>8</v>
      </c>
      <c r="G197" s="2">
        <v>46335.645833333336</v>
      </c>
      <c r="H197" s="2">
        <v>46335.708333333336</v>
      </c>
      <c r="I197" s="1">
        <v>46192</v>
      </c>
      <c r="J197" t="s">
        <v>1698</v>
      </c>
    </row>
    <row r="198" spans="1:10">
      <c r="A198" t="s">
        <v>447</v>
      </c>
      <c r="B198" t="s">
        <v>448</v>
      </c>
      <c r="D198" t="s">
        <v>76</v>
      </c>
    </row>
    <row r="199" spans="1:10">
      <c r="A199" t="s">
        <v>447</v>
      </c>
      <c r="B199" t="s">
        <v>1748</v>
      </c>
      <c r="D199" t="s">
        <v>76</v>
      </c>
    </row>
    <row r="200" spans="1:10">
      <c r="A200" t="s">
        <v>447</v>
      </c>
      <c r="B200" t="s">
        <v>449</v>
      </c>
      <c r="D200" t="s">
        <v>76</v>
      </c>
    </row>
    <row r="201" spans="1:10">
      <c r="A201" t="s">
        <v>447</v>
      </c>
      <c r="B201" t="s">
        <v>450</v>
      </c>
      <c r="D201" t="s">
        <v>76</v>
      </c>
    </row>
    <row r="202" spans="1:10">
      <c r="A202" t="s">
        <v>447</v>
      </c>
      <c r="B202" t="s">
        <v>451</v>
      </c>
      <c r="D202" t="s">
        <v>76</v>
      </c>
    </row>
    <row r="203" spans="1:10">
      <c r="A203" t="s">
        <v>447</v>
      </c>
      <c r="B203" t="s">
        <v>452</v>
      </c>
      <c r="D203" t="s">
        <v>76</v>
      </c>
    </row>
    <row r="204" spans="1:10">
      <c r="A204" t="s">
        <v>447</v>
      </c>
      <c r="B204" t="s">
        <v>453</v>
      </c>
      <c r="D204" t="s">
        <v>76</v>
      </c>
    </row>
    <row r="205" spans="1:10">
      <c r="A205" t="s">
        <v>447</v>
      </c>
      <c r="B205" t="s">
        <v>454</v>
      </c>
      <c r="D205" t="s">
        <v>76</v>
      </c>
    </row>
    <row r="206" spans="1:10">
      <c r="A206" t="s">
        <v>447</v>
      </c>
      <c r="B206" t="s">
        <v>455</v>
      </c>
      <c r="D206" t="s">
        <v>76</v>
      </c>
    </row>
    <row r="207" spans="1:10">
      <c r="A207" t="s">
        <v>447</v>
      </c>
      <c r="B207" t="s">
        <v>456</v>
      </c>
      <c r="D207" t="s">
        <v>76</v>
      </c>
    </row>
    <row r="208" spans="1:10">
      <c r="A208" t="s">
        <v>447</v>
      </c>
      <c r="B208" t="s">
        <v>1749</v>
      </c>
      <c r="D208" t="s">
        <v>76</v>
      </c>
    </row>
    <row r="209" spans="1:10">
      <c r="A209" t="s">
        <v>447</v>
      </c>
      <c r="B209" t="s">
        <v>457</v>
      </c>
      <c r="D209" t="s">
        <v>76</v>
      </c>
    </row>
    <row r="210" spans="1:10">
      <c r="A210" t="s">
        <v>447</v>
      </c>
      <c r="B210" t="s">
        <v>458</v>
      </c>
      <c r="D210" t="s">
        <v>76</v>
      </c>
    </row>
    <row r="211" spans="1:10">
      <c r="A211" t="s">
        <v>447</v>
      </c>
      <c r="B211" t="s">
        <v>459</v>
      </c>
      <c r="D211" t="s">
        <v>76</v>
      </c>
    </row>
    <row r="212" spans="1:10">
      <c r="A212" t="s">
        <v>447</v>
      </c>
      <c r="B212" t="s">
        <v>460</v>
      </c>
      <c r="D212" t="s">
        <v>76</v>
      </c>
    </row>
    <row r="213" spans="1:10">
      <c r="A213" t="s">
        <v>447</v>
      </c>
      <c r="B213" t="s">
        <v>1750</v>
      </c>
      <c r="D213" t="s">
        <v>76</v>
      </c>
    </row>
    <row r="214" spans="1:10">
      <c r="A214" t="s">
        <v>447</v>
      </c>
      <c r="B214" t="s">
        <v>461</v>
      </c>
      <c r="D214" t="s">
        <v>76</v>
      </c>
    </row>
    <row r="215" spans="1:10">
      <c r="A215" t="s">
        <v>447</v>
      </c>
      <c r="B215" t="s">
        <v>462</v>
      </c>
      <c r="D215" t="s">
        <v>76</v>
      </c>
    </row>
    <row r="216" spans="1:10">
      <c r="A216" t="s">
        <v>447</v>
      </c>
      <c r="B216" t="s">
        <v>2418</v>
      </c>
      <c r="D216" t="s">
        <v>76</v>
      </c>
    </row>
    <row r="217" spans="1:10">
      <c r="A217" t="s">
        <v>447</v>
      </c>
      <c r="B217" t="s">
        <v>463</v>
      </c>
      <c r="D217" t="s">
        <v>76</v>
      </c>
    </row>
    <row r="218" spans="1:10">
      <c r="A218" t="s">
        <v>447</v>
      </c>
      <c r="B218" t="s">
        <v>1751</v>
      </c>
      <c r="D218" t="s">
        <v>76</v>
      </c>
    </row>
    <row r="219" spans="1:10">
      <c r="A219" t="s">
        <v>447</v>
      </c>
      <c r="B219" t="s">
        <v>2419</v>
      </c>
      <c r="D219" t="s">
        <v>76</v>
      </c>
    </row>
    <row r="220" spans="1:10">
      <c r="A220" t="s">
        <v>1752</v>
      </c>
      <c r="B220" t="s">
        <v>1755</v>
      </c>
      <c r="C220" t="s">
        <v>1756</v>
      </c>
      <c r="D220" t="s">
        <v>16</v>
      </c>
      <c r="G220" s="2">
        <v>46170.583333333336</v>
      </c>
      <c r="H220" s="2">
        <v>46170.645833333336</v>
      </c>
      <c r="I220" s="1">
        <v>46184</v>
      </c>
      <c r="J220" t="s">
        <v>1698</v>
      </c>
    </row>
    <row r="221" spans="1:10">
      <c r="A221" t="s">
        <v>1752</v>
      </c>
      <c r="B221" t="s">
        <v>1753</v>
      </c>
      <c r="C221" t="s">
        <v>1754</v>
      </c>
      <c r="D221" t="s">
        <v>16</v>
      </c>
      <c r="G221" s="2">
        <v>46182.520833333336</v>
      </c>
      <c r="H221" s="2">
        <v>46182.583333333336</v>
      </c>
      <c r="I221" s="1">
        <v>46188</v>
      </c>
      <c r="J221" t="s">
        <v>1698</v>
      </c>
    </row>
    <row r="222" spans="1:10">
      <c r="A222" t="s">
        <v>465</v>
      </c>
      <c r="B222" t="s">
        <v>466</v>
      </c>
      <c r="C222" t="s">
        <v>464</v>
      </c>
      <c r="D222" t="s">
        <v>21</v>
      </c>
      <c r="E222" t="s">
        <v>22</v>
      </c>
      <c r="F222">
        <v>4</v>
      </c>
      <c r="G222" s="2">
        <v>46141.416666666664</v>
      </c>
      <c r="H222" s="2">
        <v>46141.5</v>
      </c>
      <c r="I222" s="1">
        <v>46161</v>
      </c>
      <c r="J222" t="s">
        <v>1698</v>
      </c>
    </row>
    <row r="223" spans="1:10">
      <c r="A223" t="s">
        <v>465</v>
      </c>
      <c r="B223" t="s">
        <v>468</v>
      </c>
      <c r="C223" t="s">
        <v>467</v>
      </c>
      <c r="D223" t="s">
        <v>38</v>
      </c>
      <c r="I223" s="1">
        <v>46196</v>
      </c>
    </row>
    <row r="224" spans="1:10">
      <c r="A224" t="s">
        <v>465</v>
      </c>
      <c r="B224" t="s">
        <v>1111</v>
      </c>
      <c r="C224" t="s">
        <v>473</v>
      </c>
      <c r="D224" t="s">
        <v>21</v>
      </c>
      <c r="E224" t="s">
        <v>22</v>
      </c>
      <c r="F224">
        <v>13</v>
      </c>
      <c r="G224" s="2">
        <v>46132.5625</v>
      </c>
      <c r="H224" s="2">
        <v>46132.729166666664</v>
      </c>
      <c r="I224" s="1">
        <v>46161</v>
      </c>
      <c r="J224" t="s">
        <v>1698</v>
      </c>
    </row>
    <row r="225" spans="1:10">
      <c r="A225" t="s">
        <v>476</v>
      </c>
      <c r="B225" t="s">
        <v>477</v>
      </c>
      <c r="C225" t="s">
        <v>475</v>
      </c>
      <c r="D225" t="s">
        <v>21</v>
      </c>
      <c r="E225" t="s">
        <v>22</v>
      </c>
      <c r="F225">
        <v>17</v>
      </c>
      <c r="G225" s="2">
        <v>46058.583333333336</v>
      </c>
      <c r="H225" s="2">
        <v>46058.666666666664</v>
      </c>
      <c r="I225" s="1">
        <v>46180</v>
      </c>
      <c r="J225" t="s">
        <v>1698</v>
      </c>
    </row>
    <row r="226" spans="1:10">
      <c r="A226" t="s">
        <v>476</v>
      </c>
      <c r="B226" t="s">
        <v>479</v>
      </c>
      <c r="C226" t="s">
        <v>478</v>
      </c>
      <c r="D226" t="s">
        <v>16</v>
      </c>
      <c r="G226" t="s">
        <v>17</v>
      </c>
      <c r="I226" s="1">
        <v>46185</v>
      </c>
      <c r="J226" t="s">
        <v>1698</v>
      </c>
    </row>
    <row r="227" spans="1:10">
      <c r="A227" t="s">
        <v>476</v>
      </c>
      <c r="B227" t="s">
        <v>1757</v>
      </c>
      <c r="C227" t="s">
        <v>1119</v>
      </c>
      <c r="D227" t="s">
        <v>16</v>
      </c>
      <c r="G227" t="s">
        <v>17</v>
      </c>
      <c r="I227" s="1">
        <v>46106</v>
      </c>
      <c r="J227" t="s">
        <v>1698</v>
      </c>
    </row>
    <row r="228" spans="1:10">
      <c r="A228" t="s">
        <v>476</v>
      </c>
      <c r="B228" t="s">
        <v>483</v>
      </c>
      <c r="C228" t="s">
        <v>482</v>
      </c>
      <c r="D228" t="s">
        <v>21</v>
      </c>
      <c r="E228" t="s">
        <v>25</v>
      </c>
      <c r="G228" s="2">
        <v>45719.333333333336</v>
      </c>
      <c r="H228" s="2">
        <v>49419.333333333336</v>
      </c>
      <c r="I228" t="s">
        <v>198</v>
      </c>
      <c r="J228" t="s">
        <v>1698</v>
      </c>
    </row>
    <row r="229" spans="1:10">
      <c r="A229" t="s">
        <v>476</v>
      </c>
      <c r="B229" t="s">
        <v>487</v>
      </c>
      <c r="C229" t="s">
        <v>486</v>
      </c>
      <c r="D229" t="s">
        <v>21</v>
      </c>
      <c r="E229" t="s">
        <v>22</v>
      </c>
      <c r="F229">
        <v>48</v>
      </c>
      <c r="G229" s="2">
        <v>46275.375</v>
      </c>
      <c r="H229" s="2">
        <v>46275.5</v>
      </c>
      <c r="I229" s="1">
        <v>46196</v>
      </c>
      <c r="J229" t="s">
        <v>1698</v>
      </c>
    </row>
    <row r="230" spans="1:10">
      <c r="A230" t="s">
        <v>476</v>
      </c>
      <c r="B230" t="s">
        <v>1120</v>
      </c>
      <c r="C230" t="s">
        <v>1121</v>
      </c>
      <c r="D230" t="s">
        <v>16</v>
      </c>
      <c r="G230" t="s">
        <v>17</v>
      </c>
      <c r="I230" s="1">
        <v>45963</v>
      </c>
      <c r="J230" t="s">
        <v>1698</v>
      </c>
    </row>
    <row r="231" spans="1:10">
      <c r="A231" t="s">
        <v>476</v>
      </c>
      <c r="B231" t="s">
        <v>491</v>
      </c>
      <c r="C231" t="s">
        <v>490</v>
      </c>
      <c r="D231" t="s">
        <v>16</v>
      </c>
      <c r="G231" t="s">
        <v>17</v>
      </c>
      <c r="I231" s="1">
        <v>46175</v>
      </c>
      <c r="J231" t="s">
        <v>1698</v>
      </c>
    </row>
    <row r="232" spans="1:10">
      <c r="A232" t="s">
        <v>476</v>
      </c>
      <c r="B232" t="s">
        <v>493</v>
      </c>
      <c r="C232" t="s">
        <v>492</v>
      </c>
      <c r="D232" t="s">
        <v>21</v>
      </c>
      <c r="E232" t="s">
        <v>22</v>
      </c>
      <c r="F232">
        <v>168</v>
      </c>
      <c r="G232" s="2">
        <v>46209.375</v>
      </c>
      <c r="H232" s="2">
        <v>46209.708333333336</v>
      </c>
      <c r="I232" s="1">
        <v>46196</v>
      </c>
      <c r="J232" t="s">
        <v>1746</v>
      </c>
    </row>
    <row r="233" spans="1:10">
      <c r="A233" t="s">
        <v>476</v>
      </c>
      <c r="B233" t="s">
        <v>495</v>
      </c>
      <c r="C233" t="s">
        <v>494</v>
      </c>
      <c r="D233" t="s">
        <v>21</v>
      </c>
      <c r="E233" t="s">
        <v>22</v>
      </c>
      <c r="F233">
        <v>19</v>
      </c>
      <c r="G233" s="2">
        <v>45968.395833333336</v>
      </c>
      <c r="H233" s="2">
        <v>45968.520833333336</v>
      </c>
      <c r="I233" s="1">
        <v>46192</v>
      </c>
      <c r="J233" t="s">
        <v>1698</v>
      </c>
    </row>
    <row r="234" spans="1:10">
      <c r="A234" t="s">
        <v>476</v>
      </c>
      <c r="B234" t="s">
        <v>497</v>
      </c>
      <c r="C234" t="s">
        <v>496</v>
      </c>
      <c r="D234" t="s">
        <v>38</v>
      </c>
      <c r="I234" s="1">
        <v>46192</v>
      </c>
    </row>
    <row r="235" spans="1:10">
      <c r="A235" t="s">
        <v>476</v>
      </c>
      <c r="B235" t="s">
        <v>1112</v>
      </c>
      <c r="C235" t="s">
        <v>1113</v>
      </c>
      <c r="D235" t="s">
        <v>21</v>
      </c>
      <c r="E235" t="s">
        <v>22</v>
      </c>
      <c r="F235">
        <v>36</v>
      </c>
      <c r="G235" s="2">
        <v>46343.395833333336</v>
      </c>
      <c r="H235" s="2">
        <v>46343.708333333336</v>
      </c>
      <c r="I235" s="1">
        <v>46196</v>
      </c>
      <c r="J235" t="s">
        <v>1698</v>
      </c>
    </row>
    <row r="236" spans="1:10">
      <c r="A236" t="s">
        <v>476</v>
      </c>
      <c r="B236" t="s">
        <v>499</v>
      </c>
      <c r="C236" t="s">
        <v>498</v>
      </c>
      <c r="D236" t="s">
        <v>21</v>
      </c>
      <c r="E236" t="s">
        <v>22</v>
      </c>
      <c r="F236">
        <v>25</v>
      </c>
      <c r="G236" s="2">
        <v>46183.395833333336</v>
      </c>
      <c r="H236" s="2">
        <v>46183.520833333336</v>
      </c>
      <c r="I236" s="1">
        <v>46183</v>
      </c>
      <c r="J236" t="s">
        <v>1698</v>
      </c>
    </row>
    <row r="237" spans="1:10">
      <c r="A237" t="s">
        <v>476</v>
      </c>
      <c r="B237" t="s">
        <v>1123</v>
      </c>
      <c r="C237" t="s">
        <v>1124</v>
      </c>
      <c r="D237" t="s">
        <v>21</v>
      </c>
      <c r="E237" t="s">
        <v>22</v>
      </c>
      <c r="F237">
        <v>70</v>
      </c>
      <c r="G237" s="2">
        <v>46099.645833333336</v>
      </c>
      <c r="H237" s="2">
        <v>46099.708333333336</v>
      </c>
      <c r="I237" s="1">
        <v>46189</v>
      </c>
      <c r="J237" t="s">
        <v>1698</v>
      </c>
    </row>
    <row r="238" spans="1:10">
      <c r="A238" t="s">
        <v>501</v>
      </c>
      <c r="B238" t="s">
        <v>502</v>
      </c>
      <c r="C238" t="s">
        <v>500</v>
      </c>
      <c r="D238" t="s">
        <v>16</v>
      </c>
      <c r="G238" t="s">
        <v>17</v>
      </c>
      <c r="I238" s="1">
        <v>46196</v>
      </c>
      <c r="J238" t="s">
        <v>1698</v>
      </c>
    </row>
    <row r="239" spans="1:10">
      <c r="A239" t="s">
        <v>501</v>
      </c>
      <c r="B239" t="s">
        <v>504</v>
      </c>
      <c r="C239" t="s">
        <v>503</v>
      </c>
      <c r="D239" t="s">
        <v>16</v>
      </c>
      <c r="G239" t="s">
        <v>17</v>
      </c>
      <c r="I239" s="1">
        <v>46196</v>
      </c>
      <c r="J239" t="s">
        <v>1698</v>
      </c>
    </row>
    <row r="240" spans="1:10">
      <c r="A240" t="s">
        <v>501</v>
      </c>
      <c r="B240" t="s">
        <v>1129</v>
      </c>
      <c r="C240" t="s">
        <v>1130</v>
      </c>
      <c r="D240" t="s">
        <v>21</v>
      </c>
      <c r="E240" t="s">
        <v>22</v>
      </c>
      <c r="F240">
        <v>0</v>
      </c>
      <c r="G240" s="2">
        <v>46293.583333333336</v>
      </c>
      <c r="H240" s="2">
        <v>46293.729166666664</v>
      </c>
      <c r="I240" s="1">
        <v>46197</v>
      </c>
      <c r="J240" t="s">
        <v>1698</v>
      </c>
    </row>
    <row r="241" spans="1:10">
      <c r="A241" t="s">
        <v>501</v>
      </c>
      <c r="B241" t="s">
        <v>1129</v>
      </c>
      <c r="C241" t="s">
        <v>1758</v>
      </c>
      <c r="D241" t="s">
        <v>16</v>
      </c>
      <c r="G241" s="2">
        <v>46293.583333333336</v>
      </c>
      <c r="H241" s="2">
        <v>46293.729166666664</v>
      </c>
      <c r="I241" s="1">
        <v>46197</v>
      </c>
      <c r="J241" t="s">
        <v>1698</v>
      </c>
    </row>
    <row r="242" spans="1:10">
      <c r="A242" t="s">
        <v>501</v>
      </c>
      <c r="B242" t="s">
        <v>508</v>
      </c>
      <c r="C242" t="s">
        <v>507</v>
      </c>
      <c r="D242" t="s">
        <v>21</v>
      </c>
      <c r="E242" t="s">
        <v>22</v>
      </c>
      <c r="F242">
        <v>1</v>
      </c>
      <c r="G242" s="2">
        <v>46304.375</v>
      </c>
      <c r="H242" s="2">
        <v>46304.4375</v>
      </c>
      <c r="I242" s="1">
        <v>46121</v>
      </c>
      <c r="J242" t="s">
        <v>1698</v>
      </c>
    </row>
    <row r="243" spans="1:10">
      <c r="A243" t="s">
        <v>501</v>
      </c>
      <c r="B243" t="s">
        <v>510</v>
      </c>
      <c r="C243" t="s">
        <v>509</v>
      </c>
      <c r="D243" t="s">
        <v>16</v>
      </c>
      <c r="G243" t="s">
        <v>17</v>
      </c>
      <c r="I243" s="1">
        <v>46196</v>
      </c>
      <c r="J243" t="s">
        <v>1698</v>
      </c>
    </row>
    <row r="244" spans="1:10">
      <c r="A244" t="s">
        <v>501</v>
      </c>
      <c r="B244" t="s">
        <v>512</v>
      </c>
      <c r="C244" t="s">
        <v>511</v>
      </c>
      <c r="D244" t="s">
        <v>16</v>
      </c>
      <c r="G244" t="s">
        <v>17</v>
      </c>
      <c r="I244" s="1">
        <v>46192</v>
      </c>
      <c r="J244" t="s">
        <v>1698</v>
      </c>
    </row>
    <row r="245" spans="1:10">
      <c r="A245" t="s">
        <v>501</v>
      </c>
      <c r="B245" t="s">
        <v>1759</v>
      </c>
      <c r="D245" t="s">
        <v>76</v>
      </c>
    </row>
    <row r="246" spans="1:10">
      <c r="A246" t="s">
        <v>501</v>
      </c>
      <c r="B246" t="s">
        <v>513</v>
      </c>
      <c r="D246" t="s">
        <v>76</v>
      </c>
    </row>
    <row r="247" spans="1:10">
      <c r="A247" t="s">
        <v>501</v>
      </c>
      <c r="B247" t="s">
        <v>517</v>
      </c>
      <c r="C247" t="s">
        <v>516</v>
      </c>
      <c r="D247" t="s">
        <v>21</v>
      </c>
      <c r="E247" t="s">
        <v>25</v>
      </c>
      <c r="G247" s="2">
        <v>45790.333333333336</v>
      </c>
      <c r="H247" s="2">
        <v>47325.333333333336</v>
      </c>
      <c r="I247" t="s">
        <v>198</v>
      </c>
      <c r="J247" t="s">
        <v>1698</v>
      </c>
    </row>
    <row r="248" spans="1:10">
      <c r="A248" t="s">
        <v>501</v>
      </c>
      <c r="B248" t="s">
        <v>521</v>
      </c>
      <c r="C248" t="s">
        <v>520</v>
      </c>
      <c r="D248" t="s">
        <v>21</v>
      </c>
      <c r="E248" t="s">
        <v>22</v>
      </c>
      <c r="F248">
        <v>2</v>
      </c>
      <c r="G248" s="2">
        <v>46286.583333333336</v>
      </c>
      <c r="H248" s="2">
        <v>46286.645833333336</v>
      </c>
      <c r="I248" s="1">
        <v>46190</v>
      </c>
      <c r="J248" t="s">
        <v>1698</v>
      </c>
    </row>
    <row r="249" spans="1:10">
      <c r="A249" t="s">
        <v>501</v>
      </c>
      <c r="B249" t="s">
        <v>1131</v>
      </c>
      <c r="C249" t="s">
        <v>1132</v>
      </c>
      <c r="D249" t="s">
        <v>21</v>
      </c>
      <c r="E249" t="s">
        <v>22</v>
      </c>
      <c r="F249">
        <v>12</v>
      </c>
      <c r="G249" s="2">
        <v>46126.375</v>
      </c>
      <c r="H249" s="2">
        <v>46126.520833333336</v>
      </c>
      <c r="I249" s="1">
        <v>46188</v>
      </c>
      <c r="J249" t="s">
        <v>1698</v>
      </c>
    </row>
    <row r="250" spans="1:10">
      <c r="A250" t="s">
        <v>501</v>
      </c>
      <c r="B250" t="s">
        <v>527</v>
      </c>
      <c r="C250" t="s">
        <v>526</v>
      </c>
      <c r="D250" t="s">
        <v>21</v>
      </c>
      <c r="E250" t="s">
        <v>25</v>
      </c>
      <c r="G250" s="2">
        <v>46170.375</v>
      </c>
      <c r="H250" s="2">
        <v>47330.333333333336</v>
      </c>
      <c r="I250" t="s">
        <v>198</v>
      </c>
      <c r="J250" t="s">
        <v>1698</v>
      </c>
    </row>
    <row r="251" spans="1:10">
      <c r="A251" t="s">
        <v>501</v>
      </c>
      <c r="B251" t="s">
        <v>529</v>
      </c>
      <c r="C251" t="s">
        <v>1135</v>
      </c>
      <c r="D251" t="s">
        <v>21</v>
      </c>
      <c r="E251" t="s">
        <v>22</v>
      </c>
      <c r="F251">
        <v>4</v>
      </c>
      <c r="G251" s="2">
        <v>46126.583333333336</v>
      </c>
      <c r="H251" s="2">
        <v>46126.729166666664</v>
      </c>
      <c r="I251" s="1">
        <v>46132</v>
      </c>
      <c r="J251" t="s">
        <v>1698</v>
      </c>
    </row>
    <row r="252" spans="1:10">
      <c r="A252" t="s">
        <v>501</v>
      </c>
      <c r="B252" t="s">
        <v>2420</v>
      </c>
      <c r="C252" t="s">
        <v>2421</v>
      </c>
      <c r="D252" t="s">
        <v>21</v>
      </c>
      <c r="E252" t="s">
        <v>22</v>
      </c>
      <c r="F252">
        <v>1</v>
      </c>
      <c r="G252" s="2">
        <v>45658.333333333336</v>
      </c>
      <c r="H252" s="2">
        <v>47330.333333333336</v>
      </c>
      <c r="I252" s="1">
        <v>45673</v>
      </c>
      <c r="J252" t="s">
        <v>1698</v>
      </c>
    </row>
    <row r="253" spans="1:10">
      <c r="A253" t="s">
        <v>501</v>
      </c>
      <c r="B253" t="s">
        <v>2422</v>
      </c>
      <c r="C253" t="s">
        <v>1761</v>
      </c>
      <c r="D253" t="s">
        <v>21</v>
      </c>
      <c r="E253" t="s">
        <v>25</v>
      </c>
      <c r="G253" s="2">
        <v>46099.625</v>
      </c>
      <c r="H253" s="2">
        <v>46099.729166666664</v>
      </c>
      <c r="I253" s="1">
        <v>46099</v>
      </c>
      <c r="J253" t="s">
        <v>1698</v>
      </c>
    </row>
    <row r="254" spans="1:10">
      <c r="A254" t="s">
        <v>501</v>
      </c>
      <c r="B254" t="s">
        <v>2423</v>
      </c>
      <c r="C254" t="s">
        <v>1765</v>
      </c>
      <c r="D254" t="s">
        <v>21</v>
      </c>
      <c r="E254" t="s">
        <v>25</v>
      </c>
      <c r="I254" t="s">
        <v>198</v>
      </c>
      <c r="J254" t="s">
        <v>1698</v>
      </c>
    </row>
    <row r="255" spans="1:10">
      <c r="A255" t="s">
        <v>501</v>
      </c>
      <c r="B255" t="s">
        <v>2424</v>
      </c>
      <c r="C255" t="s">
        <v>2425</v>
      </c>
      <c r="D255" t="s">
        <v>21</v>
      </c>
      <c r="E255" t="s">
        <v>25</v>
      </c>
      <c r="G255" s="2">
        <v>46001.416666666664</v>
      </c>
      <c r="H255" s="2">
        <v>46001.520833333336</v>
      </c>
      <c r="I255" s="1">
        <v>46002</v>
      </c>
      <c r="J255" t="s">
        <v>1698</v>
      </c>
    </row>
    <row r="256" spans="1:10">
      <c r="A256" t="s">
        <v>501</v>
      </c>
      <c r="B256" t="s">
        <v>2426</v>
      </c>
      <c r="C256" t="s">
        <v>1763</v>
      </c>
      <c r="D256" t="s">
        <v>21</v>
      </c>
      <c r="E256" t="s">
        <v>25</v>
      </c>
      <c r="I256" t="s">
        <v>198</v>
      </c>
      <c r="J256" t="s">
        <v>1698</v>
      </c>
    </row>
    <row r="257" spans="1:10">
      <c r="A257" t="s">
        <v>501</v>
      </c>
      <c r="B257" t="s">
        <v>2427</v>
      </c>
      <c r="C257" t="s">
        <v>2428</v>
      </c>
      <c r="D257" t="s">
        <v>21</v>
      </c>
      <c r="E257" t="s">
        <v>22</v>
      </c>
      <c r="F257">
        <v>49</v>
      </c>
      <c r="G257" s="2">
        <v>46196.375</v>
      </c>
      <c r="H257" s="2">
        <v>46196.520833333336</v>
      </c>
      <c r="I257" s="1">
        <v>46196</v>
      </c>
      <c r="J257" t="s">
        <v>1698</v>
      </c>
    </row>
    <row r="258" spans="1:10">
      <c r="A258" t="s">
        <v>501</v>
      </c>
      <c r="B258" t="s">
        <v>531</v>
      </c>
      <c r="C258" t="s">
        <v>530</v>
      </c>
      <c r="D258" t="s">
        <v>21</v>
      </c>
      <c r="E258" t="s">
        <v>22</v>
      </c>
      <c r="F258">
        <v>4</v>
      </c>
      <c r="G258" s="2">
        <v>46286.395833333336</v>
      </c>
      <c r="H258" s="2">
        <v>46286.479166666664</v>
      </c>
      <c r="I258" s="1">
        <v>46196</v>
      </c>
      <c r="J258" t="s">
        <v>1698</v>
      </c>
    </row>
    <row r="259" spans="1:10">
      <c r="A259" t="s">
        <v>533</v>
      </c>
      <c r="B259" t="s">
        <v>534</v>
      </c>
      <c r="C259" t="s">
        <v>532</v>
      </c>
      <c r="D259" t="s">
        <v>21</v>
      </c>
      <c r="E259" t="s">
        <v>22</v>
      </c>
      <c r="F259">
        <v>101</v>
      </c>
      <c r="G259" s="2">
        <v>46188.583333333336</v>
      </c>
      <c r="H259" s="2">
        <v>46188.625</v>
      </c>
      <c r="I259" s="1">
        <v>46196</v>
      </c>
      <c r="J259" t="s">
        <v>1698</v>
      </c>
    </row>
    <row r="260" spans="1:10">
      <c r="A260" t="s">
        <v>533</v>
      </c>
      <c r="B260" t="s">
        <v>536</v>
      </c>
      <c r="C260" t="s">
        <v>535</v>
      </c>
      <c r="D260" t="s">
        <v>21</v>
      </c>
      <c r="E260" t="s">
        <v>22</v>
      </c>
      <c r="F260">
        <v>82</v>
      </c>
      <c r="G260" s="2">
        <v>46198.583333333336</v>
      </c>
      <c r="H260" s="2">
        <v>46198.645833333336</v>
      </c>
      <c r="I260" s="1">
        <v>46196</v>
      </c>
      <c r="J260" t="s">
        <v>1698</v>
      </c>
    </row>
    <row r="261" spans="1:10">
      <c r="A261" t="s">
        <v>533</v>
      </c>
      <c r="B261" t="s">
        <v>52</v>
      </c>
      <c r="C261" t="s">
        <v>51</v>
      </c>
      <c r="D261" t="s">
        <v>21</v>
      </c>
      <c r="E261" t="s">
        <v>22</v>
      </c>
      <c r="F261">
        <v>71</v>
      </c>
      <c r="G261" s="2">
        <v>46196.416666666664</v>
      </c>
      <c r="H261" s="2">
        <v>46196.541666666664</v>
      </c>
      <c r="I261" s="1">
        <v>46197</v>
      </c>
      <c r="J261" t="s">
        <v>1698</v>
      </c>
    </row>
    <row r="262" spans="1:10">
      <c r="A262" t="s">
        <v>533</v>
      </c>
      <c r="B262" t="s">
        <v>538</v>
      </c>
      <c r="C262" t="s">
        <v>537</v>
      </c>
      <c r="D262" t="s">
        <v>21</v>
      </c>
      <c r="E262" t="s">
        <v>22</v>
      </c>
      <c r="F262">
        <v>275</v>
      </c>
      <c r="G262" s="2">
        <v>46364.583333333336</v>
      </c>
      <c r="H262" s="2">
        <v>46364.666666666664</v>
      </c>
      <c r="I262" s="1">
        <v>46197</v>
      </c>
      <c r="J262" t="s">
        <v>1698</v>
      </c>
    </row>
    <row r="263" spans="1:10">
      <c r="A263" t="s">
        <v>533</v>
      </c>
      <c r="B263" t="s">
        <v>1112</v>
      </c>
      <c r="C263" t="s">
        <v>1113</v>
      </c>
      <c r="D263" t="s">
        <v>21</v>
      </c>
      <c r="E263" t="s">
        <v>22</v>
      </c>
      <c r="F263">
        <v>36</v>
      </c>
      <c r="G263" s="2">
        <v>46343.395833333336</v>
      </c>
      <c r="H263" s="2">
        <v>46343.708333333336</v>
      </c>
      <c r="I263" s="1">
        <v>46196</v>
      </c>
      <c r="J263" t="s">
        <v>1698</v>
      </c>
    </row>
    <row r="264" spans="1:10">
      <c r="A264" t="s">
        <v>533</v>
      </c>
      <c r="B264" t="s">
        <v>540</v>
      </c>
      <c r="C264" t="s">
        <v>539</v>
      </c>
      <c r="D264" t="s">
        <v>21</v>
      </c>
      <c r="E264" t="s">
        <v>22</v>
      </c>
      <c r="F264">
        <v>51</v>
      </c>
      <c r="G264" s="2">
        <v>46371.458333333336</v>
      </c>
      <c r="H264" s="2">
        <v>46371.5</v>
      </c>
      <c r="I264" s="1">
        <v>46197</v>
      </c>
      <c r="J264" t="s">
        <v>1698</v>
      </c>
    </row>
    <row r="265" spans="1:10">
      <c r="A265" t="s">
        <v>542</v>
      </c>
      <c r="B265" t="s">
        <v>1775</v>
      </c>
      <c r="C265" t="s">
        <v>1501</v>
      </c>
      <c r="D265" t="s">
        <v>21</v>
      </c>
      <c r="E265" t="s">
        <v>22</v>
      </c>
      <c r="F265">
        <v>8</v>
      </c>
      <c r="G265" s="2">
        <v>46182.375</v>
      </c>
      <c r="H265" s="2">
        <v>46182.524305555555</v>
      </c>
      <c r="I265" s="1">
        <v>46192</v>
      </c>
      <c r="J265" t="s">
        <v>1698</v>
      </c>
    </row>
    <row r="266" spans="1:10">
      <c r="A266" t="s">
        <v>542</v>
      </c>
      <c r="B266" t="s">
        <v>1776</v>
      </c>
      <c r="C266" t="s">
        <v>1777</v>
      </c>
      <c r="D266" t="s">
        <v>21</v>
      </c>
      <c r="E266" t="s">
        <v>22</v>
      </c>
      <c r="F266">
        <v>7</v>
      </c>
      <c r="G266" s="2">
        <v>46126.375</v>
      </c>
      <c r="H266" s="2">
        <v>46126.520833333336</v>
      </c>
      <c r="I266" s="1">
        <v>46181</v>
      </c>
      <c r="J266" t="s">
        <v>1698</v>
      </c>
    </row>
    <row r="267" spans="1:10">
      <c r="A267" t="s">
        <v>542</v>
      </c>
      <c r="B267" t="s">
        <v>543</v>
      </c>
      <c r="C267" t="s">
        <v>541</v>
      </c>
      <c r="D267" t="s">
        <v>21</v>
      </c>
      <c r="E267" t="s">
        <v>22</v>
      </c>
      <c r="F267">
        <v>31</v>
      </c>
      <c r="G267" s="2">
        <v>46344.375</v>
      </c>
      <c r="H267" s="2">
        <v>46345.520833333336</v>
      </c>
      <c r="I267" s="1">
        <v>46197</v>
      </c>
      <c r="J267" t="s">
        <v>1698</v>
      </c>
    </row>
    <row r="268" spans="1:10">
      <c r="A268" t="s">
        <v>545</v>
      </c>
      <c r="B268" t="s">
        <v>546</v>
      </c>
      <c r="C268" t="s">
        <v>544</v>
      </c>
      <c r="D268" t="s">
        <v>21</v>
      </c>
      <c r="E268" t="s">
        <v>25</v>
      </c>
      <c r="G268" s="2">
        <v>45699.333333333336</v>
      </c>
      <c r="H268" s="2">
        <v>47326.333333333336</v>
      </c>
      <c r="I268" t="s">
        <v>198</v>
      </c>
      <c r="J268" t="s">
        <v>1698</v>
      </c>
    </row>
    <row r="269" spans="1:10">
      <c r="A269" t="s">
        <v>545</v>
      </c>
      <c r="B269" t="s">
        <v>1145</v>
      </c>
      <c r="C269" t="s">
        <v>1146</v>
      </c>
      <c r="D269" t="s">
        <v>21</v>
      </c>
      <c r="E269" t="s">
        <v>22</v>
      </c>
      <c r="F269">
        <v>58</v>
      </c>
      <c r="G269" s="2">
        <v>46288.375</v>
      </c>
      <c r="H269" s="2">
        <v>46288.708333333336</v>
      </c>
      <c r="I269" s="1">
        <v>46196</v>
      </c>
      <c r="J269" t="s">
        <v>1698</v>
      </c>
    </row>
    <row r="270" spans="1:10">
      <c r="A270" t="s">
        <v>545</v>
      </c>
      <c r="B270" t="s">
        <v>548</v>
      </c>
      <c r="C270" t="s">
        <v>547</v>
      </c>
      <c r="D270" t="s">
        <v>21</v>
      </c>
      <c r="E270" t="s">
        <v>22</v>
      </c>
      <c r="F270">
        <v>34</v>
      </c>
      <c r="G270" s="2">
        <v>46084.375</v>
      </c>
      <c r="H270" s="2">
        <v>46084.709027777775</v>
      </c>
      <c r="I270" s="1">
        <v>46188</v>
      </c>
      <c r="J270" t="s">
        <v>1698</v>
      </c>
    </row>
    <row r="271" spans="1:10">
      <c r="A271" t="s">
        <v>545</v>
      </c>
      <c r="B271" t="s">
        <v>1147</v>
      </c>
      <c r="C271" t="s">
        <v>1148</v>
      </c>
      <c r="D271" t="s">
        <v>21</v>
      </c>
      <c r="E271" t="s">
        <v>22</v>
      </c>
      <c r="F271">
        <v>46</v>
      </c>
      <c r="G271" s="2">
        <v>46321.375</v>
      </c>
      <c r="H271" s="2">
        <v>46322.6875</v>
      </c>
      <c r="I271" s="1">
        <v>46196</v>
      </c>
      <c r="J271" t="s">
        <v>1698</v>
      </c>
    </row>
    <row r="272" spans="1:10">
      <c r="A272" t="s">
        <v>545</v>
      </c>
      <c r="B272" t="s">
        <v>554</v>
      </c>
      <c r="C272" t="s">
        <v>553</v>
      </c>
      <c r="D272" t="s">
        <v>21</v>
      </c>
      <c r="E272" t="s">
        <v>22</v>
      </c>
      <c r="F272">
        <v>22</v>
      </c>
      <c r="G272" s="2">
        <v>46364.375</v>
      </c>
      <c r="H272" s="2">
        <v>46364.729166666664</v>
      </c>
      <c r="I272" s="1">
        <v>46197</v>
      </c>
      <c r="J272" t="s">
        <v>1698</v>
      </c>
    </row>
    <row r="273" spans="1:10">
      <c r="A273" t="s">
        <v>545</v>
      </c>
      <c r="B273" t="s">
        <v>558</v>
      </c>
      <c r="C273" t="s">
        <v>557</v>
      </c>
      <c r="D273" t="s">
        <v>21</v>
      </c>
      <c r="E273" t="s">
        <v>22</v>
      </c>
      <c r="F273">
        <v>88</v>
      </c>
      <c r="G273" s="2">
        <v>46196.583333333336</v>
      </c>
      <c r="H273" s="2">
        <v>46196.729861111111</v>
      </c>
      <c r="I273" s="1">
        <v>46196</v>
      </c>
      <c r="J273" t="s">
        <v>1698</v>
      </c>
    </row>
    <row r="274" spans="1:10">
      <c r="A274" t="s">
        <v>560</v>
      </c>
      <c r="B274" t="s">
        <v>1149</v>
      </c>
      <c r="C274" t="s">
        <v>1150</v>
      </c>
      <c r="D274" t="s">
        <v>21</v>
      </c>
      <c r="E274" t="s">
        <v>22</v>
      </c>
      <c r="F274">
        <v>15</v>
      </c>
      <c r="G274" s="2">
        <v>46100.416666666664</v>
      </c>
      <c r="H274" s="2">
        <v>46100.5</v>
      </c>
      <c r="I274" s="1">
        <v>46178</v>
      </c>
      <c r="J274" t="s">
        <v>1698</v>
      </c>
    </row>
    <row r="275" spans="1:10">
      <c r="A275" t="s">
        <v>560</v>
      </c>
      <c r="B275" t="s">
        <v>1778</v>
      </c>
      <c r="C275" t="s">
        <v>559</v>
      </c>
      <c r="D275" t="s">
        <v>21</v>
      </c>
      <c r="E275" t="s">
        <v>22</v>
      </c>
      <c r="F275">
        <v>22</v>
      </c>
      <c r="G275" s="2">
        <v>46323.375</v>
      </c>
      <c r="H275" s="2">
        <v>46323.708333333336</v>
      </c>
      <c r="I275" s="1">
        <v>46197</v>
      </c>
      <c r="J275" t="s">
        <v>1698</v>
      </c>
    </row>
    <row r="276" spans="1:10">
      <c r="A276" t="s">
        <v>560</v>
      </c>
      <c r="B276" t="s">
        <v>563</v>
      </c>
      <c r="C276" t="s">
        <v>562</v>
      </c>
      <c r="D276" t="s">
        <v>21</v>
      </c>
      <c r="E276" t="s">
        <v>22</v>
      </c>
      <c r="F276">
        <v>11</v>
      </c>
      <c r="G276" s="2">
        <v>46286.375</v>
      </c>
      <c r="H276" s="2">
        <v>46286.708333333336</v>
      </c>
      <c r="I276" s="1">
        <v>46181</v>
      </c>
      <c r="J276" t="s">
        <v>1698</v>
      </c>
    </row>
    <row r="277" spans="1:10">
      <c r="A277" t="s">
        <v>560</v>
      </c>
      <c r="B277" t="s">
        <v>1513</v>
      </c>
      <c r="C277" t="s">
        <v>1514</v>
      </c>
      <c r="D277" t="s">
        <v>21</v>
      </c>
      <c r="E277" t="s">
        <v>22</v>
      </c>
      <c r="F277">
        <v>9</v>
      </c>
      <c r="G277" s="2">
        <v>46330.375</v>
      </c>
      <c r="H277" s="2">
        <v>46330.520833333336</v>
      </c>
      <c r="I277" s="1">
        <v>46195</v>
      </c>
      <c r="J277" t="s">
        <v>1698</v>
      </c>
    </row>
    <row r="278" spans="1:10">
      <c r="A278" t="s">
        <v>560</v>
      </c>
      <c r="B278" t="s">
        <v>565</v>
      </c>
      <c r="C278" t="s">
        <v>1153</v>
      </c>
      <c r="D278" t="s">
        <v>21</v>
      </c>
      <c r="E278" t="s">
        <v>22</v>
      </c>
      <c r="F278">
        <v>6</v>
      </c>
      <c r="G278" s="2">
        <v>46268.375</v>
      </c>
      <c r="H278" s="2">
        <v>46269.520833333336</v>
      </c>
      <c r="I278" s="1">
        <v>46178</v>
      </c>
      <c r="J278" t="s">
        <v>1698</v>
      </c>
    </row>
    <row r="279" spans="1:10">
      <c r="A279" t="s">
        <v>560</v>
      </c>
      <c r="B279" t="s">
        <v>567</v>
      </c>
      <c r="C279" t="s">
        <v>1154</v>
      </c>
      <c r="D279" t="s">
        <v>21</v>
      </c>
      <c r="E279" t="s">
        <v>22</v>
      </c>
      <c r="F279">
        <v>6</v>
      </c>
      <c r="G279" s="2">
        <v>46169.375</v>
      </c>
      <c r="H279" s="2">
        <v>46170.708333333336</v>
      </c>
      <c r="I279" s="1">
        <v>46176</v>
      </c>
      <c r="J279" t="s">
        <v>1698</v>
      </c>
    </row>
    <row r="280" spans="1:10">
      <c r="A280" t="s">
        <v>560</v>
      </c>
      <c r="B280" t="s">
        <v>569</v>
      </c>
      <c r="C280" t="s">
        <v>568</v>
      </c>
      <c r="D280" t="s">
        <v>21</v>
      </c>
      <c r="E280" t="s">
        <v>22</v>
      </c>
      <c r="F280">
        <v>30</v>
      </c>
      <c r="G280" s="2">
        <v>46309.375</v>
      </c>
      <c r="H280" s="2">
        <v>46309.708333333336</v>
      </c>
      <c r="I280" s="1">
        <v>46195</v>
      </c>
      <c r="J280" t="s">
        <v>1698</v>
      </c>
    </row>
    <row r="281" spans="1:10">
      <c r="A281" t="s">
        <v>560</v>
      </c>
      <c r="B281" t="s">
        <v>571</v>
      </c>
      <c r="C281" t="s">
        <v>1152</v>
      </c>
      <c r="D281" t="s">
        <v>21</v>
      </c>
      <c r="E281" t="s">
        <v>22</v>
      </c>
      <c r="F281">
        <v>18</v>
      </c>
      <c r="G281" s="2">
        <v>46267.375</v>
      </c>
      <c r="H281" s="2">
        <v>46267.708333333336</v>
      </c>
      <c r="I281" s="1">
        <v>46195</v>
      </c>
      <c r="J281" t="s">
        <v>1698</v>
      </c>
    </row>
    <row r="282" spans="1:10">
      <c r="A282" t="s">
        <v>560</v>
      </c>
      <c r="B282" t="s">
        <v>573</v>
      </c>
      <c r="C282" t="s">
        <v>572</v>
      </c>
      <c r="D282" t="s">
        <v>21</v>
      </c>
      <c r="E282" t="s">
        <v>22</v>
      </c>
      <c r="F282">
        <v>48</v>
      </c>
      <c r="G282" s="2">
        <v>45916.385416666664</v>
      </c>
      <c r="H282" s="2">
        <v>45916.5</v>
      </c>
      <c r="I282" s="1">
        <v>46164</v>
      </c>
      <c r="J282" t="s">
        <v>1779</v>
      </c>
    </row>
    <row r="283" spans="1:10">
      <c r="A283" t="s">
        <v>560</v>
      </c>
      <c r="B283" t="s">
        <v>575</v>
      </c>
      <c r="C283" t="s">
        <v>574</v>
      </c>
      <c r="D283" t="s">
        <v>21</v>
      </c>
      <c r="E283" t="s">
        <v>22</v>
      </c>
      <c r="F283">
        <v>9</v>
      </c>
      <c r="G283" s="2">
        <v>46181.458333333336</v>
      </c>
      <c r="H283" s="2">
        <v>46181.5</v>
      </c>
      <c r="I283" s="1">
        <v>46184</v>
      </c>
      <c r="J283" t="s">
        <v>1698</v>
      </c>
    </row>
    <row r="284" spans="1:10">
      <c r="A284" t="s">
        <v>560</v>
      </c>
      <c r="B284" t="s">
        <v>577</v>
      </c>
      <c r="C284" t="s">
        <v>576</v>
      </c>
      <c r="D284" t="s">
        <v>21</v>
      </c>
      <c r="E284" t="s">
        <v>22</v>
      </c>
      <c r="F284">
        <v>154</v>
      </c>
      <c r="G284" s="2">
        <v>46356.375</v>
      </c>
      <c r="H284" s="2">
        <v>46356.520833333336</v>
      </c>
      <c r="I284" s="1">
        <v>46197</v>
      </c>
      <c r="J284" t="s">
        <v>1698</v>
      </c>
    </row>
    <row r="285" spans="1:10">
      <c r="A285" t="s">
        <v>560</v>
      </c>
      <c r="B285" t="s">
        <v>579</v>
      </c>
      <c r="C285" t="s">
        <v>580</v>
      </c>
      <c r="D285" t="s">
        <v>21</v>
      </c>
      <c r="E285" t="s">
        <v>22</v>
      </c>
      <c r="F285">
        <v>15</v>
      </c>
      <c r="G285" s="2">
        <v>46185.375</v>
      </c>
      <c r="H285" s="2">
        <v>46185.708333333336</v>
      </c>
      <c r="I285" s="1">
        <v>46192</v>
      </c>
      <c r="J285" t="s">
        <v>1698</v>
      </c>
    </row>
    <row r="286" spans="1:10">
      <c r="A286" t="s">
        <v>560</v>
      </c>
      <c r="B286" t="s">
        <v>1507</v>
      </c>
      <c r="C286" t="s">
        <v>1508</v>
      </c>
      <c r="D286" t="s">
        <v>21</v>
      </c>
      <c r="E286" t="s">
        <v>22</v>
      </c>
      <c r="F286">
        <v>3</v>
      </c>
      <c r="G286" s="2">
        <v>46183.375</v>
      </c>
      <c r="H286" s="2">
        <v>46183.521527777775</v>
      </c>
      <c r="I286" s="1">
        <v>46183</v>
      </c>
      <c r="J286" t="s">
        <v>1698</v>
      </c>
    </row>
    <row r="287" spans="1:10">
      <c r="A287" t="s">
        <v>560</v>
      </c>
      <c r="B287" t="s">
        <v>1494</v>
      </c>
      <c r="C287" t="s">
        <v>1495</v>
      </c>
      <c r="D287" t="s">
        <v>21</v>
      </c>
      <c r="E287" t="s">
        <v>22</v>
      </c>
      <c r="F287">
        <v>7</v>
      </c>
      <c r="G287" s="2">
        <v>46184.583333333336</v>
      </c>
      <c r="H287" s="2">
        <v>46184.666666666664</v>
      </c>
      <c r="I287" s="1">
        <v>46195</v>
      </c>
      <c r="J287" t="s">
        <v>1698</v>
      </c>
    </row>
    <row r="288" spans="1:10">
      <c r="A288" t="s">
        <v>560</v>
      </c>
      <c r="B288" t="s">
        <v>582</v>
      </c>
      <c r="C288" t="s">
        <v>581</v>
      </c>
      <c r="D288" t="s">
        <v>21</v>
      </c>
      <c r="E288" t="s">
        <v>25</v>
      </c>
      <c r="G288" s="2">
        <v>45696.333333333336</v>
      </c>
      <c r="H288" s="2">
        <v>47330.333333333336</v>
      </c>
      <c r="I288" t="s">
        <v>198</v>
      </c>
      <c r="J288" t="s">
        <v>1698</v>
      </c>
    </row>
    <row r="289" spans="1:10">
      <c r="A289" t="s">
        <v>584</v>
      </c>
      <c r="B289" t="s">
        <v>585</v>
      </c>
      <c r="C289" t="s">
        <v>583</v>
      </c>
      <c r="D289" t="s">
        <v>21</v>
      </c>
      <c r="E289" t="s">
        <v>25</v>
      </c>
      <c r="G289" s="2">
        <v>45689.333333333336</v>
      </c>
      <c r="H289" s="2">
        <v>47325.333333333336</v>
      </c>
      <c r="I289" t="s">
        <v>198</v>
      </c>
      <c r="J289" t="s">
        <v>1698</v>
      </c>
    </row>
    <row r="290" spans="1:10">
      <c r="A290" t="s">
        <v>584</v>
      </c>
      <c r="B290" t="s">
        <v>587</v>
      </c>
      <c r="C290" t="s">
        <v>586</v>
      </c>
      <c r="D290" t="s">
        <v>21</v>
      </c>
      <c r="E290" t="s">
        <v>22</v>
      </c>
      <c r="F290">
        <v>13</v>
      </c>
      <c r="G290" s="2">
        <v>46321.375</v>
      </c>
      <c r="H290" s="2">
        <v>46321.708333333336</v>
      </c>
      <c r="I290" s="1">
        <v>46191</v>
      </c>
      <c r="J290" t="s">
        <v>1698</v>
      </c>
    </row>
    <row r="291" spans="1:10">
      <c r="A291" t="s">
        <v>584</v>
      </c>
      <c r="B291" t="s">
        <v>589</v>
      </c>
      <c r="C291" t="s">
        <v>588</v>
      </c>
      <c r="D291" t="s">
        <v>21</v>
      </c>
      <c r="E291" t="s">
        <v>22</v>
      </c>
      <c r="F291">
        <v>9</v>
      </c>
      <c r="G291" s="2">
        <v>46288.375</v>
      </c>
      <c r="H291" s="2">
        <v>46288.708333333336</v>
      </c>
      <c r="I291" s="1">
        <v>46197</v>
      </c>
      <c r="J291" t="s">
        <v>1698</v>
      </c>
    </row>
    <row r="292" spans="1:10">
      <c r="A292" t="s">
        <v>584</v>
      </c>
      <c r="B292" t="s">
        <v>591</v>
      </c>
      <c r="C292" t="s">
        <v>1157</v>
      </c>
      <c r="D292" t="s">
        <v>21</v>
      </c>
      <c r="E292" t="s">
        <v>22</v>
      </c>
      <c r="F292">
        <v>95</v>
      </c>
      <c r="G292" s="2">
        <v>46343.375</v>
      </c>
      <c r="H292" s="2">
        <v>46343.708333333336</v>
      </c>
      <c r="I292" s="1">
        <v>46197</v>
      </c>
      <c r="J292" t="s">
        <v>1698</v>
      </c>
    </row>
    <row r="293" spans="1:10">
      <c r="A293" t="s">
        <v>584</v>
      </c>
      <c r="B293" t="s">
        <v>1494</v>
      </c>
      <c r="C293" t="s">
        <v>1495</v>
      </c>
      <c r="D293" t="s">
        <v>21</v>
      </c>
      <c r="E293" t="s">
        <v>22</v>
      </c>
      <c r="F293">
        <v>7</v>
      </c>
      <c r="G293" s="2">
        <v>46184.583333333336</v>
      </c>
      <c r="H293" s="2">
        <v>46184.666666666664</v>
      </c>
      <c r="I293" s="1">
        <v>46195</v>
      </c>
      <c r="J293" t="s">
        <v>1698</v>
      </c>
    </row>
    <row r="294" spans="1:10">
      <c r="A294" t="s">
        <v>584</v>
      </c>
      <c r="B294" t="s">
        <v>593</v>
      </c>
      <c r="C294" t="s">
        <v>1158</v>
      </c>
      <c r="D294" t="s">
        <v>21</v>
      </c>
      <c r="E294" t="s">
        <v>22</v>
      </c>
      <c r="F294">
        <v>96</v>
      </c>
      <c r="G294" s="2">
        <v>46321.375</v>
      </c>
      <c r="H294" s="2">
        <v>46321.708333333336</v>
      </c>
      <c r="I294" s="1">
        <v>46197</v>
      </c>
      <c r="J294" t="s">
        <v>1698</v>
      </c>
    </row>
    <row r="295" spans="1:10">
      <c r="A295" t="s">
        <v>1766</v>
      </c>
      <c r="B295" t="s">
        <v>1767</v>
      </c>
      <c r="C295" t="s">
        <v>1768</v>
      </c>
      <c r="D295" t="s">
        <v>21</v>
      </c>
      <c r="E295" t="s">
        <v>22</v>
      </c>
      <c r="F295">
        <v>2</v>
      </c>
      <c r="G295" s="2">
        <v>46204.416666666664</v>
      </c>
      <c r="H295" s="2">
        <v>46204.5</v>
      </c>
      <c r="I295" s="1">
        <v>46189</v>
      </c>
      <c r="J295" t="s">
        <v>1698</v>
      </c>
    </row>
    <row r="296" spans="1:10">
      <c r="A296" t="s">
        <v>1766</v>
      </c>
      <c r="B296" t="s">
        <v>1769</v>
      </c>
      <c r="C296" t="s">
        <v>1770</v>
      </c>
      <c r="D296" t="s">
        <v>21</v>
      </c>
      <c r="E296" t="s">
        <v>22</v>
      </c>
      <c r="F296">
        <v>15</v>
      </c>
      <c r="G296" s="2">
        <v>46175.395833333336</v>
      </c>
      <c r="H296" s="2">
        <v>46175.5</v>
      </c>
      <c r="I296" s="1">
        <v>46188</v>
      </c>
      <c r="J296" t="s">
        <v>1698</v>
      </c>
    </row>
    <row r="297" spans="1:10">
      <c r="A297" t="s">
        <v>1766</v>
      </c>
      <c r="B297" t="s">
        <v>596</v>
      </c>
      <c r="C297" t="s">
        <v>594</v>
      </c>
      <c r="D297" t="s">
        <v>21</v>
      </c>
      <c r="E297" t="s">
        <v>22</v>
      </c>
      <c r="F297">
        <v>4</v>
      </c>
      <c r="G297" s="2">
        <v>46323.416666666664</v>
      </c>
      <c r="H297" s="2">
        <v>46323.520833333336</v>
      </c>
      <c r="I297" s="1">
        <v>46184</v>
      </c>
      <c r="J297" t="s">
        <v>1698</v>
      </c>
    </row>
    <row r="298" spans="1:10">
      <c r="A298" t="s">
        <v>1766</v>
      </c>
      <c r="B298" t="s">
        <v>1771</v>
      </c>
      <c r="C298" t="s">
        <v>597</v>
      </c>
      <c r="D298" t="s">
        <v>21</v>
      </c>
      <c r="E298" t="s">
        <v>22</v>
      </c>
      <c r="F298">
        <v>16</v>
      </c>
      <c r="G298" s="2">
        <v>46336.395833333336</v>
      </c>
      <c r="H298" s="2">
        <v>46336.520833333336</v>
      </c>
      <c r="I298" s="1">
        <v>46190</v>
      </c>
      <c r="J298" t="s">
        <v>1698</v>
      </c>
    </row>
    <row r="299" spans="1:10">
      <c r="A299" t="s">
        <v>1766</v>
      </c>
      <c r="B299" t="s">
        <v>1772</v>
      </c>
      <c r="C299" t="s">
        <v>1773</v>
      </c>
      <c r="D299" t="s">
        <v>21</v>
      </c>
      <c r="E299" t="s">
        <v>25</v>
      </c>
      <c r="G299" s="2">
        <v>45419.333333333336</v>
      </c>
      <c r="H299" s="2">
        <v>47325.791666666664</v>
      </c>
      <c r="I299" t="s">
        <v>198</v>
      </c>
      <c r="J299" t="s">
        <v>1698</v>
      </c>
    </row>
    <row r="300" spans="1:10">
      <c r="A300" t="s">
        <v>1766</v>
      </c>
      <c r="B300" t="s">
        <v>600</v>
      </c>
      <c r="C300" t="s">
        <v>599</v>
      </c>
      <c r="D300" t="s">
        <v>21</v>
      </c>
      <c r="E300" t="s">
        <v>22</v>
      </c>
      <c r="F300">
        <v>17</v>
      </c>
      <c r="G300" s="2">
        <v>46338.4375</v>
      </c>
      <c r="H300" s="2">
        <v>46338.520833333336</v>
      </c>
      <c r="I300" s="1">
        <v>46196</v>
      </c>
      <c r="J300" t="s">
        <v>1698</v>
      </c>
    </row>
    <row r="301" spans="1:10">
      <c r="A301" t="s">
        <v>1766</v>
      </c>
      <c r="B301" t="s">
        <v>602</v>
      </c>
      <c r="C301" t="s">
        <v>601</v>
      </c>
      <c r="D301" t="s">
        <v>21</v>
      </c>
      <c r="E301" t="s">
        <v>25</v>
      </c>
      <c r="G301" s="2">
        <v>46345.604166666664</v>
      </c>
      <c r="H301" s="2">
        <v>46345.666666666664</v>
      </c>
      <c r="I301" s="1">
        <v>46195</v>
      </c>
      <c r="J301" t="s">
        <v>1698</v>
      </c>
    </row>
    <row r="302" spans="1:10">
      <c r="A302" t="s">
        <v>1766</v>
      </c>
      <c r="B302" t="s">
        <v>606</v>
      </c>
      <c r="C302" t="s">
        <v>1139</v>
      </c>
      <c r="D302" t="s">
        <v>21</v>
      </c>
      <c r="E302" t="s">
        <v>25</v>
      </c>
      <c r="G302" s="2">
        <v>45489.333333333336</v>
      </c>
      <c r="H302" s="2">
        <v>47325.708333333336</v>
      </c>
      <c r="I302" t="s">
        <v>198</v>
      </c>
      <c r="J302" t="s">
        <v>1698</v>
      </c>
    </row>
    <row r="303" spans="1:10">
      <c r="A303" t="s">
        <v>1766</v>
      </c>
      <c r="B303" t="s">
        <v>611</v>
      </c>
      <c r="C303" t="s">
        <v>612</v>
      </c>
      <c r="D303" t="s">
        <v>21</v>
      </c>
      <c r="E303" t="s">
        <v>22</v>
      </c>
      <c r="F303">
        <v>24</v>
      </c>
      <c r="G303" s="2">
        <v>46168.395833333336</v>
      </c>
      <c r="H303" s="2">
        <v>46168.5</v>
      </c>
      <c r="I303" s="1">
        <v>46189</v>
      </c>
      <c r="J303" t="s">
        <v>1698</v>
      </c>
    </row>
    <row r="304" spans="1:10">
      <c r="A304" t="s">
        <v>1766</v>
      </c>
      <c r="B304" t="s">
        <v>614</v>
      </c>
      <c r="C304" t="s">
        <v>615</v>
      </c>
      <c r="D304" t="s">
        <v>21</v>
      </c>
      <c r="E304" t="s">
        <v>22</v>
      </c>
      <c r="F304">
        <v>13</v>
      </c>
      <c r="G304" s="2">
        <v>46177.583333333336</v>
      </c>
      <c r="H304" s="2">
        <v>46177.708333333336</v>
      </c>
      <c r="I304" s="1">
        <v>46189</v>
      </c>
      <c r="J304" t="s">
        <v>1698</v>
      </c>
    </row>
    <row r="305" spans="1:10">
      <c r="A305" t="s">
        <v>1766</v>
      </c>
      <c r="B305" t="s">
        <v>617</v>
      </c>
      <c r="C305" t="s">
        <v>616</v>
      </c>
      <c r="D305" t="s">
        <v>21</v>
      </c>
      <c r="E305" t="s">
        <v>22</v>
      </c>
      <c r="F305">
        <v>11</v>
      </c>
      <c r="G305" s="2">
        <v>46189.395833333336</v>
      </c>
      <c r="H305" s="2">
        <v>46189.520833333336</v>
      </c>
      <c r="I305" s="1">
        <v>46189</v>
      </c>
      <c r="J305" t="s">
        <v>1698</v>
      </c>
    </row>
    <row r="306" spans="1:10">
      <c r="A306" t="s">
        <v>1766</v>
      </c>
      <c r="B306" t="s">
        <v>619</v>
      </c>
      <c r="C306" t="s">
        <v>618</v>
      </c>
      <c r="D306" t="s">
        <v>21</v>
      </c>
      <c r="E306" t="s">
        <v>22</v>
      </c>
      <c r="F306">
        <v>6</v>
      </c>
      <c r="G306" s="2">
        <v>46189.583333333336</v>
      </c>
      <c r="H306" s="2">
        <v>46189.6875</v>
      </c>
      <c r="I306" s="1">
        <v>46189</v>
      </c>
      <c r="J306" t="s">
        <v>1698</v>
      </c>
    </row>
    <row r="307" spans="1:10">
      <c r="A307" t="s">
        <v>1766</v>
      </c>
      <c r="B307" t="s">
        <v>621</v>
      </c>
      <c r="C307" t="s">
        <v>620</v>
      </c>
      <c r="D307" t="s">
        <v>21</v>
      </c>
      <c r="E307" t="s">
        <v>22</v>
      </c>
      <c r="F307">
        <v>4</v>
      </c>
      <c r="G307" s="2">
        <v>46338.583333333336</v>
      </c>
      <c r="H307" s="2">
        <v>46338.6875</v>
      </c>
      <c r="I307" s="1">
        <v>46176</v>
      </c>
      <c r="J307" t="s">
        <v>1698</v>
      </c>
    </row>
    <row r="308" spans="1:10">
      <c r="A308" t="s">
        <v>1774</v>
      </c>
      <c r="B308" t="s">
        <v>604</v>
      </c>
      <c r="C308" t="s">
        <v>603</v>
      </c>
      <c r="D308" t="s">
        <v>21</v>
      </c>
      <c r="E308" t="s">
        <v>22</v>
      </c>
      <c r="F308">
        <v>29</v>
      </c>
      <c r="G308" s="2">
        <v>46310.395833333336</v>
      </c>
      <c r="H308" s="2">
        <v>46310.729166666664</v>
      </c>
      <c r="I308" s="1">
        <v>46127</v>
      </c>
      <c r="J308" t="s">
        <v>1698</v>
      </c>
    </row>
    <row r="309" spans="1:10">
      <c r="A309" t="s">
        <v>1774</v>
      </c>
      <c r="B309" t="s">
        <v>2429</v>
      </c>
      <c r="C309" t="s">
        <v>1006</v>
      </c>
      <c r="D309" t="s">
        <v>16</v>
      </c>
      <c r="G309" t="s">
        <v>17</v>
      </c>
      <c r="I309" s="1">
        <v>46182</v>
      </c>
      <c r="J309" t="s">
        <v>1698</v>
      </c>
    </row>
    <row r="310" spans="1:10">
      <c r="A310" t="s">
        <v>1774</v>
      </c>
      <c r="B310" t="s">
        <v>609</v>
      </c>
      <c r="C310" t="s">
        <v>608</v>
      </c>
      <c r="D310" t="s">
        <v>21</v>
      </c>
      <c r="E310" t="s">
        <v>25</v>
      </c>
      <c r="G310" s="2">
        <v>45708.333333333336</v>
      </c>
      <c r="H310" s="2">
        <v>47330.333333333336</v>
      </c>
      <c r="I310" t="s">
        <v>198</v>
      </c>
      <c r="J310" t="s">
        <v>1698</v>
      </c>
    </row>
    <row r="311" spans="1:10">
      <c r="A311" t="s">
        <v>1774</v>
      </c>
      <c r="B311" t="s">
        <v>2430</v>
      </c>
      <c r="C311" t="s">
        <v>1008</v>
      </c>
      <c r="D311" t="s">
        <v>16</v>
      </c>
      <c r="G311" t="s">
        <v>17</v>
      </c>
      <c r="I311" s="1">
        <v>46181</v>
      </c>
      <c r="J311" t="s">
        <v>1698</v>
      </c>
    </row>
    <row r="312" spans="1:10">
      <c r="A312" t="s">
        <v>623</v>
      </c>
      <c r="B312" t="s">
        <v>624</v>
      </c>
      <c r="C312" t="s">
        <v>622</v>
      </c>
      <c r="D312" t="s">
        <v>21</v>
      </c>
      <c r="E312" t="s">
        <v>22</v>
      </c>
      <c r="F312">
        <v>2</v>
      </c>
      <c r="G312" s="2">
        <v>45992.392361111109</v>
      </c>
      <c r="H312" s="2">
        <v>46295.333333333336</v>
      </c>
      <c r="I312" s="1">
        <v>46043</v>
      </c>
      <c r="J312" t="s">
        <v>1698</v>
      </c>
    </row>
    <row r="313" spans="1:10">
      <c r="A313" t="s">
        <v>623</v>
      </c>
      <c r="B313" t="s">
        <v>628</v>
      </c>
      <c r="C313" t="s">
        <v>627</v>
      </c>
      <c r="D313" t="s">
        <v>16</v>
      </c>
      <c r="G313" t="s">
        <v>17</v>
      </c>
      <c r="J313" t="s">
        <v>1698</v>
      </c>
    </row>
    <row r="314" spans="1:10">
      <c r="A314" t="s">
        <v>623</v>
      </c>
      <c r="B314" t="s">
        <v>630</v>
      </c>
      <c r="C314" t="s">
        <v>629</v>
      </c>
      <c r="D314" t="s">
        <v>21</v>
      </c>
      <c r="E314" t="s">
        <v>25</v>
      </c>
      <c r="G314" s="2">
        <v>45628.333333333336</v>
      </c>
      <c r="H314" s="2">
        <v>47301.333333333336</v>
      </c>
      <c r="I314" t="s">
        <v>198</v>
      </c>
      <c r="J314" t="s">
        <v>1698</v>
      </c>
    </row>
    <row r="315" spans="1:10">
      <c r="A315" t="s">
        <v>623</v>
      </c>
      <c r="B315" t="s">
        <v>634</v>
      </c>
      <c r="C315" t="s">
        <v>633</v>
      </c>
      <c r="D315" t="s">
        <v>38</v>
      </c>
      <c r="I315" s="1">
        <v>46185</v>
      </c>
    </row>
    <row r="316" spans="1:10">
      <c r="A316" t="s">
        <v>623</v>
      </c>
      <c r="B316" t="s">
        <v>636</v>
      </c>
      <c r="C316" t="s">
        <v>635</v>
      </c>
      <c r="D316" t="s">
        <v>38</v>
      </c>
      <c r="I316" s="1">
        <v>46185</v>
      </c>
    </row>
    <row r="317" spans="1:10">
      <c r="A317" t="s">
        <v>623</v>
      </c>
      <c r="B317" t="s">
        <v>638</v>
      </c>
      <c r="C317" t="s">
        <v>637</v>
      </c>
      <c r="D317" t="s">
        <v>38</v>
      </c>
      <c r="I317" s="1">
        <v>46128</v>
      </c>
    </row>
    <row r="318" spans="1:10">
      <c r="A318" t="s">
        <v>623</v>
      </c>
      <c r="B318" t="s">
        <v>1780</v>
      </c>
      <c r="C318" t="s">
        <v>1781</v>
      </c>
      <c r="D318" t="s">
        <v>16</v>
      </c>
      <c r="G318" s="2">
        <v>46176.4375</v>
      </c>
      <c r="H318" s="2">
        <v>46176.479166666664</v>
      </c>
      <c r="I318" s="1">
        <v>46181</v>
      </c>
      <c r="J318" t="s">
        <v>1698</v>
      </c>
    </row>
    <row r="319" spans="1:10">
      <c r="A319" t="s">
        <v>623</v>
      </c>
      <c r="B319" t="s">
        <v>645</v>
      </c>
      <c r="C319" t="s">
        <v>644</v>
      </c>
      <c r="D319" t="s">
        <v>21</v>
      </c>
      <c r="E319" t="s">
        <v>22</v>
      </c>
      <c r="F319">
        <v>6</v>
      </c>
      <c r="G319" s="2">
        <v>45832.395833333336</v>
      </c>
      <c r="H319" s="2">
        <v>45832.520833333336</v>
      </c>
      <c r="I319" s="1">
        <v>46029</v>
      </c>
      <c r="J319" t="s">
        <v>1698</v>
      </c>
    </row>
    <row r="320" spans="1:10">
      <c r="A320" t="s">
        <v>623</v>
      </c>
      <c r="B320" t="s">
        <v>647</v>
      </c>
      <c r="C320" t="s">
        <v>646</v>
      </c>
      <c r="D320" t="s">
        <v>21</v>
      </c>
      <c r="E320" t="s">
        <v>22</v>
      </c>
      <c r="F320">
        <v>5</v>
      </c>
      <c r="G320" s="2">
        <v>45968.416666666664</v>
      </c>
      <c r="H320" s="2">
        <v>45968.5</v>
      </c>
      <c r="I320" s="1">
        <v>45989</v>
      </c>
      <c r="J320" t="s">
        <v>1698</v>
      </c>
    </row>
    <row r="321" spans="1:10">
      <c r="A321" t="s">
        <v>1163</v>
      </c>
      <c r="B321" t="s">
        <v>1786</v>
      </c>
      <c r="C321" t="s">
        <v>1787</v>
      </c>
      <c r="D321" t="s">
        <v>21</v>
      </c>
      <c r="E321" t="s">
        <v>22</v>
      </c>
      <c r="F321">
        <v>48</v>
      </c>
      <c r="G321" s="2">
        <v>46317.5625</v>
      </c>
      <c r="H321" s="2">
        <v>46318.708333333336</v>
      </c>
      <c r="I321" s="1">
        <v>46195</v>
      </c>
      <c r="J321" t="s">
        <v>1788</v>
      </c>
    </row>
    <row r="322" spans="1:10">
      <c r="A322" t="s">
        <v>1163</v>
      </c>
      <c r="B322" t="s">
        <v>294</v>
      </c>
      <c r="C322" t="s">
        <v>292</v>
      </c>
      <c r="D322" t="s">
        <v>21</v>
      </c>
      <c r="E322" t="s">
        <v>22</v>
      </c>
      <c r="F322">
        <v>23</v>
      </c>
      <c r="G322" s="2">
        <v>46289.458333333336</v>
      </c>
      <c r="H322" s="2">
        <v>46289.5</v>
      </c>
      <c r="I322" s="1">
        <v>46196</v>
      </c>
      <c r="J322" t="s">
        <v>1698</v>
      </c>
    </row>
    <row r="323" spans="1:10">
      <c r="A323" t="s">
        <v>1163</v>
      </c>
      <c r="B323" t="s">
        <v>296</v>
      </c>
      <c r="C323" t="s">
        <v>295</v>
      </c>
      <c r="D323" t="s">
        <v>21</v>
      </c>
      <c r="E323" t="s">
        <v>25</v>
      </c>
      <c r="I323" s="1">
        <v>46196</v>
      </c>
      <c r="J323" t="s">
        <v>1698</v>
      </c>
    </row>
    <row r="324" spans="1:10">
      <c r="A324" t="s">
        <v>1163</v>
      </c>
      <c r="B324" t="s">
        <v>1789</v>
      </c>
      <c r="C324" t="s">
        <v>1790</v>
      </c>
      <c r="D324" t="s">
        <v>21</v>
      </c>
      <c r="E324" t="s">
        <v>22</v>
      </c>
      <c r="F324">
        <v>0</v>
      </c>
      <c r="G324" s="2">
        <v>46295.395833333336</v>
      </c>
      <c r="H324" s="2">
        <v>46295.458333333336</v>
      </c>
      <c r="I324" s="1">
        <v>46196</v>
      </c>
      <c r="J324" t="s">
        <v>1698</v>
      </c>
    </row>
    <row r="325" spans="1:10">
      <c r="A325" t="s">
        <v>1163</v>
      </c>
      <c r="B325" t="s">
        <v>1791</v>
      </c>
      <c r="C325" t="s">
        <v>1792</v>
      </c>
      <c r="D325" t="s">
        <v>21</v>
      </c>
      <c r="E325" t="s">
        <v>22</v>
      </c>
      <c r="F325">
        <v>27</v>
      </c>
      <c r="G325" s="2">
        <v>46286.395833333336</v>
      </c>
      <c r="H325" s="2">
        <v>46287.520833333336</v>
      </c>
      <c r="I325" s="1">
        <v>46196</v>
      </c>
      <c r="J325" t="s">
        <v>1746</v>
      </c>
    </row>
    <row r="326" spans="1:10">
      <c r="A326" t="s">
        <v>1163</v>
      </c>
      <c r="B326" t="s">
        <v>1793</v>
      </c>
      <c r="C326" t="s">
        <v>1794</v>
      </c>
      <c r="D326" t="s">
        <v>21</v>
      </c>
      <c r="E326" t="s">
        <v>22</v>
      </c>
      <c r="F326">
        <v>27</v>
      </c>
      <c r="G326" s="2">
        <v>46359.375</v>
      </c>
      <c r="H326" s="2">
        <v>46359.541666666664</v>
      </c>
      <c r="I326" s="1">
        <v>46196</v>
      </c>
      <c r="J326" t="s">
        <v>1795</v>
      </c>
    </row>
    <row r="327" spans="1:10">
      <c r="A327" t="s">
        <v>1163</v>
      </c>
      <c r="B327" t="s">
        <v>1796</v>
      </c>
      <c r="C327" t="s">
        <v>1797</v>
      </c>
      <c r="D327" t="s">
        <v>21</v>
      </c>
      <c r="E327" t="s">
        <v>22</v>
      </c>
      <c r="F327">
        <v>12</v>
      </c>
      <c r="G327" s="2">
        <v>46360.395833333336</v>
      </c>
      <c r="H327" s="2">
        <v>46360.541666666664</v>
      </c>
      <c r="I327" s="1">
        <v>46196</v>
      </c>
      <c r="J327" t="s">
        <v>1795</v>
      </c>
    </row>
    <row r="328" spans="1:10">
      <c r="A328" t="s">
        <v>1163</v>
      </c>
      <c r="B328" t="s">
        <v>1164</v>
      </c>
      <c r="C328" t="s">
        <v>1165</v>
      </c>
      <c r="D328" t="s">
        <v>21</v>
      </c>
      <c r="E328" t="s">
        <v>25</v>
      </c>
      <c r="I328" s="1">
        <v>46196</v>
      </c>
      <c r="J328" t="s">
        <v>1698</v>
      </c>
    </row>
    <row r="329" spans="1:10">
      <c r="A329" t="s">
        <v>1163</v>
      </c>
      <c r="B329" t="s">
        <v>1166</v>
      </c>
      <c r="C329" t="s">
        <v>1167</v>
      </c>
      <c r="D329" t="s">
        <v>21</v>
      </c>
      <c r="E329" t="s">
        <v>22</v>
      </c>
      <c r="F329">
        <v>1</v>
      </c>
      <c r="G329" s="2">
        <v>46297.479166666664</v>
      </c>
      <c r="H329" s="2">
        <v>46297.520833333336</v>
      </c>
      <c r="I329" s="1">
        <v>46197</v>
      </c>
      <c r="J329" t="s">
        <v>1698</v>
      </c>
    </row>
    <row r="330" spans="1:10">
      <c r="A330" t="s">
        <v>1163</v>
      </c>
      <c r="B330" t="s">
        <v>1168</v>
      </c>
      <c r="C330" t="s">
        <v>1169</v>
      </c>
      <c r="D330" t="s">
        <v>21</v>
      </c>
      <c r="E330" t="s">
        <v>22</v>
      </c>
      <c r="F330">
        <v>2</v>
      </c>
      <c r="G330" s="2">
        <v>46133.625</v>
      </c>
      <c r="H330" s="2">
        <v>46133.666666666664</v>
      </c>
      <c r="I330" s="1">
        <v>46136</v>
      </c>
      <c r="J330" t="s">
        <v>1698</v>
      </c>
    </row>
    <row r="331" spans="1:10">
      <c r="A331" t="s">
        <v>1163</v>
      </c>
      <c r="B331" t="s">
        <v>1170</v>
      </c>
      <c r="C331" t="s">
        <v>1171</v>
      </c>
      <c r="D331" t="s">
        <v>21</v>
      </c>
      <c r="E331" t="s">
        <v>25</v>
      </c>
      <c r="I331" s="1">
        <v>46185</v>
      </c>
      <c r="J331" t="s">
        <v>1698</v>
      </c>
    </row>
    <row r="332" spans="1:10">
      <c r="A332" t="s">
        <v>1163</v>
      </c>
      <c r="B332" t="s">
        <v>1172</v>
      </c>
      <c r="C332" t="s">
        <v>1173</v>
      </c>
      <c r="D332" t="s">
        <v>21</v>
      </c>
      <c r="E332" t="s">
        <v>22</v>
      </c>
      <c r="F332">
        <v>39</v>
      </c>
      <c r="G332" s="2">
        <v>46331.479166666664</v>
      </c>
      <c r="H332" s="2">
        <v>46331.520833333336</v>
      </c>
      <c r="I332" s="1">
        <v>46196</v>
      </c>
      <c r="J332" t="s">
        <v>1698</v>
      </c>
    </row>
    <row r="333" spans="1:10">
      <c r="A333" t="s">
        <v>1163</v>
      </c>
      <c r="B333" t="s">
        <v>1798</v>
      </c>
      <c r="C333" t="s">
        <v>1799</v>
      </c>
      <c r="D333" t="s">
        <v>21</v>
      </c>
      <c r="E333" t="s">
        <v>22</v>
      </c>
      <c r="F333">
        <v>29</v>
      </c>
      <c r="G333" s="2">
        <v>46308.416666666664</v>
      </c>
      <c r="H333" s="2">
        <v>46308.458333333336</v>
      </c>
      <c r="I333" s="1">
        <v>46196</v>
      </c>
      <c r="J333" t="s">
        <v>1698</v>
      </c>
    </row>
    <row r="334" spans="1:10">
      <c r="A334" t="s">
        <v>1163</v>
      </c>
      <c r="B334" t="s">
        <v>1800</v>
      </c>
      <c r="C334" t="s">
        <v>1801</v>
      </c>
      <c r="D334" t="s">
        <v>21</v>
      </c>
      <c r="E334" t="s">
        <v>22</v>
      </c>
      <c r="F334">
        <v>15</v>
      </c>
      <c r="G334" s="2">
        <v>46344.583333333336</v>
      </c>
      <c r="H334" s="2">
        <v>46344.708333333336</v>
      </c>
      <c r="I334" s="1">
        <v>46115</v>
      </c>
      <c r="J334" t="s">
        <v>1795</v>
      </c>
    </row>
    <row r="335" spans="1:10">
      <c r="A335" t="s">
        <v>1163</v>
      </c>
      <c r="B335" t="s">
        <v>1174</v>
      </c>
      <c r="C335" t="s">
        <v>1175</v>
      </c>
      <c r="D335" t="s">
        <v>21</v>
      </c>
      <c r="E335" t="s">
        <v>22</v>
      </c>
      <c r="F335">
        <v>44</v>
      </c>
      <c r="G335" s="2">
        <v>46148.479166666664</v>
      </c>
      <c r="H335" s="2">
        <v>46148.520833333336</v>
      </c>
      <c r="I335" s="1">
        <v>46192</v>
      </c>
      <c r="J335" t="s">
        <v>1698</v>
      </c>
    </row>
    <row r="336" spans="1:10">
      <c r="A336" t="s">
        <v>1163</v>
      </c>
      <c r="B336" t="s">
        <v>1176</v>
      </c>
      <c r="C336" t="s">
        <v>1177</v>
      </c>
      <c r="D336" t="s">
        <v>21</v>
      </c>
      <c r="E336" t="s">
        <v>25</v>
      </c>
      <c r="I336" s="1">
        <v>46192</v>
      </c>
      <c r="J336" t="s">
        <v>1698</v>
      </c>
    </row>
    <row r="337" spans="1:10">
      <c r="A337" t="s">
        <v>1163</v>
      </c>
      <c r="B337" t="s">
        <v>1178</v>
      </c>
      <c r="C337" t="s">
        <v>1179</v>
      </c>
      <c r="D337" t="s">
        <v>21</v>
      </c>
      <c r="E337" t="s">
        <v>22</v>
      </c>
      <c r="F337">
        <v>0</v>
      </c>
      <c r="G337" s="2">
        <v>46282.458333333336</v>
      </c>
      <c r="H337" s="2">
        <v>46282.5</v>
      </c>
      <c r="I337" s="1">
        <v>46197</v>
      </c>
      <c r="J337" t="s">
        <v>1698</v>
      </c>
    </row>
    <row r="338" spans="1:10">
      <c r="A338" t="s">
        <v>1163</v>
      </c>
      <c r="B338" t="s">
        <v>1802</v>
      </c>
      <c r="C338" t="s">
        <v>1803</v>
      </c>
      <c r="D338" t="s">
        <v>21</v>
      </c>
      <c r="E338" t="s">
        <v>22</v>
      </c>
      <c r="F338">
        <v>9</v>
      </c>
      <c r="G338" s="2">
        <v>46185.395833333336</v>
      </c>
      <c r="H338" s="2">
        <v>46185.541666666664</v>
      </c>
      <c r="I338" s="1">
        <v>46176</v>
      </c>
      <c r="J338" t="s">
        <v>1795</v>
      </c>
    </row>
    <row r="339" spans="1:10">
      <c r="A339" t="s">
        <v>1163</v>
      </c>
      <c r="B339" t="s">
        <v>1804</v>
      </c>
      <c r="C339" t="s">
        <v>1805</v>
      </c>
      <c r="D339" t="s">
        <v>21</v>
      </c>
      <c r="E339" t="s">
        <v>22</v>
      </c>
      <c r="F339">
        <v>30</v>
      </c>
      <c r="G339" s="2">
        <v>46129.395833333336</v>
      </c>
      <c r="H339" s="2">
        <v>46129.541666666664</v>
      </c>
      <c r="I339" s="1">
        <v>46191</v>
      </c>
      <c r="J339" t="s">
        <v>1779</v>
      </c>
    </row>
    <row r="340" spans="1:10">
      <c r="A340" t="s">
        <v>1163</v>
      </c>
      <c r="B340" t="s">
        <v>1806</v>
      </c>
      <c r="C340" t="s">
        <v>1807</v>
      </c>
      <c r="D340" t="s">
        <v>21</v>
      </c>
      <c r="E340" t="s">
        <v>22</v>
      </c>
      <c r="F340">
        <v>54</v>
      </c>
      <c r="G340" s="2">
        <v>46345.395833333336</v>
      </c>
      <c r="H340" s="2">
        <v>46346.541666666664</v>
      </c>
      <c r="I340" s="1">
        <v>46196</v>
      </c>
      <c r="J340" t="s">
        <v>1746</v>
      </c>
    </row>
    <row r="341" spans="1:10">
      <c r="A341" t="s">
        <v>1163</v>
      </c>
      <c r="B341" t="s">
        <v>1808</v>
      </c>
      <c r="C341" t="s">
        <v>1809</v>
      </c>
      <c r="D341" t="s">
        <v>21</v>
      </c>
      <c r="E341" t="s">
        <v>22</v>
      </c>
      <c r="F341">
        <v>14</v>
      </c>
      <c r="G341" s="2">
        <v>46063.395833333336</v>
      </c>
      <c r="H341" s="2">
        <v>46063.708333333336</v>
      </c>
      <c r="I341" s="1">
        <v>46184</v>
      </c>
      <c r="J341" t="s">
        <v>1746</v>
      </c>
    </row>
    <row r="342" spans="1:10">
      <c r="A342" t="s">
        <v>1163</v>
      </c>
      <c r="B342" t="s">
        <v>1810</v>
      </c>
      <c r="C342" t="s">
        <v>1811</v>
      </c>
      <c r="D342" t="s">
        <v>21</v>
      </c>
      <c r="E342" t="s">
        <v>22</v>
      </c>
      <c r="F342">
        <v>2</v>
      </c>
      <c r="G342" s="2">
        <v>46213.395833333336</v>
      </c>
      <c r="H342" s="2">
        <v>46213.520833333336</v>
      </c>
      <c r="I342" s="1">
        <v>46195</v>
      </c>
      <c r="J342" t="s">
        <v>1795</v>
      </c>
    </row>
    <row r="343" spans="1:10">
      <c r="A343" t="s">
        <v>1163</v>
      </c>
      <c r="B343" t="s">
        <v>1812</v>
      </c>
      <c r="C343" t="s">
        <v>1813</v>
      </c>
      <c r="D343" t="s">
        <v>21</v>
      </c>
      <c r="E343" t="s">
        <v>22</v>
      </c>
      <c r="F343">
        <v>70</v>
      </c>
      <c r="G343" s="2">
        <v>46183.395833333336</v>
      </c>
      <c r="H343" s="2">
        <v>46183.521527777775</v>
      </c>
      <c r="I343" s="1">
        <v>46183</v>
      </c>
      <c r="J343" t="s">
        <v>1795</v>
      </c>
    </row>
    <row r="344" spans="1:10">
      <c r="A344" t="s">
        <v>1163</v>
      </c>
      <c r="B344" t="s">
        <v>1814</v>
      </c>
      <c r="C344" t="s">
        <v>1815</v>
      </c>
      <c r="D344" t="s">
        <v>21</v>
      </c>
      <c r="E344" t="s">
        <v>22</v>
      </c>
      <c r="F344">
        <v>28</v>
      </c>
      <c r="G344" s="2">
        <v>46311.395833333336</v>
      </c>
      <c r="H344" s="2">
        <v>46311.520833333336</v>
      </c>
      <c r="I344" s="1">
        <v>46121</v>
      </c>
      <c r="J344" t="s">
        <v>1795</v>
      </c>
    </row>
    <row r="345" spans="1:10">
      <c r="A345" t="s">
        <v>1163</v>
      </c>
      <c r="B345" t="s">
        <v>1816</v>
      </c>
      <c r="C345" t="s">
        <v>1817</v>
      </c>
      <c r="D345" t="s">
        <v>21</v>
      </c>
      <c r="E345" t="s">
        <v>22</v>
      </c>
      <c r="F345">
        <v>3</v>
      </c>
      <c r="G345" s="2">
        <v>46276.395833333336</v>
      </c>
      <c r="H345" s="2">
        <v>46276.520833333336</v>
      </c>
      <c r="I345" s="1">
        <v>46148</v>
      </c>
      <c r="J345" t="s">
        <v>1795</v>
      </c>
    </row>
    <row r="346" spans="1:10">
      <c r="A346" t="s">
        <v>1163</v>
      </c>
      <c r="B346" t="s">
        <v>1818</v>
      </c>
      <c r="C346" t="s">
        <v>1819</v>
      </c>
      <c r="D346" t="s">
        <v>21</v>
      </c>
      <c r="E346" t="s">
        <v>22</v>
      </c>
      <c r="F346">
        <v>58</v>
      </c>
      <c r="G346" s="2">
        <v>46108.395833333336</v>
      </c>
      <c r="H346" s="2">
        <v>46108.520833333336</v>
      </c>
      <c r="I346" s="1">
        <v>46192</v>
      </c>
      <c r="J346" t="s">
        <v>1795</v>
      </c>
    </row>
    <row r="347" spans="1:10">
      <c r="A347" t="s">
        <v>1163</v>
      </c>
      <c r="B347" t="s">
        <v>575</v>
      </c>
      <c r="C347" t="s">
        <v>574</v>
      </c>
      <c r="D347" t="s">
        <v>21</v>
      </c>
      <c r="E347" t="s">
        <v>22</v>
      </c>
      <c r="F347">
        <v>9</v>
      </c>
      <c r="G347" s="2">
        <v>46181.458333333336</v>
      </c>
      <c r="H347" s="2">
        <v>46181.5</v>
      </c>
      <c r="I347" s="1">
        <v>46184</v>
      </c>
      <c r="J347" t="s">
        <v>1698</v>
      </c>
    </row>
    <row r="348" spans="1:10">
      <c r="A348" t="s">
        <v>1163</v>
      </c>
      <c r="B348" t="s">
        <v>1180</v>
      </c>
      <c r="C348" t="s">
        <v>1181</v>
      </c>
      <c r="D348" t="s">
        <v>21</v>
      </c>
      <c r="E348" t="s">
        <v>25</v>
      </c>
      <c r="I348" s="1">
        <v>46119</v>
      </c>
      <c r="J348" t="s">
        <v>1698</v>
      </c>
    </row>
    <row r="349" spans="1:10">
      <c r="A349" t="s">
        <v>1163</v>
      </c>
      <c r="B349" t="s">
        <v>1820</v>
      </c>
      <c r="C349" t="s">
        <v>1821</v>
      </c>
      <c r="D349" t="s">
        <v>21</v>
      </c>
      <c r="E349" t="s">
        <v>22</v>
      </c>
      <c r="F349">
        <v>38</v>
      </c>
      <c r="G349" s="2">
        <v>46310.395833333336</v>
      </c>
      <c r="H349" s="2">
        <v>46310.708333333336</v>
      </c>
      <c r="I349" s="1">
        <v>46192</v>
      </c>
      <c r="J349" t="s">
        <v>1746</v>
      </c>
    </row>
    <row r="350" spans="1:10">
      <c r="A350" t="s">
        <v>1163</v>
      </c>
      <c r="B350" t="s">
        <v>1822</v>
      </c>
      <c r="C350" t="s">
        <v>1823</v>
      </c>
      <c r="D350" t="s">
        <v>21</v>
      </c>
      <c r="E350" t="s">
        <v>22</v>
      </c>
      <c r="F350">
        <v>37</v>
      </c>
      <c r="G350" s="2">
        <v>46349.5625</v>
      </c>
      <c r="H350" s="2">
        <v>46350.541666666664</v>
      </c>
      <c r="I350" s="1">
        <v>46196</v>
      </c>
      <c r="J350" t="s">
        <v>1746</v>
      </c>
    </row>
    <row r="351" spans="1:10">
      <c r="A351" t="s">
        <v>1163</v>
      </c>
      <c r="B351" t="s">
        <v>1824</v>
      </c>
      <c r="C351" t="s">
        <v>1825</v>
      </c>
      <c r="D351" t="s">
        <v>21</v>
      </c>
      <c r="E351" t="s">
        <v>22</v>
      </c>
      <c r="F351">
        <v>24</v>
      </c>
      <c r="G351" s="2">
        <v>46314.395833333336</v>
      </c>
      <c r="H351" s="2">
        <v>46315.541666666664</v>
      </c>
      <c r="I351" s="1">
        <v>46195</v>
      </c>
      <c r="J351" t="s">
        <v>1746</v>
      </c>
    </row>
    <row r="352" spans="1:10">
      <c r="A352" t="s">
        <v>1163</v>
      </c>
      <c r="B352" t="s">
        <v>1782</v>
      </c>
      <c r="C352" t="s">
        <v>1783</v>
      </c>
      <c r="D352" t="s">
        <v>16</v>
      </c>
      <c r="G352" t="s">
        <v>17</v>
      </c>
      <c r="I352" s="1">
        <v>46196</v>
      </c>
      <c r="J352" t="s">
        <v>1698</v>
      </c>
    </row>
    <row r="353" spans="1:10">
      <c r="A353" t="s">
        <v>1163</v>
      </c>
      <c r="B353" t="s">
        <v>1826</v>
      </c>
      <c r="C353" t="s">
        <v>1827</v>
      </c>
      <c r="D353" t="s">
        <v>21</v>
      </c>
      <c r="E353" t="s">
        <v>22</v>
      </c>
      <c r="F353">
        <v>6</v>
      </c>
      <c r="G353" s="2">
        <v>46310.458333333336</v>
      </c>
      <c r="H353" s="2">
        <v>46310.5</v>
      </c>
      <c r="I353" s="1">
        <v>46197</v>
      </c>
      <c r="J353" t="s">
        <v>1698</v>
      </c>
    </row>
    <row r="354" spans="1:10">
      <c r="A354" t="s">
        <v>1163</v>
      </c>
      <c r="B354" t="s">
        <v>1182</v>
      </c>
      <c r="C354" t="s">
        <v>1183</v>
      </c>
      <c r="D354" t="s">
        <v>21</v>
      </c>
      <c r="E354" t="s">
        <v>25</v>
      </c>
      <c r="I354" s="1">
        <v>46196</v>
      </c>
      <c r="J354" t="s">
        <v>1698</v>
      </c>
    </row>
    <row r="355" spans="1:10">
      <c r="A355" t="s">
        <v>1163</v>
      </c>
      <c r="B355" t="s">
        <v>1184</v>
      </c>
      <c r="C355" t="s">
        <v>1185</v>
      </c>
      <c r="D355" t="s">
        <v>21</v>
      </c>
      <c r="E355" t="s">
        <v>22</v>
      </c>
      <c r="F355">
        <v>10</v>
      </c>
      <c r="G355" s="2">
        <v>46199.458333333336</v>
      </c>
      <c r="H355" s="2">
        <v>46199.5</v>
      </c>
      <c r="I355" s="1">
        <v>46197</v>
      </c>
      <c r="J355" t="s">
        <v>1698</v>
      </c>
    </row>
    <row r="356" spans="1:10">
      <c r="A356" t="s">
        <v>1163</v>
      </c>
      <c r="B356" t="s">
        <v>1828</v>
      </c>
      <c r="C356" t="s">
        <v>1829</v>
      </c>
      <c r="D356" t="s">
        <v>21</v>
      </c>
      <c r="E356" t="s">
        <v>22</v>
      </c>
      <c r="F356">
        <v>30</v>
      </c>
      <c r="G356" s="2">
        <v>46349.395833333336</v>
      </c>
      <c r="H356" s="2">
        <v>46350.541666666664</v>
      </c>
      <c r="I356" s="1">
        <v>46185</v>
      </c>
      <c r="J356" t="s">
        <v>1746</v>
      </c>
    </row>
    <row r="357" spans="1:10">
      <c r="A357" t="s">
        <v>1163</v>
      </c>
      <c r="B357" t="s">
        <v>1186</v>
      </c>
      <c r="C357" t="s">
        <v>1187</v>
      </c>
      <c r="D357" t="s">
        <v>21</v>
      </c>
      <c r="E357" t="s">
        <v>25</v>
      </c>
      <c r="I357" s="1">
        <v>46160</v>
      </c>
      <c r="J357" t="s">
        <v>1698</v>
      </c>
    </row>
    <row r="358" spans="1:10">
      <c r="A358" t="s">
        <v>1163</v>
      </c>
      <c r="B358" t="s">
        <v>556</v>
      </c>
      <c r="C358" t="s">
        <v>555</v>
      </c>
      <c r="D358" t="s">
        <v>21</v>
      </c>
      <c r="E358" t="s">
        <v>25</v>
      </c>
      <c r="I358" s="1">
        <v>46185</v>
      </c>
      <c r="J358" t="s">
        <v>1698</v>
      </c>
    </row>
    <row r="359" spans="1:10">
      <c r="A359" t="s">
        <v>1163</v>
      </c>
      <c r="B359" t="s">
        <v>1188</v>
      </c>
      <c r="C359" t="s">
        <v>1189</v>
      </c>
      <c r="D359" t="s">
        <v>21</v>
      </c>
      <c r="E359" t="s">
        <v>22</v>
      </c>
      <c r="F359">
        <v>3</v>
      </c>
      <c r="G359" s="2">
        <v>46066.479166666664</v>
      </c>
      <c r="H359" s="2">
        <v>46066.520833333336</v>
      </c>
      <c r="I359" s="1">
        <v>46176</v>
      </c>
      <c r="J359" t="s">
        <v>1698</v>
      </c>
    </row>
    <row r="360" spans="1:10">
      <c r="A360" t="s">
        <v>1163</v>
      </c>
      <c r="B360" t="s">
        <v>1830</v>
      </c>
      <c r="C360" t="s">
        <v>1831</v>
      </c>
      <c r="D360" t="s">
        <v>21</v>
      </c>
      <c r="E360" t="s">
        <v>22</v>
      </c>
      <c r="F360">
        <v>45</v>
      </c>
      <c r="G360" s="2">
        <v>46337.395833333336</v>
      </c>
      <c r="H360" s="2">
        <v>46338.520833333336</v>
      </c>
      <c r="I360" s="1">
        <v>46196</v>
      </c>
      <c r="J360" t="s">
        <v>1746</v>
      </c>
    </row>
    <row r="361" spans="1:10">
      <c r="A361" t="s">
        <v>1163</v>
      </c>
      <c r="B361" t="s">
        <v>1784</v>
      </c>
      <c r="C361" t="s">
        <v>1785</v>
      </c>
      <c r="D361" t="s">
        <v>16</v>
      </c>
      <c r="G361" t="s">
        <v>17</v>
      </c>
      <c r="I361" s="1">
        <v>46196</v>
      </c>
      <c r="J361" t="s">
        <v>1698</v>
      </c>
    </row>
    <row r="362" spans="1:10">
      <c r="A362" t="s">
        <v>1163</v>
      </c>
      <c r="B362" t="s">
        <v>1832</v>
      </c>
      <c r="C362" t="s">
        <v>1833</v>
      </c>
      <c r="D362" t="s">
        <v>21</v>
      </c>
      <c r="E362" t="s">
        <v>22</v>
      </c>
      <c r="F362">
        <v>81</v>
      </c>
      <c r="G362" s="2">
        <v>46353.395833333336</v>
      </c>
      <c r="H362" s="2">
        <v>46353.541666666664</v>
      </c>
      <c r="I362" s="1">
        <v>46188</v>
      </c>
      <c r="J362" t="s">
        <v>1795</v>
      </c>
    </row>
    <row r="363" spans="1:10">
      <c r="A363" t="s">
        <v>1163</v>
      </c>
      <c r="B363" t="s">
        <v>1834</v>
      </c>
      <c r="C363" t="s">
        <v>1835</v>
      </c>
      <c r="D363" t="s">
        <v>21</v>
      </c>
      <c r="E363" t="s">
        <v>25</v>
      </c>
      <c r="I363" s="1">
        <v>46196</v>
      </c>
      <c r="J363" t="s">
        <v>1698</v>
      </c>
    </row>
    <row r="364" spans="1:10">
      <c r="A364" t="s">
        <v>649</v>
      </c>
      <c r="B364" t="s">
        <v>650</v>
      </c>
      <c r="C364" t="s">
        <v>648</v>
      </c>
      <c r="D364" t="s">
        <v>16</v>
      </c>
      <c r="G364" t="s">
        <v>17</v>
      </c>
      <c r="I364" s="1">
        <v>46195</v>
      </c>
      <c r="J364" t="s">
        <v>1698</v>
      </c>
    </row>
    <row r="365" spans="1:10">
      <c r="A365" t="s">
        <v>649</v>
      </c>
      <c r="B365" t="s">
        <v>656</v>
      </c>
      <c r="C365" t="s">
        <v>655</v>
      </c>
      <c r="D365" t="s">
        <v>21</v>
      </c>
      <c r="E365" t="s">
        <v>22</v>
      </c>
      <c r="F365">
        <v>43</v>
      </c>
      <c r="G365" s="2">
        <v>46344.458333333336</v>
      </c>
      <c r="H365" s="2">
        <v>46344.5</v>
      </c>
      <c r="I365" s="1">
        <v>46184</v>
      </c>
      <c r="J365" t="s">
        <v>1698</v>
      </c>
    </row>
    <row r="366" spans="1:10">
      <c r="A366" t="s">
        <v>649</v>
      </c>
      <c r="B366" t="s">
        <v>658</v>
      </c>
      <c r="C366" t="s">
        <v>657</v>
      </c>
      <c r="D366" t="s">
        <v>21</v>
      </c>
      <c r="E366" t="s">
        <v>22</v>
      </c>
      <c r="F366">
        <v>33</v>
      </c>
      <c r="G366" s="2">
        <v>46309.395833333336</v>
      </c>
      <c r="H366" s="2">
        <v>46309.708333333336</v>
      </c>
      <c r="I366" s="1">
        <v>46196</v>
      </c>
      <c r="J366" t="s">
        <v>1698</v>
      </c>
    </row>
    <row r="367" spans="1:10">
      <c r="A367" t="s">
        <v>649</v>
      </c>
      <c r="B367" t="s">
        <v>1112</v>
      </c>
      <c r="C367" t="s">
        <v>1113</v>
      </c>
      <c r="D367" t="s">
        <v>21</v>
      </c>
      <c r="E367" t="s">
        <v>22</v>
      </c>
      <c r="F367">
        <v>36</v>
      </c>
      <c r="G367" s="2">
        <v>46343.395833333336</v>
      </c>
      <c r="H367" s="2">
        <v>46343.708333333336</v>
      </c>
      <c r="I367" s="1">
        <v>46196</v>
      </c>
      <c r="J367" t="s">
        <v>1698</v>
      </c>
    </row>
    <row r="368" spans="1:10">
      <c r="A368" t="s">
        <v>663</v>
      </c>
      <c r="B368" t="s">
        <v>668</v>
      </c>
      <c r="C368" t="s">
        <v>667</v>
      </c>
      <c r="D368" t="s">
        <v>21</v>
      </c>
      <c r="E368" t="s">
        <v>22</v>
      </c>
      <c r="F368">
        <v>36</v>
      </c>
      <c r="G368" s="2">
        <v>45973.416666666664</v>
      </c>
      <c r="H368" s="2">
        <v>45973.503472222219</v>
      </c>
      <c r="I368" s="1">
        <v>46163</v>
      </c>
      <c r="J368" t="s">
        <v>1698</v>
      </c>
    </row>
    <row r="369" spans="1:10">
      <c r="A369" t="s">
        <v>663</v>
      </c>
      <c r="B369" t="s">
        <v>1836</v>
      </c>
      <c r="C369" t="s">
        <v>665</v>
      </c>
      <c r="D369" t="s">
        <v>21</v>
      </c>
      <c r="E369" t="s">
        <v>22</v>
      </c>
      <c r="F369">
        <v>10</v>
      </c>
      <c r="G369" s="2">
        <v>46126.395833333336</v>
      </c>
      <c r="H369" s="2">
        <v>46126.520833333336</v>
      </c>
      <c r="I369" s="1">
        <v>46177</v>
      </c>
      <c r="J369" t="s">
        <v>1698</v>
      </c>
    </row>
    <row r="370" spans="1:10">
      <c r="A370" t="s">
        <v>663</v>
      </c>
      <c r="B370" t="s">
        <v>670</v>
      </c>
      <c r="C370" t="s">
        <v>669</v>
      </c>
      <c r="D370" t="s">
        <v>21</v>
      </c>
      <c r="E370" t="s">
        <v>25</v>
      </c>
      <c r="G370" s="2">
        <v>45988.395833333336</v>
      </c>
      <c r="H370" s="2">
        <v>45988.4375</v>
      </c>
      <c r="I370" s="1">
        <v>45992</v>
      </c>
      <c r="J370" t="s">
        <v>1698</v>
      </c>
    </row>
    <row r="371" spans="1:10">
      <c r="A371" t="s">
        <v>663</v>
      </c>
      <c r="B371" t="s">
        <v>2431</v>
      </c>
      <c r="C371" t="s">
        <v>2432</v>
      </c>
      <c r="D371" t="s">
        <v>16</v>
      </c>
      <c r="G371" t="s">
        <v>17</v>
      </c>
      <c r="I371" s="1">
        <v>46183</v>
      </c>
      <c r="J371" t="s">
        <v>1698</v>
      </c>
    </row>
    <row r="372" spans="1:10">
      <c r="A372" t="s">
        <v>663</v>
      </c>
      <c r="B372" t="s">
        <v>672</v>
      </c>
      <c r="C372" t="s">
        <v>671</v>
      </c>
      <c r="D372" t="s">
        <v>21</v>
      </c>
      <c r="E372" t="s">
        <v>25</v>
      </c>
      <c r="G372" s="2">
        <v>46106.416666666664</v>
      </c>
      <c r="H372" s="2">
        <v>46106.5</v>
      </c>
      <c r="I372" s="1">
        <v>46106</v>
      </c>
      <c r="J372" t="s">
        <v>1698</v>
      </c>
    </row>
    <row r="373" spans="1:10">
      <c r="A373" t="s">
        <v>663</v>
      </c>
      <c r="B373" t="s">
        <v>2433</v>
      </c>
      <c r="C373" t="s">
        <v>2434</v>
      </c>
      <c r="D373" t="s">
        <v>16</v>
      </c>
      <c r="G373" t="s">
        <v>17</v>
      </c>
      <c r="I373" s="1">
        <v>46190</v>
      </c>
      <c r="J373" t="s">
        <v>1698</v>
      </c>
    </row>
    <row r="374" spans="1:10">
      <c r="A374" t="s">
        <v>674</v>
      </c>
      <c r="B374" t="s">
        <v>675</v>
      </c>
      <c r="C374" t="s">
        <v>673</v>
      </c>
      <c r="D374" t="s">
        <v>38</v>
      </c>
      <c r="I374" s="1">
        <v>46161</v>
      </c>
    </row>
    <row r="375" spans="1:10">
      <c r="A375" t="s">
        <v>674</v>
      </c>
      <c r="B375" t="s">
        <v>677</v>
      </c>
      <c r="C375" t="s">
        <v>676</v>
      </c>
      <c r="D375" t="s">
        <v>38</v>
      </c>
      <c r="I375" s="1">
        <v>46183</v>
      </c>
    </row>
    <row r="376" spans="1:10">
      <c r="A376" t="s">
        <v>674</v>
      </c>
      <c r="B376" t="s">
        <v>679</v>
      </c>
      <c r="C376" t="s">
        <v>678</v>
      </c>
      <c r="D376" t="s">
        <v>38</v>
      </c>
      <c r="I376" s="1">
        <v>46189</v>
      </c>
    </row>
    <row r="377" spans="1:10">
      <c r="A377" t="s">
        <v>674</v>
      </c>
      <c r="B377" t="s">
        <v>681</v>
      </c>
      <c r="C377" t="s">
        <v>680</v>
      </c>
      <c r="D377" t="s">
        <v>38</v>
      </c>
      <c r="I377" s="1">
        <v>46184</v>
      </c>
    </row>
    <row r="378" spans="1:10">
      <c r="A378" t="s">
        <v>674</v>
      </c>
      <c r="B378" t="s">
        <v>683</v>
      </c>
      <c r="C378" t="s">
        <v>682</v>
      </c>
      <c r="D378" t="s">
        <v>38</v>
      </c>
      <c r="I378" s="1">
        <v>46189</v>
      </c>
    </row>
    <row r="379" spans="1:10">
      <c r="A379" t="s">
        <v>674</v>
      </c>
      <c r="B379" t="s">
        <v>685</v>
      </c>
      <c r="C379" t="s">
        <v>684</v>
      </c>
      <c r="D379" t="s">
        <v>38</v>
      </c>
      <c r="I379" s="1">
        <v>46183</v>
      </c>
    </row>
    <row r="380" spans="1:10">
      <c r="A380" t="s">
        <v>674</v>
      </c>
      <c r="B380" t="s">
        <v>687</v>
      </c>
      <c r="C380" t="s">
        <v>686</v>
      </c>
      <c r="D380" t="s">
        <v>38</v>
      </c>
      <c r="I380" s="1">
        <v>46196</v>
      </c>
    </row>
    <row r="381" spans="1:10">
      <c r="A381" t="s">
        <v>674</v>
      </c>
      <c r="B381" t="s">
        <v>689</v>
      </c>
      <c r="C381" t="s">
        <v>688</v>
      </c>
      <c r="D381" t="s">
        <v>38</v>
      </c>
      <c r="I381" s="1">
        <v>46177</v>
      </c>
    </row>
    <row r="382" spans="1:10">
      <c r="A382" t="s">
        <v>674</v>
      </c>
      <c r="B382" t="s">
        <v>691</v>
      </c>
      <c r="C382" t="s">
        <v>690</v>
      </c>
      <c r="D382" t="s">
        <v>38</v>
      </c>
      <c r="I382" s="1">
        <v>46189</v>
      </c>
    </row>
    <row r="383" spans="1:10">
      <c r="A383" t="s">
        <v>693</v>
      </c>
      <c r="B383" t="s">
        <v>1845</v>
      </c>
      <c r="C383" t="s">
        <v>1846</v>
      </c>
      <c r="D383" t="s">
        <v>16</v>
      </c>
      <c r="G383" s="2">
        <v>46163.416666666664</v>
      </c>
      <c r="H383" s="2">
        <v>46163.5</v>
      </c>
      <c r="I383" s="1">
        <v>46162</v>
      </c>
      <c r="J383" t="s">
        <v>1698</v>
      </c>
    </row>
    <row r="384" spans="1:10">
      <c r="A384" t="s">
        <v>693</v>
      </c>
      <c r="B384" t="s">
        <v>1535</v>
      </c>
      <c r="C384" t="s">
        <v>692</v>
      </c>
      <c r="D384" t="s">
        <v>21</v>
      </c>
      <c r="E384" t="s">
        <v>22</v>
      </c>
      <c r="F384">
        <v>74</v>
      </c>
      <c r="G384" s="2">
        <v>46365.375</v>
      </c>
      <c r="H384" s="2">
        <v>46365.708333333336</v>
      </c>
      <c r="I384" s="1">
        <v>46196</v>
      </c>
      <c r="J384" t="s">
        <v>1698</v>
      </c>
    </row>
    <row r="385" spans="1:10">
      <c r="A385" t="s">
        <v>693</v>
      </c>
      <c r="B385" t="s">
        <v>696</v>
      </c>
      <c r="C385" t="s">
        <v>695</v>
      </c>
      <c r="D385" t="s">
        <v>21</v>
      </c>
      <c r="E385" t="s">
        <v>22</v>
      </c>
      <c r="F385">
        <v>40</v>
      </c>
      <c r="G385" s="2">
        <v>46134.5625</v>
      </c>
      <c r="H385" s="2">
        <v>46134.6875</v>
      </c>
      <c r="I385" s="1">
        <v>46192</v>
      </c>
      <c r="J385" t="s">
        <v>1698</v>
      </c>
    </row>
    <row r="386" spans="1:10">
      <c r="A386" t="s">
        <v>693</v>
      </c>
      <c r="B386" t="s">
        <v>698</v>
      </c>
      <c r="C386" t="s">
        <v>697</v>
      </c>
      <c r="D386" t="s">
        <v>16</v>
      </c>
      <c r="G386" t="s">
        <v>17</v>
      </c>
      <c r="I386" s="1">
        <v>46196</v>
      </c>
      <c r="J386" t="s">
        <v>1698</v>
      </c>
    </row>
    <row r="387" spans="1:10">
      <c r="A387" t="s">
        <v>693</v>
      </c>
      <c r="B387" t="s">
        <v>1193</v>
      </c>
      <c r="C387" t="s">
        <v>1194</v>
      </c>
      <c r="D387" t="s">
        <v>21</v>
      </c>
      <c r="E387" t="s">
        <v>22</v>
      </c>
      <c r="F387">
        <v>6</v>
      </c>
      <c r="G387" s="2">
        <v>46133.395833333336</v>
      </c>
      <c r="H387" s="2">
        <v>46133.666666666664</v>
      </c>
      <c r="I387" s="1">
        <v>46190</v>
      </c>
      <c r="J387" t="s">
        <v>1698</v>
      </c>
    </row>
    <row r="388" spans="1:10">
      <c r="A388" t="s">
        <v>693</v>
      </c>
      <c r="B388" t="s">
        <v>700</v>
      </c>
      <c r="C388" t="s">
        <v>1837</v>
      </c>
      <c r="D388" t="s">
        <v>21</v>
      </c>
      <c r="E388" t="s">
        <v>22</v>
      </c>
      <c r="F388">
        <v>0</v>
      </c>
      <c r="G388" s="2">
        <v>46184.395833333336</v>
      </c>
      <c r="H388" s="2">
        <v>46184.5</v>
      </c>
      <c r="I388" s="1">
        <v>46184</v>
      </c>
      <c r="J388" t="s">
        <v>1698</v>
      </c>
    </row>
    <row r="389" spans="1:10">
      <c r="A389" t="s">
        <v>693</v>
      </c>
      <c r="B389" t="s">
        <v>702</v>
      </c>
      <c r="C389" t="s">
        <v>701</v>
      </c>
      <c r="D389" t="s">
        <v>21</v>
      </c>
      <c r="E389" t="s">
        <v>22</v>
      </c>
      <c r="F389">
        <v>17</v>
      </c>
      <c r="G389" s="2">
        <v>46356.375</v>
      </c>
      <c r="H389" s="2">
        <v>46356.520833333336</v>
      </c>
      <c r="I389" s="1">
        <v>46196</v>
      </c>
      <c r="J389" t="s">
        <v>1698</v>
      </c>
    </row>
    <row r="390" spans="1:10">
      <c r="A390" t="s">
        <v>693</v>
      </c>
      <c r="B390" t="s">
        <v>704</v>
      </c>
      <c r="C390" t="s">
        <v>703</v>
      </c>
      <c r="D390" t="s">
        <v>21</v>
      </c>
      <c r="E390" t="s">
        <v>22</v>
      </c>
      <c r="F390">
        <v>40</v>
      </c>
      <c r="G390" s="2">
        <v>46352.375</v>
      </c>
      <c r="H390" s="2">
        <v>46356.729166666664</v>
      </c>
      <c r="I390" s="1">
        <v>46192</v>
      </c>
      <c r="J390" t="s">
        <v>1698</v>
      </c>
    </row>
    <row r="391" spans="1:10">
      <c r="A391" t="s">
        <v>693</v>
      </c>
      <c r="B391" t="s">
        <v>706</v>
      </c>
      <c r="C391" t="s">
        <v>705</v>
      </c>
      <c r="D391" t="s">
        <v>21</v>
      </c>
      <c r="E391" t="s">
        <v>22</v>
      </c>
      <c r="F391">
        <v>13</v>
      </c>
      <c r="G391" s="2">
        <v>46352.583333333336</v>
      </c>
      <c r="H391" s="2">
        <v>46352.729166666664</v>
      </c>
      <c r="I391" s="1">
        <v>46190</v>
      </c>
      <c r="J391" t="s">
        <v>1698</v>
      </c>
    </row>
    <row r="392" spans="1:10">
      <c r="A392" t="s">
        <v>693</v>
      </c>
      <c r="B392" t="s">
        <v>1838</v>
      </c>
      <c r="C392" t="s">
        <v>707</v>
      </c>
      <c r="D392" t="s">
        <v>21</v>
      </c>
      <c r="E392" t="s">
        <v>22</v>
      </c>
      <c r="F392">
        <v>29</v>
      </c>
      <c r="G392" s="2">
        <v>46133.395833333336</v>
      </c>
      <c r="H392" s="2">
        <v>46134.708333333336</v>
      </c>
      <c r="I392" s="1">
        <v>46183</v>
      </c>
      <c r="J392" t="s">
        <v>1698</v>
      </c>
    </row>
    <row r="393" spans="1:10">
      <c r="A393" t="s">
        <v>693</v>
      </c>
      <c r="B393" t="s">
        <v>710</v>
      </c>
      <c r="C393" t="s">
        <v>709</v>
      </c>
      <c r="D393" t="s">
        <v>21</v>
      </c>
      <c r="E393" t="s">
        <v>22</v>
      </c>
      <c r="F393">
        <v>39</v>
      </c>
      <c r="G393" s="2">
        <v>46128.375</v>
      </c>
      <c r="H393" s="2">
        <v>46128.520833333336</v>
      </c>
      <c r="I393" s="1">
        <v>46190</v>
      </c>
      <c r="J393" t="s">
        <v>1698</v>
      </c>
    </row>
    <row r="394" spans="1:10">
      <c r="A394" t="s">
        <v>693</v>
      </c>
      <c r="B394" t="s">
        <v>714</v>
      </c>
      <c r="C394" t="s">
        <v>713</v>
      </c>
      <c r="D394" t="s">
        <v>21</v>
      </c>
      <c r="E394" t="s">
        <v>22</v>
      </c>
      <c r="F394">
        <v>24</v>
      </c>
      <c r="G394" s="2">
        <v>46133.4375</v>
      </c>
      <c r="H394" s="2">
        <v>46134.729166666664</v>
      </c>
      <c r="I394" s="1">
        <v>46181</v>
      </c>
      <c r="J394" t="s">
        <v>1698</v>
      </c>
    </row>
    <row r="395" spans="1:10">
      <c r="A395" t="s">
        <v>693</v>
      </c>
      <c r="B395" t="s">
        <v>1839</v>
      </c>
      <c r="C395" t="s">
        <v>715</v>
      </c>
      <c r="D395" t="s">
        <v>21</v>
      </c>
      <c r="E395" t="s">
        <v>22</v>
      </c>
      <c r="F395">
        <v>37</v>
      </c>
      <c r="G395" s="2">
        <v>45944.375</v>
      </c>
      <c r="H395" s="2">
        <v>45944.520833333336</v>
      </c>
      <c r="I395" s="1">
        <v>46140</v>
      </c>
      <c r="J395" t="s">
        <v>1698</v>
      </c>
    </row>
    <row r="396" spans="1:10">
      <c r="A396" t="s">
        <v>693</v>
      </c>
      <c r="B396" t="s">
        <v>718</v>
      </c>
      <c r="C396" t="s">
        <v>717</v>
      </c>
      <c r="D396" t="s">
        <v>21</v>
      </c>
      <c r="E396" t="s">
        <v>22</v>
      </c>
      <c r="F396">
        <v>33</v>
      </c>
      <c r="G396" s="2">
        <v>46177.375</v>
      </c>
      <c r="H396" s="2">
        <v>46177.708333333336</v>
      </c>
      <c r="I396" s="1">
        <v>46191</v>
      </c>
      <c r="J396" t="s">
        <v>1698</v>
      </c>
    </row>
    <row r="397" spans="1:10">
      <c r="A397" t="s">
        <v>693</v>
      </c>
      <c r="B397" t="s">
        <v>720</v>
      </c>
      <c r="C397" t="s">
        <v>719</v>
      </c>
      <c r="D397" t="s">
        <v>21</v>
      </c>
      <c r="E397" t="s">
        <v>22</v>
      </c>
      <c r="F397">
        <v>30</v>
      </c>
      <c r="G397" s="2">
        <v>46049.375</v>
      </c>
      <c r="H397" s="2">
        <v>46049.708333333336</v>
      </c>
      <c r="I397" s="1">
        <v>46174</v>
      </c>
      <c r="J397" t="s">
        <v>1698</v>
      </c>
    </row>
    <row r="398" spans="1:10">
      <c r="A398" t="s">
        <v>693</v>
      </c>
      <c r="B398" t="s">
        <v>1840</v>
      </c>
      <c r="C398" t="s">
        <v>721</v>
      </c>
      <c r="D398" t="s">
        <v>21</v>
      </c>
      <c r="E398" t="s">
        <v>22</v>
      </c>
      <c r="F398">
        <v>61</v>
      </c>
      <c r="G398" s="2">
        <v>46343.375</v>
      </c>
      <c r="H398" s="2">
        <v>46343.708333333336</v>
      </c>
      <c r="I398" s="1">
        <v>46197</v>
      </c>
      <c r="J398" t="s">
        <v>1698</v>
      </c>
    </row>
    <row r="399" spans="1:10">
      <c r="A399" t="s">
        <v>693</v>
      </c>
      <c r="B399" t="s">
        <v>1841</v>
      </c>
      <c r="C399" t="s">
        <v>723</v>
      </c>
      <c r="D399" t="s">
        <v>21</v>
      </c>
      <c r="E399" t="s">
        <v>22</v>
      </c>
      <c r="F399">
        <v>44</v>
      </c>
      <c r="G399" s="2">
        <v>46345.375</v>
      </c>
      <c r="H399" s="2">
        <v>46345.708333333336</v>
      </c>
      <c r="I399" s="1">
        <v>46197</v>
      </c>
      <c r="J399" t="s">
        <v>1698</v>
      </c>
    </row>
    <row r="400" spans="1:10">
      <c r="A400" t="s">
        <v>693</v>
      </c>
      <c r="B400" t="s">
        <v>726</v>
      </c>
      <c r="C400" t="s">
        <v>725</v>
      </c>
      <c r="D400" t="s">
        <v>21</v>
      </c>
      <c r="E400" t="s">
        <v>22</v>
      </c>
      <c r="F400">
        <v>138</v>
      </c>
      <c r="G400" s="2">
        <v>46195.416666666664</v>
      </c>
      <c r="H400" s="2">
        <v>46195.666666666664</v>
      </c>
      <c r="I400" s="1">
        <v>46196</v>
      </c>
      <c r="J400" t="s">
        <v>1698</v>
      </c>
    </row>
    <row r="401" spans="1:10">
      <c r="A401" t="s">
        <v>693</v>
      </c>
      <c r="B401" t="s">
        <v>728</v>
      </c>
      <c r="C401" t="s">
        <v>727</v>
      </c>
      <c r="D401" t="s">
        <v>21</v>
      </c>
      <c r="E401" t="s">
        <v>22</v>
      </c>
      <c r="F401">
        <v>82</v>
      </c>
      <c r="G401" s="2">
        <v>46363.416666666664</v>
      </c>
      <c r="H401" s="2">
        <v>46363.5</v>
      </c>
      <c r="I401" s="1">
        <v>46196</v>
      </c>
      <c r="J401" t="s">
        <v>1698</v>
      </c>
    </row>
    <row r="402" spans="1:10">
      <c r="A402" t="s">
        <v>693</v>
      </c>
      <c r="B402" t="s">
        <v>730</v>
      </c>
      <c r="C402" t="s">
        <v>729</v>
      </c>
      <c r="D402" t="s">
        <v>21</v>
      </c>
      <c r="E402" t="s">
        <v>22</v>
      </c>
      <c r="F402">
        <v>105</v>
      </c>
      <c r="G402" s="2">
        <v>46107.385416666664</v>
      </c>
      <c r="H402" s="2">
        <v>46107.708333333336</v>
      </c>
      <c r="I402" s="1">
        <v>46196</v>
      </c>
      <c r="J402" t="s">
        <v>1788</v>
      </c>
    </row>
    <row r="403" spans="1:10">
      <c r="A403" t="s">
        <v>693</v>
      </c>
      <c r="B403" t="s">
        <v>732</v>
      </c>
      <c r="C403" t="s">
        <v>731</v>
      </c>
      <c r="D403" t="s">
        <v>21</v>
      </c>
      <c r="E403" t="s">
        <v>22</v>
      </c>
      <c r="F403">
        <v>111</v>
      </c>
      <c r="G403" s="2">
        <v>46198.385416666664</v>
      </c>
      <c r="H403" s="2">
        <v>46198.708333333336</v>
      </c>
      <c r="I403" s="1">
        <v>46197</v>
      </c>
      <c r="J403" t="s">
        <v>1729</v>
      </c>
    </row>
    <row r="404" spans="1:10">
      <c r="A404" t="s">
        <v>693</v>
      </c>
      <c r="B404" t="s">
        <v>734</v>
      </c>
      <c r="C404" t="s">
        <v>733</v>
      </c>
      <c r="D404" t="s">
        <v>21</v>
      </c>
      <c r="E404" t="s">
        <v>22</v>
      </c>
      <c r="F404">
        <v>106</v>
      </c>
      <c r="G404" s="2">
        <v>46163.385416666664</v>
      </c>
      <c r="H404" s="2">
        <v>46163.708333333336</v>
      </c>
      <c r="I404" s="1">
        <v>46196</v>
      </c>
      <c r="J404" t="s">
        <v>1788</v>
      </c>
    </row>
    <row r="405" spans="1:10">
      <c r="A405" t="s">
        <v>693</v>
      </c>
      <c r="B405" t="s">
        <v>736</v>
      </c>
      <c r="C405" t="s">
        <v>735</v>
      </c>
      <c r="D405" t="s">
        <v>21</v>
      </c>
      <c r="E405" t="s">
        <v>22</v>
      </c>
      <c r="F405">
        <v>8</v>
      </c>
      <c r="G405" s="2">
        <v>46295.416666666664</v>
      </c>
      <c r="H405" s="2">
        <v>46295.458333333336</v>
      </c>
      <c r="I405" s="1">
        <v>46195</v>
      </c>
      <c r="J405" t="s">
        <v>1698</v>
      </c>
    </row>
    <row r="406" spans="1:10">
      <c r="A406" t="s">
        <v>693</v>
      </c>
      <c r="B406" t="s">
        <v>738</v>
      </c>
      <c r="C406" t="s">
        <v>737</v>
      </c>
      <c r="D406" t="s">
        <v>21</v>
      </c>
      <c r="E406" t="s">
        <v>22</v>
      </c>
      <c r="F406">
        <v>41</v>
      </c>
      <c r="G406" s="2">
        <v>46373.416666666664</v>
      </c>
      <c r="H406" s="2">
        <v>46373.5</v>
      </c>
      <c r="I406" s="1">
        <v>46197</v>
      </c>
      <c r="J406" t="s">
        <v>1698</v>
      </c>
    </row>
    <row r="407" spans="1:10">
      <c r="A407" t="s">
        <v>693</v>
      </c>
      <c r="B407" t="s">
        <v>740</v>
      </c>
      <c r="C407" t="s">
        <v>739</v>
      </c>
      <c r="D407" t="s">
        <v>21</v>
      </c>
      <c r="E407" t="s">
        <v>22</v>
      </c>
      <c r="F407">
        <v>22</v>
      </c>
      <c r="G407" s="2">
        <v>46196.583333333336</v>
      </c>
      <c r="H407" s="2">
        <v>46196.625</v>
      </c>
      <c r="I407" s="1">
        <v>46196</v>
      </c>
      <c r="J407" t="s">
        <v>1698</v>
      </c>
    </row>
    <row r="408" spans="1:10">
      <c r="A408" t="s">
        <v>693</v>
      </c>
      <c r="B408" t="s">
        <v>742</v>
      </c>
      <c r="C408" t="s">
        <v>741</v>
      </c>
      <c r="D408" t="s">
        <v>21</v>
      </c>
      <c r="E408" t="s">
        <v>25</v>
      </c>
      <c r="G408" s="2">
        <v>46364.395833333336</v>
      </c>
      <c r="H408" s="2">
        <v>46364.666666666664</v>
      </c>
      <c r="I408" s="1">
        <v>46196</v>
      </c>
      <c r="J408" t="s">
        <v>1698</v>
      </c>
    </row>
    <row r="409" spans="1:10">
      <c r="A409" t="s">
        <v>693</v>
      </c>
      <c r="B409" t="s">
        <v>744</v>
      </c>
      <c r="C409" t="s">
        <v>743</v>
      </c>
      <c r="D409" t="s">
        <v>21</v>
      </c>
      <c r="E409" t="s">
        <v>25</v>
      </c>
      <c r="G409" s="2">
        <v>46357.416666666664</v>
      </c>
      <c r="H409" s="2">
        <v>46357.5</v>
      </c>
      <c r="I409" s="1">
        <v>46189</v>
      </c>
      <c r="J409" t="s">
        <v>1698</v>
      </c>
    </row>
    <row r="410" spans="1:10">
      <c r="A410" t="s">
        <v>693</v>
      </c>
      <c r="B410" t="s">
        <v>748</v>
      </c>
      <c r="C410" t="s">
        <v>747</v>
      </c>
      <c r="D410" t="s">
        <v>21</v>
      </c>
      <c r="E410" t="s">
        <v>25</v>
      </c>
      <c r="I410" s="1">
        <v>46196</v>
      </c>
      <c r="J410" t="s">
        <v>1698</v>
      </c>
    </row>
    <row r="411" spans="1:10">
      <c r="A411" t="s">
        <v>693</v>
      </c>
      <c r="B411" t="s">
        <v>1842</v>
      </c>
      <c r="C411" t="s">
        <v>751</v>
      </c>
      <c r="D411" t="s">
        <v>21</v>
      </c>
      <c r="E411" t="s">
        <v>22</v>
      </c>
      <c r="F411">
        <v>33</v>
      </c>
      <c r="G411" s="2">
        <v>46190.583333333336</v>
      </c>
      <c r="H411" s="2">
        <v>46190.6875</v>
      </c>
      <c r="I411" s="1">
        <v>46196</v>
      </c>
      <c r="J411" t="s">
        <v>1698</v>
      </c>
    </row>
    <row r="412" spans="1:10">
      <c r="A412" t="s">
        <v>693</v>
      </c>
      <c r="B412" t="s">
        <v>750</v>
      </c>
      <c r="C412" t="s">
        <v>749</v>
      </c>
      <c r="D412" t="s">
        <v>21</v>
      </c>
      <c r="E412" t="s">
        <v>22</v>
      </c>
      <c r="F412">
        <v>70</v>
      </c>
      <c r="G412" s="2">
        <v>46294.395833333336</v>
      </c>
      <c r="H412" s="2">
        <v>46294.5</v>
      </c>
      <c r="I412" s="1">
        <v>46196</v>
      </c>
      <c r="J412" t="s">
        <v>1698</v>
      </c>
    </row>
    <row r="413" spans="1:10">
      <c r="A413" t="s">
        <v>693</v>
      </c>
      <c r="B413" t="s">
        <v>754</v>
      </c>
      <c r="C413" t="s">
        <v>753</v>
      </c>
      <c r="D413" t="s">
        <v>21</v>
      </c>
      <c r="E413" t="s">
        <v>22</v>
      </c>
      <c r="F413">
        <v>18</v>
      </c>
      <c r="G413" s="2">
        <v>46196.395833333336</v>
      </c>
      <c r="H413" s="2">
        <v>46196.5</v>
      </c>
      <c r="I413" s="1">
        <v>46196</v>
      </c>
      <c r="J413" t="s">
        <v>1698</v>
      </c>
    </row>
    <row r="414" spans="1:10">
      <c r="A414" t="s">
        <v>693</v>
      </c>
      <c r="B414" t="s">
        <v>758</v>
      </c>
      <c r="C414" t="s">
        <v>757</v>
      </c>
      <c r="D414" t="s">
        <v>21</v>
      </c>
      <c r="E414" t="s">
        <v>22</v>
      </c>
      <c r="F414">
        <v>246</v>
      </c>
      <c r="G414" s="2">
        <v>46184.385416666664</v>
      </c>
      <c r="H414" s="2">
        <v>46184.708333333336</v>
      </c>
      <c r="I414" s="1">
        <v>46196</v>
      </c>
      <c r="J414" t="s">
        <v>1729</v>
      </c>
    </row>
    <row r="415" spans="1:10">
      <c r="A415" t="s">
        <v>693</v>
      </c>
      <c r="B415" t="s">
        <v>760</v>
      </c>
      <c r="C415" t="s">
        <v>759</v>
      </c>
      <c r="D415" t="s">
        <v>21</v>
      </c>
      <c r="E415" t="s">
        <v>22</v>
      </c>
      <c r="F415">
        <v>55</v>
      </c>
      <c r="G415" s="2">
        <v>45925.375</v>
      </c>
      <c r="H415" s="2">
        <v>45925.53125</v>
      </c>
      <c r="I415" s="1">
        <v>46196</v>
      </c>
      <c r="J415" t="s">
        <v>1698</v>
      </c>
    </row>
    <row r="416" spans="1:10">
      <c r="A416" t="s">
        <v>693</v>
      </c>
      <c r="B416" t="s">
        <v>762</v>
      </c>
      <c r="C416" t="s">
        <v>761</v>
      </c>
      <c r="D416" t="s">
        <v>21</v>
      </c>
      <c r="E416" t="s">
        <v>22</v>
      </c>
      <c r="F416">
        <v>14</v>
      </c>
      <c r="G416" s="2">
        <v>46220.395833333336</v>
      </c>
      <c r="H416" s="2">
        <v>46220.5</v>
      </c>
      <c r="I416" s="1">
        <v>46196</v>
      </c>
      <c r="J416" t="s">
        <v>1698</v>
      </c>
    </row>
    <row r="417" spans="1:10">
      <c r="A417" t="s">
        <v>693</v>
      </c>
      <c r="B417" t="s">
        <v>764</v>
      </c>
      <c r="C417" t="s">
        <v>763</v>
      </c>
      <c r="D417" t="s">
        <v>21</v>
      </c>
      <c r="E417" t="s">
        <v>22</v>
      </c>
      <c r="F417">
        <v>10</v>
      </c>
      <c r="G417" s="2">
        <v>46255.375</v>
      </c>
      <c r="H417" s="2">
        <v>46255.5</v>
      </c>
      <c r="I417" s="1">
        <v>46196</v>
      </c>
      <c r="J417" t="s">
        <v>1698</v>
      </c>
    </row>
    <row r="418" spans="1:10">
      <c r="A418" t="s">
        <v>693</v>
      </c>
      <c r="B418" t="s">
        <v>766</v>
      </c>
      <c r="C418" t="s">
        <v>765</v>
      </c>
      <c r="D418" t="s">
        <v>21</v>
      </c>
      <c r="E418" t="s">
        <v>22</v>
      </c>
      <c r="F418">
        <v>57</v>
      </c>
      <c r="G418" s="2">
        <v>46213.395833333336</v>
      </c>
      <c r="H418" s="2">
        <v>46213.5</v>
      </c>
      <c r="I418" s="1">
        <v>46196</v>
      </c>
      <c r="J418" t="s">
        <v>1698</v>
      </c>
    </row>
    <row r="419" spans="1:10">
      <c r="A419" t="s">
        <v>693</v>
      </c>
      <c r="B419" t="s">
        <v>768</v>
      </c>
      <c r="C419" t="s">
        <v>767</v>
      </c>
      <c r="D419" t="s">
        <v>21</v>
      </c>
      <c r="E419" t="s">
        <v>22</v>
      </c>
      <c r="F419">
        <v>100</v>
      </c>
      <c r="G419" s="2">
        <v>46363.583333333336</v>
      </c>
      <c r="H419" s="2">
        <v>46363.708333333336</v>
      </c>
      <c r="I419" s="1">
        <v>46192</v>
      </c>
      <c r="J419" t="s">
        <v>1698</v>
      </c>
    </row>
    <row r="420" spans="1:10">
      <c r="A420" t="s">
        <v>693</v>
      </c>
      <c r="B420" t="s">
        <v>1843</v>
      </c>
      <c r="C420" t="s">
        <v>1844</v>
      </c>
      <c r="D420" t="s">
        <v>21</v>
      </c>
      <c r="E420" t="s">
        <v>22</v>
      </c>
      <c r="F420">
        <v>2</v>
      </c>
      <c r="G420" s="2">
        <v>46309.375</v>
      </c>
      <c r="H420" s="2">
        <v>46309.729166666664</v>
      </c>
      <c r="I420" s="1">
        <v>46191</v>
      </c>
      <c r="J420" t="s">
        <v>1698</v>
      </c>
    </row>
    <row r="421" spans="1:10">
      <c r="A421" t="s">
        <v>693</v>
      </c>
      <c r="B421" t="s">
        <v>774</v>
      </c>
      <c r="C421" t="s">
        <v>773</v>
      </c>
      <c r="D421" t="s">
        <v>21</v>
      </c>
      <c r="E421" t="s">
        <v>22</v>
      </c>
      <c r="F421">
        <v>27</v>
      </c>
      <c r="G421" s="2">
        <v>46107.416666666664</v>
      </c>
      <c r="H421" s="2">
        <v>46107.5</v>
      </c>
      <c r="I421" s="1">
        <v>46154</v>
      </c>
      <c r="J421" t="s">
        <v>1698</v>
      </c>
    </row>
    <row r="422" spans="1:10">
      <c r="A422" t="s">
        <v>693</v>
      </c>
      <c r="B422" t="s">
        <v>776</v>
      </c>
      <c r="C422" t="s">
        <v>775</v>
      </c>
      <c r="D422" t="s">
        <v>21</v>
      </c>
      <c r="E422" t="s">
        <v>22</v>
      </c>
      <c r="F422">
        <v>54</v>
      </c>
      <c r="G422" s="2">
        <v>45979.395833333336</v>
      </c>
      <c r="H422" s="2">
        <v>45979.520833333336</v>
      </c>
      <c r="I422" s="1">
        <v>46184</v>
      </c>
      <c r="J422" t="s">
        <v>1698</v>
      </c>
    </row>
    <row r="423" spans="1:10">
      <c r="A423" t="s">
        <v>693</v>
      </c>
      <c r="B423" t="s">
        <v>778</v>
      </c>
      <c r="C423" t="s">
        <v>777</v>
      </c>
      <c r="D423" t="s">
        <v>21</v>
      </c>
      <c r="E423" t="s">
        <v>22</v>
      </c>
      <c r="F423">
        <v>23</v>
      </c>
      <c r="G423" s="2">
        <v>46332.395833333336</v>
      </c>
      <c r="H423" s="2">
        <v>46332.541666666664</v>
      </c>
      <c r="I423" s="1">
        <v>46196</v>
      </c>
      <c r="J423" t="s">
        <v>1698</v>
      </c>
    </row>
    <row r="424" spans="1:10">
      <c r="A424" t="s">
        <v>693</v>
      </c>
      <c r="B424" t="s">
        <v>780</v>
      </c>
      <c r="C424" t="s">
        <v>779</v>
      </c>
      <c r="D424" t="s">
        <v>21</v>
      </c>
      <c r="E424" t="s">
        <v>22</v>
      </c>
      <c r="F424">
        <v>75</v>
      </c>
      <c r="G424" s="2">
        <v>46374.395833333336</v>
      </c>
      <c r="H424" s="2">
        <v>46374.541666666664</v>
      </c>
      <c r="I424" s="1">
        <v>46195</v>
      </c>
      <c r="J424" t="s">
        <v>1698</v>
      </c>
    </row>
    <row r="425" spans="1:10">
      <c r="A425" t="s">
        <v>693</v>
      </c>
      <c r="B425" t="s">
        <v>782</v>
      </c>
      <c r="C425" t="s">
        <v>781</v>
      </c>
      <c r="D425" t="s">
        <v>21</v>
      </c>
      <c r="E425" t="s">
        <v>22</v>
      </c>
      <c r="F425">
        <v>77</v>
      </c>
      <c r="G425" s="2">
        <v>46367.395833333336</v>
      </c>
      <c r="H425" s="2">
        <v>46367.520833333336</v>
      </c>
      <c r="I425" s="1">
        <v>46196</v>
      </c>
      <c r="J425" t="s">
        <v>1698</v>
      </c>
    </row>
    <row r="426" spans="1:10">
      <c r="A426" t="s">
        <v>693</v>
      </c>
      <c r="B426" t="s">
        <v>784</v>
      </c>
      <c r="C426" t="s">
        <v>783</v>
      </c>
      <c r="D426" t="s">
        <v>21</v>
      </c>
      <c r="E426" t="s">
        <v>22</v>
      </c>
      <c r="F426">
        <v>28</v>
      </c>
      <c r="G426" s="2">
        <v>46336.395833333336</v>
      </c>
      <c r="H426" s="2">
        <v>46336.541666666664</v>
      </c>
      <c r="I426" s="1">
        <v>46190</v>
      </c>
      <c r="J426" t="s">
        <v>1698</v>
      </c>
    </row>
    <row r="427" spans="1:10">
      <c r="A427" t="s">
        <v>786</v>
      </c>
      <c r="B427" t="s">
        <v>787</v>
      </c>
      <c r="C427" t="s">
        <v>785</v>
      </c>
      <c r="D427" t="s">
        <v>16</v>
      </c>
      <c r="G427" t="s">
        <v>17</v>
      </c>
      <c r="I427" s="1">
        <v>46189</v>
      </c>
      <c r="J427" t="s">
        <v>1698</v>
      </c>
    </row>
    <row r="428" spans="1:10">
      <c r="A428" t="s">
        <v>786</v>
      </c>
      <c r="B428" t="s">
        <v>789</v>
      </c>
      <c r="C428" t="s">
        <v>788</v>
      </c>
      <c r="D428" t="s">
        <v>16</v>
      </c>
      <c r="G428" t="s">
        <v>17</v>
      </c>
      <c r="I428" s="1">
        <v>46183</v>
      </c>
      <c r="J428" t="s">
        <v>1698</v>
      </c>
    </row>
    <row r="429" spans="1:10">
      <c r="A429" t="s">
        <v>786</v>
      </c>
      <c r="B429" t="s">
        <v>791</v>
      </c>
      <c r="C429" t="s">
        <v>790</v>
      </c>
      <c r="D429" t="s">
        <v>16</v>
      </c>
      <c r="G429" t="s">
        <v>17</v>
      </c>
      <c r="I429" s="1">
        <v>46195</v>
      </c>
      <c r="J429" t="s">
        <v>1698</v>
      </c>
    </row>
    <row r="430" spans="1:10">
      <c r="A430" t="s">
        <v>786</v>
      </c>
      <c r="B430" t="s">
        <v>793</v>
      </c>
      <c r="C430" t="s">
        <v>792</v>
      </c>
      <c r="D430" t="s">
        <v>16</v>
      </c>
      <c r="G430" t="s">
        <v>17</v>
      </c>
      <c r="I430" s="1">
        <v>46196</v>
      </c>
      <c r="J430" t="s">
        <v>1698</v>
      </c>
    </row>
    <row r="431" spans="1:10">
      <c r="A431" t="s">
        <v>786</v>
      </c>
      <c r="B431" t="s">
        <v>795</v>
      </c>
      <c r="C431" t="s">
        <v>794</v>
      </c>
      <c r="D431" t="s">
        <v>16</v>
      </c>
      <c r="G431" t="s">
        <v>17</v>
      </c>
      <c r="I431" s="1">
        <v>46190</v>
      </c>
      <c r="J431" t="s">
        <v>1698</v>
      </c>
    </row>
    <row r="432" spans="1:10">
      <c r="A432" t="s">
        <v>786</v>
      </c>
      <c r="B432" t="s">
        <v>797</v>
      </c>
      <c r="C432" t="s">
        <v>796</v>
      </c>
      <c r="D432" t="s">
        <v>16</v>
      </c>
      <c r="G432" t="s">
        <v>17</v>
      </c>
      <c r="I432" s="1">
        <v>46190</v>
      </c>
      <c r="J432" t="s">
        <v>1698</v>
      </c>
    </row>
    <row r="433" spans="1:10">
      <c r="A433" t="s">
        <v>786</v>
      </c>
      <c r="B433" t="s">
        <v>799</v>
      </c>
      <c r="C433" t="s">
        <v>798</v>
      </c>
      <c r="D433" t="s">
        <v>16</v>
      </c>
      <c r="G433" t="s">
        <v>17</v>
      </c>
      <c r="I433" s="1">
        <v>46185</v>
      </c>
      <c r="J433" t="s">
        <v>1698</v>
      </c>
    </row>
    <row r="434" spans="1:10">
      <c r="A434" t="s">
        <v>786</v>
      </c>
      <c r="B434" t="s">
        <v>801</v>
      </c>
      <c r="C434" t="s">
        <v>800</v>
      </c>
      <c r="D434" t="s">
        <v>16</v>
      </c>
      <c r="G434" t="s">
        <v>17</v>
      </c>
      <c r="I434" s="1">
        <v>46195</v>
      </c>
      <c r="J434" t="s">
        <v>1698</v>
      </c>
    </row>
    <row r="435" spans="1:10">
      <c r="A435" t="s">
        <v>786</v>
      </c>
      <c r="B435" t="s">
        <v>803</v>
      </c>
      <c r="C435" t="s">
        <v>802</v>
      </c>
      <c r="D435" t="s">
        <v>16</v>
      </c>
      <c r="G435" t="s">
        <v>17</v>
      </c>
      <c r="I435" s="1">
        <v>46196</v>
      </c>
      <c r="J435" t="s">
        <v>1698</v>
      </c>
    </row>
    <row r="436" spans="1:10">
      <c r="A436" t="s">
        <v>786</v>
      </c>
      <c r="B436" t="s">
        <v>805</v>
      </c>
      <c r="C436" t="s">
        <v>804</v>
      </c>
      <c r="D436" t="s">
        <v>16</v>
      </c>
      <c r="G436" t="s">
        <v>17</v>
      </c>
      <c r="I436" s="1">
        <v>46197</v>
      </c>
      <c r="J436" t="s">
        <v>1698</v>
      </c>
    </row>
    <row r="437" spans="1:10">
      <c r="A437" t="s">
        <v>786</v>
      </c>
      <c r="B437" t="s">
        <v>807</v>
      </c>
      <c r="C437" t="s">
        <v>806</v>
      </c>
      <c r="D437" t="s">
        <v>16</v>
      </c>
      <c r="G437" t="s">
        <v>17</v>
      </c>
      <c r="I437" s="1">
        <v>46195</v>
      </c>
      <c r="J437" t="s">
        <v>1698</v>
      </c>
    </row>
    <row r="438" spans="1:10">
      <c r="A438" t="s">
        <v>809</v>
      </c>
      <c r="B438" t="s">
        <v>810</v>
      </c>
      <c r="C438" t="s">
        <v>808</v>
      </c>
      <c r="D438" t="s">
        <v>21</v>
      </c>
      <c r="E438" t="s">
        <v>22</v>
      </c>
      <c r="F438">
        <v>51</v>
      </c>
      <c r="G438" s="2">
        <v>46356.520833333336</v>
      </c>
      <c r="H438" s="2">
        <v>46358.541666666664</v>
      </c>
      <c r="I438" s="1">
        <v>46196</v>
      </c>
      <c r="J438" t="s">
        <v>1698</v>
      </c>
    </row>
    <row r="439" spans="1:10">
      <c r="A439" t="s">
        <v>809</v>
      </c>
      <c r="B439" t="s">
        <v>812</v>
      </c>
      <c r="C439" t="s">
        <v>811</v>
      </c>
      <c r="D439" t="s">
        <v>21</v>
      </c>
      <c r="E439" t="s">
        <v>22</v>
      </c>
      <c r="F439">
        <v>19</v>
      </c>
      <c r="G439" s="2">
        <v>46363.520833333336</v>
      </c>
      <c r="H439" s="2">
        <v>46365.541666666664</v>
      </c>
      <c r="I439" s="1">
        <v>46197</v>
      </c>
      <c r="J439" t="s">
        <v>1698</v>
      </c>
    </row>
    <row r="440" spans="1:10">
      <c r="A440" t="s">
        <v>809</v>
      </c>
      <c r="B440" t="s">
        <v>814</v>
      </c>
      <c r="C440" t="s">
        <v>813</v>
      </c>
      <c r="D440" t="s">
        <v>21</v>
      </c>
      <c r="E440" t="s">
        <v>22</v>
      </c>
      <c r="F440">
        <v>6</v>
      </c>
      <c r="G440" s="2">
        <v>46349.520833333336</v>
      </c>
      <c r="H440" s="2">
        <v>46351.541666666664</v>
      </c>
      <c r="I440" s="1">
        <v>46191</v>
      </c>
      <c r="J440" t="s">
        <v>1698</v>
      </c>
    </row>
    <row r="441" spans="1:10">
      <c r="A441" t="s">
        <v>809</v>
      </c>
      <c r="B441" t="s">
        <v>816</v>
      </c>
      <c r="C441" t="s">
        <v>815</v>
      </c>
      <c r="D441" t="s">
        <v>21</v>
      </c>
      <c r="E441" t="s">
        <v>22</v>
      </c>
      <c r="F441">
        <v>45</v>
      </c>
      <c r="G441" s="2">
        <v>46314.520833333336</v>
      </c>
      <c r="H441" s="2">
        <v>46316.541666666664</v>
      </c>
      <c r="I441" s="1">
        <v>46183</v>
      </c>
      <c r="J441" t="s">
        <v>1698</v>
      </c>
    </row>
    <row r="442" spans="1:10">
      <c r="A442" t="s">
        <v>809</v>
      </c>
      <c r="B442" t="s">
        <v>818</v>
      </c>
      <c r="C442" t="s">
        <v>817</v>
      </c>
      <c r="D442" t="s">
        <v>21</v>
      </c>
      <c r="E442" t="s">
        <v>22</v>
      </c>
      <c r="F442">
        <v>2</v>
      </c>
      <c r="G442" s="2">
        <v>45670.520833333336</v>
      </c>
      <c r="H442" s="2">
        <v>45672.583333333336</v>
      </c>
      <c r="I442" s="1">
        <v>45799</v>
      </c>
      <c r="J442" t="s">
        <v>1698</v>
      </c>
    </row>
    <row r="443" spans="1:10">
      <c r="A443" t="s">
        <v>809</v>
      </c>
      <c r="B443" t="s">
        <v>820</v>
      </c>
      <c r="C443" t="s">
        <v>819</v>
      </c>
      <c r="D443" t="s">
        <v>21</v>
      </c>
      <c r="E443" t="s">
        <v>22</v>
      </c>
      <c r="F443">
        <v>7</v>
      </c>
      <c r="G443" s="2">
        <v>46202.520833333336</v>
      </c>
      <c r="H443" s="2">
        <v>46204.541666666664</v>
      </c>
      <c r="I443" s="1">
        <v>46190</v>
      </c>
      <c r="J443" t="s">
        <v>1698</v>
      </c>
    </row>
    <row r="444" spans="1:10">
      <c r="A444" t="s">
        <v>809</v>
      </c>
      <c r="B444" t="s">
        <v>822</v>
      </c>
      <c r="C444" t="s">
        <v>821</v>
      </c>
      <c r="D444" t="s">
        <v>21</v>
      </c>
      <c r="E444" t="s">
        <v>25</v>
      </c>
      <c r="G444" s="2">
        <v>46300.520833333336</v>
      </c>
      <c r="H444" s="2">
        <v>46302.541666666664</v>
      </c>
      <c r="I444" s="1">
        <v>46192</v>
      </c>
      <c r="J444" t="s">
        <v>1698</v>
      </c>
    </row>
    <row r="445" spans="1:10">
      <c r="A445" t="s">
        <v>809</v>
      </c>
      <c r="B445" t="s">
        <v>824</v>
      </c>
      <c r="C445" t="s">
        <v>823</v>
      </c>
      <c r="D445" t="s">
        <v>21</v>
      </c>
      <c r="E445" t="s">
        <v>25</v>
      </c>
      <c r="G445" s="2">
        <v>46321.520833333336</v>
      </c>
      <c r="H445" s="2">
        <v>46323.541666666664</v>
      </c>
      <c r="I445" s="1">
        <v>45799</v>
      </c>
      <c r="J445" t="s">
        <v>1698</v>
      </c>
    </row>
    <row r="446" spans="1:10">
      <c r="A446" t="s">
        <v>809</v>
      </c>
      <c r="B446" t="s">
        <v>826</v>
      </c>
      <c r="C446" t="s">
        <v>825</v>
      </c>
      <c r="D446" t="s">
        <v>21</v>
      </c>
      <c r="E446" t="s">
        <v>22</v>
      </c>
      <c r="F446">
        <v>2</v>
      </c>
      <c r="G446" s="2">
        <v>46218.520833333336</v>
      </c>
      <c r="H446" s="2">
        <v>46220.541666666664</v>
      </c>
      <c r="I446" s="1">
        <v>46190</v>
      </c>
      <c r="J446" t="s">
        <v>1698</v>
      </c>
    </row>
    <row r="447" spans="1:10">
      <c r="A447" t="s">
        <v>828</v>
      </c>
      <c r="B447" t="s">
        <v>829</v>
      </c>
      <c r="C447" t="s">
        <v>827</v>
      </c>
      <c r="D447" t="s">
        <v>16</v>
      </c>
      <c r="G447" s="2">
        <v>45943.333333333336</v>
      </c>
      <c r="H447" s="2">
        <v>46387.999305555553</v>
      </c>
      <c r="I447" s="1">
        <v>46191</v>
      </c>
      <c r="J447" t="s">
        <v>1698</v>
      </c>
    </row>
    <row r="448" spans="1:10">
      <c r="A448" t="s">
        <v>828</v>
      </c>
      <c r="B448" t="s">
        <v>831</v>
      </c>
      <c r="C448" t="s">
        <v>830</v>
      </c>
      <c r="D448" t="s">
        <v>16</v>
      </c>
      <c r="G448" s="2">
        <v>45943.333333333336</v>
      </c>
      <c r="H448" s="2">
        <v>46387.999305555553</v>
      </c>
      <c r="I448" s="1">
        <v>46142</v>
      </c>
      <c r="J448" t="s">
        <v>1698</v>
      </c>
    </row>
    <row r="449" spans="1:10">
      <c r="A449" t="s">
        <v>828</v>
      </c>
      <c r="B449" t="s">
        <v>833</v>
      </c>
      <c r="C449" t="s">
        <v>832</v>
      </c>
      <c r="D449" t="s">
        <v>16</v>
      </c>
      <c r="G449" s="2">
        <v>45943.333333333336</v>
      </c>
      <c r="H449" s="2">
        <v>46387.999305555553</v>
      </c>
      <c r="I449" s="1">
        <v>46184</v>
      </c>
      <c r="J449" t="s">
        <v>1698</v>
      </c>
    </row>
    <row r="450" spans="1:10">
      <c r="A450" t="s">
        <v>828</v>
      </c>
      <c r="B450" t="s">
        <v>835</v>
      </c>
      <c r="C450" t="s">
        <v>834</v>
      </c>
      <c r="D450" t="s">
        <v>16</v>
      </c>
      <c r="G450" s="2">
        <v>45943.333333333336</v>
      </c>
      <c r="H450" s="2">
        <v>46387.999305555553</v>
      </c>
      <c r="I450" s="1">
        <v>46182</v>
      </c>
      <c r="J450" t="s">
        <v>1698</v>
      </c>
    </row>
    <row r="451" spans="1:10">
      <c r="A451" t="s">
        <v>828</v>
      </c>
      <c r="B451" t="s">
        <v>837</v>
      </c>
      <c r="C451" t="s">
        <v>836</v>
      </c>
      <c r="D451" t="s">
        <v>16</v>
      </c>
      <c r="G451" s="2">
        <v>45943.333333333336</v>
      </c>
      <c r="H451" s="2">
        <v>46387.999305555553</v>
      </c>
      <c r="I451" s="1">
        <v>46194</v>
      </c>
      <c r="J451" t="s">
        <v>1698</v>
      </c>
    </row>
    <row r="452" spans="1:10">
      <c r="A452" t="s">
        <v>828</v>
      </c>
      <c r="B452" t="s">
        <v>839</v>
      </c>
      <c r="C452" t="s">
        <v>838</v>
      </c>
      <c r="D452" t="s">
        <v>16</v>
      </c>
      <c r="G452" s="2">
        <v>45943.333333333336</v>
      </c>
      <c r="H452" s="2">
        <v>46387.999305555553</v>
      </c>
      <c r="I452" s="1">
        <v>46194</v>
      </c>
      <c r="J452" t="s">
        <v>1698</v>
      </c>
    </row>
    <row r="453" spans="1:10">
      <c r="A453" t="s">
        <v>828</v>
      </c>
      <c r="B453" t="s">
        <v>841</v>
      </c>
      <c r="C453" t="s">
        <v>840</v>
      </c>
      <c r="D453" t="s">
        <v>16</v>
      </c>
      <c r="G453" s="2">
        <v>45943.333333333336</v>
      </c>
      <c r="H453" s="2">
        <v>46387.999305555553</v>
      </c>
      <c r="I453" s="1">
        <v>46196</v>
      </c>
      <c r="J453" t="s">
        <v>1698</v>
      </c>
    </row>
    <row r="454" spans="1:10">
      <c r="A454" t="s">
        <v>828</v>
      </c>
      <c r="B454" t="s">
        <v>843</v>
      </c>
      <c r="C454" t="s">
        <v>842</v>
      </c>
      <c r="D454" t="s">
        <v>16</v>
      </c>
      <c r="G454" s="2">
        <v>45943.333333333336</v>
      </c>
      <c r="H454" s="2">
        <v>46387.999305555553</v>
      </c>
      <c r="I454" s="1">
        <v>46196</v>
      </c>
      <c r="J454" t="s">
        <v>1698</v>
      </c>
    </row>
    <row r="455" spans="1:10">
      <c r="A455" t="s">
        <v>828</v>
      </c>
      <c r="B455" t="s">
        <v>845</v>
      </c>
      <c r="C455" t="s">
        <v>844</v>
      </c>
      <c r="D455" t="s">
        <v>16</v>
      </c>
      <c r="G455" s="2">
        <v>45943.333333333336</v>
      </c>
      <c r="H455" s="2">
        <v>46387.999305555553</v>
      </c>
      <c r="J455" t="s">
        <v>1698</v>
      </c>
    </row>
    <row r="456" spans="1:10">
      <c r="A456" t="s">
        <v>828</v>
      </c>
      <c r="B456" t="s">
        <v>847</v>
      </c>
      <c r="C456" t="s">
        <v>846</v>
      </c>
      <c r="D456" t="s">
        <v>16</v>
      </c>
      <c r="G456" s="2">
        <v>45943.333333333336</v>
      </c>
      <c r="H456" s="2">
        <v>46387.999305555553</v>
      </c>
      <c r="I456" s="1">
        <v>46153</v>
      </c>
      <c r="J456" t="s">
        <v>1698</v>
      </c>
    </row>
    <row r="457" spans="1:10">
      <c r="A457" t="s">
        <v>828</v>
      </c>
      <c r="B457" t="s">
        <v>849</v>
      </c>
      <c r="C457" t="s">
        <v>848</v>
      </c>
      <c r="D457" t="s">
        <v>16</v>
      </c>
      <c r="G457" s="2">
        <v>45943.333333333336</v>
      </c>
      <c r="H457" s="2">
        <v>46387.999305555553</v>
      </c>
      <c r="I457" s="1">
        <v>46197</v>
      </c>
      <c r="J457" t="s">
        <v>1698</v>
      </c>
    </row>
    <row r="458" spans="1:10">
      <c r="A458" t="s">
        <v>828</v>
      </c>
      <c r="B458" t="s">
        <v>851</v>
      </c>
      <c r="C458" t="s">
        <v>850</v>
      </c>
      <c r="D458" t="s">
        <v>16</v>
      </c>
      <c r="G458" s="2">
        <v>45943.333333333336</v>
      </c>
      <c r="H458" s="2">
        <v>46387.999305555553</v>
      </c>
      <c r="I458" s="1">
        <v>46197</v>
      </c>
      <c r="J458" t="s">
        <v>1698</v>
      </c>
    </row>
    <row r="459" spans="1:10">
      <c r="A459" t="s">
        <v>828</v>
      </c>
      <c r="B459" t="s">
        <v>853</v>
      </c>
      <c r="C459" t="s">
        <v>852</v>
      </c>
      <c r="D459" t="s">
        <v>16</v>
      </c>
      <c r="G459" s="2">
        <v>45943.333333333336</v>
      </c>
      <c r="H459" s="2">
        <v>46387.999305555553</v>
      </c>
      <c r="I459" s="1">
        <v>46196</v>
      </c>
      <c r="J459" t="s">
        <v>1698</v>
      </c>
    </row>
    <row r="460" spans="1:10">
      <c r="A460" t="s">
        <v>828</v>
      </c>
      <c r="B460" t="s">
        <v>855</v>
      </c>
      <c r="C460" t="s">
        <v>854</v>
      </c>
      <c r="D460" t="s">
        <v>16</v>
      </c>
      <c r="G460" s="2">
        <v>45943.333333333336</v>
      </c>
      <c r="H460" s="2">
        <v>46387.999305555553</v>
      </c>
      <c r="I460" s="1">
        <v>46132</v>
      </c>
      <c r="J460" t="s">
        <v>1698</v>
      </c>
    </row>
    <row r="461" spans="1:10">
      <c r="A461" t="s">
        <v>828</v>
      </c>
      <c r="B461" t="s">
        <v>857</v>
      </c>
      <c r="C461" t="s">
        <v>856</v>
      </c>
      <c r="D461" t="s">
        <v>16</v>
      </c>
      <c r="G461" s="2">
        <v>45943.333333333336</v>
      </c>
      <c r="H461" s="2">
        <v>46387.999305555553</v>
      </c>
      <c r="I461" s="1">
        <v>46188</v>
      </c>
      <c r="J461" t="s">
        <v>1698</v>
      </c>
    </row>
    <row r="462" spans="1:10">
      <c r="A462" t="s">
        <v>828</v>
      </c>
      <c r="B462" t="s">
        <v>859</v>
      </c>
      <c r="C462" t="s">
        <v>858</v>
      </c>
      <c r="D462" t="s">
        <v>16</v>
      </c>
      <c r="G462" s="2">
        <v>45943.333333333336</v>
      </c>
      <c r="H462" s="2">
        <v>46387.999305555553</v>
      </c>
      <c r="I462" s="1">
        <v>46196</v>
      </c>
      <c r="J462" t="s">
        <v>1698</v>
      </c>
    </row>
    <row r="463" spans="1:10">
      <c r="A463" t="s">
        <v>828</v>
      </c>
      <c r="B463" t="s">
        <v>861</v>
      </c>
      <c r="C463" t="s">
        <v>860</v>
      </c>
      <c r="D463" t="s">
        <v>16</v>
      </c>
      <c r="G463" s="2">
        <v>45943.333333333336</v>
      </c>
      <c r="H463" s="2">
        <v>46387.999305555553</v>
      </c>
      <c r="I463" s="1">
        <v>46110</v>
      </c>
      <c r="J463" t="s">
        <v>1698</v>
      </c>
    </row>
    <row r="464" spans="1:10">
      <c r="A464" t="s">
        <v>828</v>
      </c>
      <c r="B464" t="s">
        <v>863</v>
      </c>
      <c r="C464" t="s">
        <v>862</v>
      </c>
      <c r="D464" t="s">
        <v>16</v>
      </c>
      <c r="G464" s="2">
        <v>45943.333333333336</v>
      </c>
      <c r="H464" s="2">
        <v>46387.999305555553</v>
      </c>
      <c r="I464" s="1">
        <v>45975</v>
      </c>
      <c r="J464" t="s">
        <v>1698</v>
      </c>
    </row>
    <row r="465" spans="1:10">
      <c r="A465" t="s">
        <v>828</v>
      </c>
      <c r="B465" t="s">
        <v>865</v>
      </c>
      <c r="C465" t="s">
        <v>864</v>
      </c>
      <c r="D465" t="s">
        <v>16</v>
      </c>
      <c r="G465" s="2">
        <v>45943.333333333336</v>
      </c>
      <c r="H465" s="2">
        <v>46387.999305555553</v>
      </c>
      <c r="I465" s="1">
        <v>46155</v>
      </c>
      <c r="J465" t="s">
        <v>1698</v>
      </c>
    </row>
    <row r="466" spans="1:10">
      <c r="A466" t="s">
        <v>828</v>
      </c>
      <c r="B466" t="s">
        <v>867</v>
      </c>
      <c r="C466" t="s">
        <v>866</v>
      </c>
      <c r="D466" t="s">
        <v>16</v>
      </c>
      <c r="G466" s="2">
        <v>45943.333333333336</v>
      </c>
      <c r="H466" s="2">
        <v>46387.999305555553</v>
      </c>
      <c r="I466" s="1">
        <v>46195</v>
      </c>
      <c r="J466" t="s">
        <v>1698</v>
      </c>
    </row>
    <row r="467" spans="1:10">
      <c r="A467" t="s">
        <v>828</v>
      </c>
      <c r="B467" t="s">
        <v>869</v>
      </c>
      <c r="C467" t="s">
        <v>868</v>
      </c>
      <c r="D467" t="s">
        <v>16</v>
      </c>
      <c r="G467" s="2">
        <v>45943.333333333336</v>
      </c>
      <c r="H467" s="2">
        <v>46387.999305555553</v>
      </c>
      <c r="I467" s="1">
        <v>46195</v>
      </c>
      <c r="J467" t="s">
        <v>1698</v>
      </c>
    </row>
    <row r="468" spans="1:10">
      <c r="A468" t="s">
        <v>828</v>
      </c>
      <c r="B468" t="s">
        <v>871</v>
      </c>
      <c r="C468" t="s">
        <v>870</v>
      </c>
      <c r="D468" t="s">
        <v>16</v>
      </c>
      <c r="G468" s="2">
        <v>45943.333333333336</v>
      </c>
      <c r="H468" s="2">
        <v>46387.999305555553</v>
      </c>
      <c r="I468" s="1">
        <v>46185</v>
      </c>
      <c r="J468" t="s">
        <v>1698</v>
      </c>
    </row>
    <row r="469" spans="1:10">
      <c r="A469" t="s">
        <v>828</v>
      </c>
      <c r="B469" t="s">
        <v>873</v>
      </c>
      <c r="C469" t="s">
        <v>872</v>
      </c>
      <c r="D469" t="s">
        <v>16</v>
      </c>
      <c r="G469" s="2">
        <v>45943.333333333336</v>
      </c>
      <c r="H469" s="2">
        <v>46387.999305555553</v>
      </c>
      <c r="I469" s="1">
        <v>46197</v>
      </c>
      <c r="J469" t="s">
        <v>1698</v>
      </c>
    </row>
    <row r="470" spans="1:10">
      <c r="A470" t="s">
        <v>828</v>
      </c>
      <c r="B470" t="s">
        <v>875</v>
      </c>
      <c r="C470" t="s">
        <v>874</v>
      </c>
      <c r="D470" t="s">
        <v>16</v>
      </c>
      <c r="G470" s="2">
        <v>45943.333333333336</v>
      </c>
      <c r="H470" s="2">
        <v>46387.999305555553</v>
      </c>
      <c r="I470" s="1">
        <v>46157</v>
      </c>
      <c r="J470" t="s">
        <v>1698</v>
      </c>
    </row>
    <row r="471" spans="1:10">
      <c r="A471" t="s">
        <v>828</v>
      </c>
      <c r="B471" t="s">
        <v>877</v>
      </c>
      <c r="C471" t="s">
        <v>876</v>
      </c>
      <c r="D471" t="s">
        <v>16</v>
      </c>
      <c r="G471" s="2">
        <v>45943.333333333336</v>
      </c>
      <c r="H471" s="2">
        <v>46387.999305555553</v>
      </c>
      <c r="I471" s="1">
        <v>46182</v>
      </c>
      <c r="J471" t="s">
        <v>1698</v>
      </c>
    </row>
    <row r="472" spans="1:10">
      <c r="A472" t="s">
        <v>828</v>
      </c>
      <c r="B472" t="s">
        <v>2435</v>
      </c>
      <c r="C472" t="s">
        <v>878</v>
      </c>
      <c r="D472" t="s">
        <v>16</v>
      </c>
      <c r="G472" s="2">
        <v>45943.333333333336</v>
      </c>
      <c r="H472" s="2">
        <v>46387.999305555553</v>
      </c>
      <c r="I472" s="1">
        <v>46197</v>
      </c>
      <c r="J472" t="s">
        <v>1698</v>
      </c>
    </row>
    <row r="473" spans="1:10">
      <c r="A473" t="s">
        <v>828</v>
      </c>
      <c r="B473" t="s">
        <v>881</v>
      </c>
      <c r="C473" t="s">
        <v>880</v>
      </c>
      <c r="D473" t="s">
        <v>16</v>
      </c>
      <c r="G473" s="2">
        <v>45943.333333333336</v>
      </c>
      <c r="H473" s="2">
        <v>46387.999305555553</v>
      </c>
      <c r="I473" s="1">
        <v>46192</v>
      </c>
      <c r="J473" t="s">
        <v>1698</v>
      </c>
    </row>
    <row r="474" spans="1:10">
      <c r="A474" t="s">
        <v>828</v>
      </c>
      <c r="B474" t="s">
        <v>883</v>
      </c>
      <c r="C474" t="s">
        <v>882</v>
      </c>
      <c r="D474" t="s">
        <v>16</v>
      </c>
      <c r="G474" s="2">
        <v>45943.333333333336</v>
      </c>
      <c r="H474" s="2">
        <v>46387.999305555553</v>
      </c>
      <c r="I474" s="1">
        <v>46194</v>
      </c>
      <c r="J474" t="s">
        <v>1698</v>
      </c>
    </row>
    <row r="475" spans="1:10">
      <c r="A475" t="s">
        <v>828</v>
      </c>
      <c r="B475" t="s">
        <v>885</v>
      </c>
      <c r="C475" t="s">
        <v>884</v>
      </c>
      <c r="D475" t="s">
        <v>16</v>
      </c>
      <c r="G475" s="2">
        <v>45943.333333333336</v>
      </c>
      <c r="H475" s="2">
        <v>46387.999305555553</v>
      </c>
      <c r="I475" s="1">
        <v>46195</v>
      </c>
      <c r="J475" t="s">
        <v>1698</v>
      </c>
    </row>
    <row r="476" spans="1:10">
      <c r="A476" t="s">
        <v>886</v>
      </c>
      <c r="B476" t="s">
        <v>829</v>
      </c>
      <c r="C476" t="s">
        <v>827</v>
      </c>
      <c r="D476" t="s">
        <v>16</v>
      </c>
      <c r="G476" s="2">
        <v>45943.333333333336</v>
      </c>
      <c r="H476" s="2">
        <v>46387.999305555553</v>
      </c>
      <c r="I476" s="1">
        <v>46191</v>
      </c>
      <c r="J476" t="s">
        <v>1698</v>
      </c>
    </row>
    <row r="477" spans="1:10">
      <c r="A477" t="s">
        <v>886</v>
      </c>
      <c r="B477" t="s">
        <v>831</v>
      </c>
      <c r="C477" t="s">
        <v>830</v>
      </c>
      <c r="D477" t="s">
        <v>16</v>
      </c>
      <c r="G477" s="2">
        <v>45943.333333333336</v>
      </c>
      <c r="H477" s="2">
        <v>46387.999305555553</v>
      </c>
      <c r="I477" s="1">
        <v>46142</v>
      </c>
      <c r="J477" t="s">
        <v>1698</v>
      </c>
    </row>
    <row r="478" spans="1:10">
      <c r="A478" t="s">
        <v>886</v>
      </c>
      <c r="B478" t="s">
        <v>833</v>
      </c>
      <c r="C478" t="s">
        <v>832</v>
      </c>
      <c r="D478" t="s">
        <v>16</v>
      </c>
      <c r="G478" s="2">
        <v>45943.333333333336</v>
      </c>
      <c r="H478" s="2">
        <v>46387.999305555553</v>
      </c>
      <c r="I478" s="1">
        <v>46184</v>
      </c>
      <c r="J478" t="s">
        <v>1698</v>
      </c>
    </row>
    <row r="479" spans="1:10">
      <c r="A479" t="s">
        <v>886</v>
      </c>
      <c r="B479" t="s">
        <v>835</v>
      </c>
      <c r="C479" t="s">
        <v>834</v>
      </c>
      <c r="D479" t="s">
        <v>16</v>
      </c>
      <c r="G479" s="2">
        <v>45943.333333333336</v>
      </c>
      <c r="H479" s="2">
        <v>46387.999305555553</v>
      </c>
      <c r="I479" s="1">
        <v>46182</v>
      </c>
      <c r="J479" t="s">
        <v>1698</v>
      </c>
    </row>
    <row r="480" spans="1:10">
      <c r="A480" t="s">
        <v>886</v>
      </c>
      <c r="B480" t="s">
        <v>837</v>
      </c>
      <c r="C480" t="s">
        <v>836</v>
      </c>
      <c r="D480" t="s">
        <v>16</v>
      </c>
      <c r="G480" s="2">
        <v>45943.333333333336</v>
      </c>
      <c r="H480" s="2">
        <v>46387.999305555553</v>
      </c>
      <c r="I480" s="1">
        <v>46194</v>
      </c>
      <c r="J480" t="s">
        <v>1698</v>
      </c>
    </row>
    <row r="481" spans="1:10">
      <c r="A481" t="s">
        <v>886</v>
      </c>
      <c r="B481" t="s">
        <v>839</v>
      </c>
      <c r="C481" t="s">
        <v>838</v>
      </c>
      <c r="D481" t="s">
        <v>16</v>
      </c>
      <c r="G481" s="2">
        <v>45943.333333333336</v>
      </c>
      <c r="H481" s="2">
        <v>46387.999305555553</v>
      </c>
      <c r="I481" s="1">
        <v>46194</v>
      </c>
      <c r="J481" t="s">
        <v>1698</v>
      </c>
    </row>
    <row r="482" spans="1:10">
      <c r="A482" t="s">
        <v>886</v>
      </c>
      <c r="B482" t="s">
        <v>841</v>
      </c>
      <c r="C482" t="s">
        <v>840</v>
      </c>
      <c r="D482" t="s">
        <v>16</v>
      </c>
      <c r="G482" s="2">
        <v>45943.333333333336</v>
      </c>
      <c r="H482" s="2">
        <v>46387.999305555553</v>
      </c>
      <c r="I482" s="1">
        <v>46196</v>
      </c>
      <c r="J482" t="s">
        <v>1698</v>
      </c>
    </row>
    <row r="483" spans="1:10">
      <c r="A483" t="s">
        <v>886</v>
      </c>
      <c r="B483" t="s">
        <v>843</v>
      </c>
      <c r="C483" t="s">
        <v>842</v>
      </c>
      <c r="D483" t="s">
        <v>16</v>
      </c>
      <c r="G483" s="2">
        <v>45943.333333333336</v>
      </c>
      <c r="H483" s="2">
        <v>46387.999305555553</v>
      </c>
      <c r="I483" s="1">
        <v>46196</v>
      </c>
      <c r="J483" t="s">
        <v>1698</v>
      </c>
    </row>
    <row r="484" spans="1:10">
      <c r="A484" t="s">
        <v>886</v>
      </c>
      <c r="B484" t="s">
        <v>845</v>
      </c>
      <c r="C484" t="s">
        <v>844</v>
      </c>
      <c r="D484" t="s">
        <v>16</v>
      </c>
      <c r="G484" s="2">
        <v>45943.333333333336</v>
      </c>
      <c r="H484" s="2">
        <v>46387.999305555553</v>
      </c>
      <c r="J484" t="s">
        <v>1698</v>
      </c>
    </row>
    <row r="485" spans="1:10">
      <c r="A485" t="s">
        <v>886</v>
      </c>
      <c r="B485" t="s">
        <v>847</v>
      </c>
      <c r="C485" t="s">
        <v>846</v>
      </c>
      <c r="D485" t="s">
        <v>16</v>
      </c>
      <c r="G485" s="2">
        <v>45943.333333333336</v>
      </c>
      <c r="H485" s="2">
        <v>46387.999305555553</v>
      </c>
      <c r="I485" s="1">
        <v>46153</v>
      </c>
      <c r="J485" t="s">
        <v>1698</v>
      </c>
    </row>
    <row r="486" spans="1:10">
      <c r="A486" t="s">
        <v>886</v>
      </c>
      <c r="B486" t="s">
        <v>849</v>
      </c>
      <c r="C486" t="s">
        <v>848</v>
      </c>
      <c r="D486" t="s">
        <v>16</v>
      </c>
      <c r="G486" s="2">
        <v>45943.333333333336</v>
      </c>
      <c r="H486" s="2">
        <v>46387.999305555553</v>
      </c>
      <c r="I486" s="1">
        <v>46197</v>
      </c>
      <c r="J486" t="s">
        <v>1698</v>
      </c>
    </row>
    <row r="487" spans="1:10">
      <c r="A487" t="s">
        <v>886</v>
      </c>
      <c r="B487" t="s">
        <v>851</v>
      </c>
      <c r="C487" t="s">
        <v>850</v>
      </c>
      <c r="D487" t="s">
        <v>16</v>
      </c>
      <c r="G487" s="2">
        <v>45943.333333333336</v>
      </c>
      <c r="H487" s="2">
        <v>46387.999305555553</v>
      </c>
      <c r="I487" s="1">
        <v>46197</v>
      </c>
      <c r="J487" t="s">
        <v>1698</v>
      </c>
    </row>
    <row r="488" spans="1:10">
      <c r="A488" t="s">
        <v>886</v>
      </c>
      <c r="B488" t="s">
        <v>853</v>
      </c>
      <c r="C488" t="s">
        <v>852</v>
      </c>
      <c r="D488" t="s">
        <v>16</v>
      </c>
      <c r="G488" s="2">
        <v>45943.333333333336</v>
      </c>
      <c r="H488" s="2">
        <v>46387.999305555553</v>
      </c>
      <c r="I488" s="1">
        <v>46196</v>
      </c>
      <c r="J488" t="s">
        <v>1698</v>
      </c>
    </row>
    <row r="489" spans="1:10">
      <c r="A489" t="s">
        <v>886</v>
      </c>
      <c r="B489" t="s">
        <v>855</v>
      </c>
      <c r="C489" t="s">
        <v>854</v>
      </c>
      <c r="D489" t="s">
        <v>16</v>
      </c>
      <c r="G489" s="2">
        <v>45943.333333333336</v>
      </c>
      <c r="H489" s="2">
        <v>46387.999305555553</v>
      </c>
      <c r="I489" s="1">
        <v>46132</v>
      </c>
      <c r="J489" t="s">
        <v>1698</v>
      </c>
    </row>
    <row r="490" spans="1:10">
      <c r="A490" t="s">
        <v>886</v>
      </c>
      <c r="B490" t="s">
        <v>857</v>
      </c>
      <c r="C490" t="s">
        <v>856</v>
      </c>
      <c r="D490" t="s">
        <v>16</v>
      </c>
      <c r="G490" s="2">
        <v>45943.333333333336</v>
      </c>
      <c r="H490" s="2">
        <v>46387.999305555553</v>
      </c>
      <c r="I490" s="1">
        <v>46188</v>
      </c>
      <c r="J490" t="s">
        <v>1698</v>
      </c>
    </row>
    <row r="491" spans="1:10">
      <c r="A491" t="s">
        <v>886</v>
      </c>
      <c r="B491" t="s">
        <v>859</v>
      </c>
      <c r="C491" t="s">
        <v>858</v>
      </c>
      <c r="D491" t="s">
        <v>16</v>
      </c>
      <c r="G491" s="2">
        <v>45943.333333333336</v>
      </c>
      <c r="H491" s="2">
        <v>46387.999305555553</v>
      </c>
      <c r="I491" s="1">
        <v>46196</v>
      </c>
      <c r="J491" t="s">
        <v>1698</v>
      </c>
    </row>
    <row r="492" spans="1:10">
      <c r="A492" t="s">
        <v>886</v>
      </c>
      <c r="B492" t="s">
        <v>861</v>
      </c>
      <c r="C492" t="s">
        <v>860</v>
      </c>
      <c r="D492" t="s">
        <v>16</v>
      </c>
      <c r="G492" s="2">
        <v>45943.333333333336</v>
      </c>
      <c r="H492" s="2">
        <v>46387.999305555553</v>
      </c>
      <c r="I492" s="1">
        <v>46110</v>
      </c>
      <c r="J492" t="s">
        <v>1698</v>
      </c>
    </row>
    <row r="493" spans="1:10">
      <c r="A493" t="s">
        <v>886</v>
      </c>
      <c r="B493" t="s">
        <v>863</v>
      </c>
      <c r="C493" t="s">
        <v>862</v>
      </c>
      <c r="D493" t="s">
        <v>16</v>
      </c>
      <c r="G493" s="2">
        <v>45943.333333333336</v>
      </c>
      <c r="H493" s="2">
        <v>46387.999305555553</v>
      </c>
      <c r="I493" s="1">
        <v>45975</v>
      </c>
      <c r="J493" t="s">
        <v>1698</v>
      </c>
    </row>
    <row r="494" spans="1:10">
      <c r="A494" t="s">
        <v>886</v>
      </c>
      <c r="B494" t="s">
        <v>888</v>
      </c>
      <c r="C494" t="s">
        <v>887</v>
      </c>
      <c r="D494" t="s">
        <v>16</v>
      </c>
      <c r="G494" s="2">
        <v>45943.333333333336</v>
      </c>
      <c r="H494" s="2">
        <v>46387.999305555553</v>
      </c>
      <c r="I494" s="1">
        <v>46196</v>
      </c>
      <c r="J494" t="s">
        <v>1698</v>
      </c>
    </row>
    <row r="495" spans="1:10">
      <c r="A495" t="s">
        <v>886</v>
      </c>
      <c r="B495" t="s">
        <v>865</v>
      </c>
      <c r="C495" t="s">
        <v>864</v>
      </c>
      <c r="D495" t="s">
        <v>16</v>
      </c>
      <c r="G495" s="2">
        <v>45943.333333333336</v>
      </c>
      <c r="H495" s="2">
        <v>46387.999305555553</v>
      </c>
      <c r="I495" s="1">
        <v>46155</v>
      </c>
      <c r="J495" t="s">
        <v>1698</v>
      </c>
    </row>
    <row r="496" spans="1:10">
      <c r="A496" t="s">
        <v>886</v>
      </c>
      <c r="B496" t="s">
        <v>867</v>
      </c>
      <c r="C496" t="s">
        <v>866</v>
      </c>
      <c r="D496" t="s">
        <v>16</v>
      </c>
      <c r="G496" s="2">
        <v>45943.333333333336</v>
      </c>
      <c r="H496" s="2">
        <v>46387.999305555553</v>
      </c>
      <c r="I496" s="1">
        <v>46195</v>
      </c>
      <c r="J496" t="s">
        <v>1698</v>
      </c>
    </row>
    <row r="497" spans="1:10">
      <c r="A497" t="s">
        <v>886</v>
      </c>
      <c r="B497" t="s">
        <v>869</v>
      </c>
      <c r="C497" t="s">
        <v>868</v>
      </c>
      <c r="D497" t="s">
        <v>16</v>
      </c>
      <c r="G497" s="2">
        <v>45943.333333333336</v>
      </c>
      <c r="H497" s="2">
        <v>46387.999305555553</v>
      </c>
      <c r="I497" s="1">
        <v>46195</v>
      </c>
      <c r="J497" t="s">
        <v>1698</v>
      </c>
    </row>
    <row r="498" spans="1:10">
      <c r="A498" t="s">
        <v>886</v>
      </c>
      <c r="B498" t="s">
        <v>871</v>
      </c>
      <c r="C498" t="s">
        <v>870</v>
      </c>
      <c r="D498" t="s">
        <v>16</v>
      </c>
      <c r="G498" s="2">
        <v>45943.333333333336</v>
      </c>
      <c r="H498" s="2">
        <v>46387.999305555553</v>
      </c>
      <c r="I498" s="1">
        <v>46185</v>
      </c>
      <c r="J498" t="s">
        <v>1698</v>
      </c>
    </row>
    <row r="499" spans="1:10">
      <c r="A499" t="s">
        <v>886</v>
      </c>
      <c r="B499" t="s">
        <v>873</v>
      </c>
      <c r="C499" t="s">
        <v>872</v>
      </c>
      <c r="D499" t="s">
        <v>16</v>
      </c>
      <c r="G499" s="2">
        <v>45943.333333333336</v>
      </c>
      <c r="H499" s="2">
        <v>46387.999305555553</v>
      </c>
      <c r="I499" s="1">
        <v>46197</v>
      </c>
      <c r="J499" t="s">
        <v>1698</v>
      </c>
    </row>
    <row r="500" spans="1:10">
      <c r="A500" t="s">
        <v>886</v>
      </c>
      <c r="B500" t="s">
        <v>875</v>
      </c>
      <c r="C500" t="s">
        <v>874</v>
      </c>
      <c r="D500" t="s">
        <v>16</v>
      </c>
      <c r="G500" s="2">
        <v>45943.333333333336</v>
      </c>
      <c r="H500" s="2">
        <v>46387.999305555553</v>
      </c>
      <c r="I500" s="1">
        <v>46157</v>
      </c>
      <c r="J500" t="s">
        <v>1698</v>
      </c>
    </row>
    <row r="501" spans="1:10">
      <c r="A501" t="s">
        <v>886</v>
      </c>
      <c r="B501" t="s">
        <v>877</v>
      </c>
      <c r="C501" t="s">
        <v>876</v>
      </c>
      <c r="D501" t="s">
        <v>16</v>
      </c>
      <c r="G501" s="2">
        <v>45943.333333333336</v>
      </c>
      <c r="H501" s="2">
        <v>46387.999305555553</v>
      </c>
      <c r="I501" s="1">
        <v>46182</v>
      </c>
      <c r="J501" t="s">
        <v>1698</v>
      </c>
    </row>
    <row r="502" spans="1:10">
      <c r="A502" t="s">
        <v>886</v>
      </c>
      <c r="B502" t="s">
        <v>2435</v>
      </c>
      <c r="C502" t="s">
        <v>878</v>
      </c>
      <c r="D502" t="s">
        <v>16</v>
      </c>
      <c r="G502" s="2">
        <v>45943.333333333336</v>
      </c>
      <c r="H502" s="2">
        <v>46387.999305555553</v>
      </c>
      <c r="I502" s="1">
        <v>46197</v>
      </c>
      <c r="J502" t="s">
        <v>1698</v>
      </c>
    </row>
    <row r="503" spans="1:10">
      <c r="A503" t="s">
        <v>886</v>
      </c>
      <c r="B503" t="s">
        <v>881</v>
      </c>
      <c r="C503" t="s">
        <v>880</v>
      </c>
      <c r="D503" t="s">
        <v>16</v>
      </c>
      <c r="G503" s="2">
        <v>45943.333333333336</v>
      </c>
      <c r="H503" s="2">
        <v>46387.999305555553</v>
      </c>
      <c r="I503" s="1">
        <v>46192</v>
      </c>
      <c r="J503" t="s">
        <v>1698</v>
      </c>
    </row>
    <row r="504" spans="1:10">
      <c r="A504" t="s">
        <v>886</v>
      </c>
      <c r="B504" t="s">
        <v>883</v>
      </c>
      <c r="C504" t="s">
        <v>882</v>
      </c>
      <c r="D504" t="s">
        <v>16</v>
      </c>
      <c r="G504" s="2">
        <v>45943.333333333336</v>
      </c>
      <c r="H504" s="2">
        <v>46387.999305555553</v>
      </c>
      <c r="I504" s="1">
        <v>46194</v>
      </c>
      <c r="J504" t="s">
        <v>1698</v>
      </c>
    </row>
    <row r="505" spans="1:10">
      <c r="A505" t="s">
        <v>886</v>
      </c>
      <c r="B505" t="s">
        <v>885</v>
      </c>
      <c r="C505" t="s">
        <v>884</v>
      </c>
      <c r="D505" t="s">
        <v>16</v>
      </c>
      <c r="G505" s="2">
        <v>45943.333333333336</v>
      </c>
      <c r="H505" s="2">
        <v>46387.999305555553</v>
      </c>
      <c r="I505" s="1">
        <v>46195</v>
      </c>
      <c r="J505" t="s">
        <v>1698</v>
      </c>
    </row>
    <row r="506" spans="1:10">
      <c r="A506" t="s">
        <v>890</v>
      </c>
      <c r="B506" t="s">
        <v>891</v>
      </c>
      <c r="C506" t="s">
        <v>889</v>
      </c>
      <c r="D506" t="s">
        <v>38</v>
      </c>
      <c r="I506" s="1">
        <v>46195</v>
      </c>
    </row>
    <row r="507" spans="1:10">
      <c r="A507" t="s">
        <v>890</v>
      </c>
      <c r="B507" t="s">
        <v>893</v>
      </c>
      <c r="C507" t="s">
        <v>892</v>
      </c>
      <c r="D507" t="s">
        <v>16</v>
      </c>
      <c r="G507" t="s">
        <v>17</v>
      </c>
      <c r="I507" s="1">
        <v>46190</v>
      </c>
      <c r="J507" t="s">
        <v>1698</v>
      </c>
    </row>
    <row r="508" spans="1:10">
      <c r="A508" t="s">
        <v>895</v>
      </c>
      <c r="B508" t="s">
        <v>896</v>
      </c>
      <c r="C508" t="s">
        <v>894</v>
      </c>
      <c r="D508" t="s">
        <v>21</v>
      </c>
      <c r="E508" t="s">
        <v>22</v>
      </c>
      <c r="F508">
        <v>39</v>
      </c>
      <c r="G508" s="2">
        <v>46308.395833333336</v>
      </c>
      <c r="H508" s="2">
        <v>46308.708333333336</v>
      </c>
      <c r="I508" s="1">
        <v>46196</v>
      </c>
      <c r="J508" t="s">
        <v>1698</v>
      </c>
    </row>
    <row r="509" spans="1:10">
      <c r="A509" t="s">
        <v>898</v>
      </c>
      <c r="B509" t="s">
        <v>899</v>
      </c>
      <c r="C509" t="s">
        <v>1202</v>
      </c>
      <c r="D509" t="s">
        <v>21</v>
      </c>
      <c r="E509" t="s">
        <v>25</v>
      </c>
      <c r="G509" s="2">
        <v>46066.333333333336</v>
      </c>
      <c r="H509" s="2">
        <v>47312.333333333336</v>
      </c>
      <c r="I509" t="s">
        <v>198</v>
      </c>
      <c r="J509" t="s">
        <v>1698</v>
      </c>
    </row>
    <row r="510" spans="1:10">
      <c r="A510" t="s">
        <v>898</v>
      </c>
      <c r="B510" t="s">
        <v>907</v>
      </c>
      <c r="C510" t="s">
        <v>906</v>
      </c>
      <c r="D510" t="s">
        <v>21</v>
      </c>
      <c r="E510" t="s">
        <v>22</v>
      </c>
      <c r="F510">
        <v>25</v>
      </c>
      <c r="G510" s="2">
        <v>46181.375</v>
      </c>
      <c r="H510" s="2">
        <v>46181.520833333336</v>
      </c>
      <c r="I510" s="1">
        <v>46182</v>
      </c>
      <c r="J510" t="s">
        <v>1698</v>
      </c>
    </row>
    <row r="511" spans="1:10">
      <c r="A511" t="s">
        <v>898</v>
      </c>
      <c r="B511" t="s">
        <v>911</v>
      </c>
      <c r="C511" t="s">
        <v>910</v>
      </c>
      <c r="D511" t="s">
        <v>21</v>
      </c>
      <c r="E511" t="s">
        <v>22</v>
      </c>
      <c r="F511">
        <v>10</v>
      </c>
      <c r="G511" s="2">
        <v>46183.375</v>
      </c>
      <c r="H511" s="2">
        <v>46183.708333333336</v>
      </c>
      <c r="I511" s="1">
        <v>46191</v>
      </c>
      <c r="J511" t="s">
        <v>1698</v>
      </c>
    </row>
    <row r="512" spans="1:10">
      <c r="A512" t="s">
        <v>898</v>
      </c>
      <c r="B512" t="s">
        <v>913</v>
      </c>
      <c r="C512" t="s">
        <v>912</v>
      </c>
      <c r="D512" t="s">
        <v>21</v>
      </c>
      <c r="E512" t="s">
        <v>22</v>
      </c>
      <c r="F512">
        <v>58</v>
      </c>
      <c r="G512" s="2">
        <v>46147.395833333336</v>
      </c>
      <c r="H512" s="2">
        <v>46147.729166666664</v>
      </c>
      <c r="I512" s="1">
        <v>46188</v>
      </c>
      <c r="J512" t="s">
        <v>1698</v>
      </c>
    </row>
    <row r="513" spans="1:10">
      <c r="A513" t="s">
        <v>898</v>
      </c>
      <c r="B513" t="s">
        <v>915</v>
      </c>
      <c r="C513" t="s">
        <v>914</v>
      </c>
      <c r="D513" t="s">
        <v>21</v>
      </c>
      <c r="E513" t="s">
        <v>22</v>
      </c>
      <c r="F513">
        <v>123</v>
      </c>
      <c r="G513" s="2">
        <v>46359.375</v>
      </c>
      <c r="H513" s="2">
        <v>46360.708333333336</v>
      </c>
      <c r="I513" s="1">
        <v>46197</v>
      </c>
      <c r="J513" t="s">
        <v>2402</v>
      </c>
    </row>
    <row r="514" spans="1:10">
      <c r="A514" t="s">
        <v>898</v>
      </c>
      <c r="B514" t="s">
        <v>917</v>
      </c>
      <c r="C514" t="s">
        <v>916</v>
      </c>
      <c r="D514" t="s">
        <v>21</v>
      </c>
      <c r="E514" t="s">
        <v>22</v>
      </c>
      <c r="F514">
        <v>133</v>
      </c>
      <c r="G514" s="2">
        <v>46336.375</v>
      </c>
      <c r="H514" s="2">
        <v>46339.520833333336</v>
      </c>
      <c r="I514" s="1">
        <v>46195</v>
      </c>
      <c r="J514" t="s">
        <v>2402</v>
      </c>
    </row>
    <row r="515" spans="1:10">
      <c r="A515" t="s">
        <v>898</v>
      </c>
      <c r="B515" t="s">
        <v>921</v>
      </c>
      <c r="C515" t="s">
        <v>920</v>
      </c>
      <c r="D515" t="s">
        <v>21</v>
      </c>
      <c r="E515" t="s">
        <v>22</v>
      </c>
      <c r="F515">
        <v>15</v>
      </c>
      <c r="G515" s="2">
        <v>46203.375</v>
      </c>
      <c r="H515" s="2">
        <v>46203.708333333336</v>
      </c>
      <c r="I515" s="1">
        <v>46196</v>
      </c>
      <c r="J515" t="s">
        <v>1698</v>
      </c>
    </row>
    <row r="516" spans="1:10">
      <c r="A516" t="s">
        <v>925</v>
      </c>
      <c r="B516" t="s">
        <v>928</v>
      </c>
      <c r="C516" t="s">
        <v>927</v>
      </c>
      <c r="D516" t="s">
        <v>21</v>
      </c>
      <c r="E516" t="s">
        <v>22</v>
      </c>
      <c r="F516">
        <v>26</v>
      </c>
      <c r="G516" s="2">
        <v>46177.375</v>
      </c>
      <c r="H516" s="2">
        <v>46177.708333333336</v>
      </c>
      <c r="I516" s="1">
        <v>46184</v>
      </c>
      <c r="J516" t="s">
        <v>1698</v>
      </c>
    </row>
    <row r="517" spans="1:10">
      <c r="A517" t="s">
        <v>925</v>
      </c>
      <c r="B517" t="s">
        <v>932</v>
      </c>
      <c r="C517" t="s">
        <v>931</v>
      </c>
      <c r="D517" t="s">
        <v>21</v>
      </c>
      <c r="E517" t="s">
        <v>22</v>
      </c>
      <c r="F517">
        <v>26</v>
      </c>
      <c r="G517" s="2">
        <v>46322.385416666664</v>
      </c>
      <c r="H517" s="2">
        <v>46322.729166666664</v>
      </c>
      <c r="I517" s="1">
        <v>46196</v>
      </c>
      <c r="J517" t="s">
        <v>1698</v>
      </c>
    </row>
    <row r="518" spans="1:10">
      <c r="A518" t="s">
        <v>925</v>
      </c>
      <c r="B518" t="s">
        <v>934</v>
      </c>
      <c r="C518" t="s">
        <v>933</v>
      </c>
      <c r="D518" t="s">
        <v>21</v>
      </c>
      <c r="E518" t="s">
        <v>22</v>
      </c>
      <c r="F518">
        <v>13</v>
      </c>
      <c r="G518" s="2">
        <v>46294.395833333336</v>
      </c>
      <c r="H518" s="2">
        <v>46295.729166666664</v>
      </c>
      <c r="I518" s="1">
        <v>46174</v>
      </c>
      <c r="J518" t="s">
        <v>1698</v>
      </c>
    </row>
    <row r="519" spans="1:10">
      <c r="A519" t="s">
        <v>936</v>
      </c>
      <c r="B519" t="s">
        <v>937</v>
      </c>
      <c r="C519" t="s">
        <v>935</v>
      </c>
      <c r="D519" t="s">
        <v>21</v>
      </c>
      <c r="E519" t="s">
        <v>22</v>
      </c>
      <c r="F519">
        <v>17</v>
      </c>
      <c r="G519" s="2">
        <v>45992.395833333336</v>
      </c>
      <c r="H519" s="2">
        <v>45993.708333333336</v>
      </c>
      <c r="I519" s="1">
        <v>46183</v>
      </c>
      <c r="J519" t="s">
        <v>1698</v>
      </c>
    </row>
    <row r="520" spans="1:10">
      <c r="A520" t="s">
        <v>936</v>
      </c>
      <c r="B520" t="s">
        <v>73</v>
      </c>
      <c r="C520" t="s">
        <v>71</v>
      </c>
      <c r="D520" t="s">
        <v>21</v>
      </c>
      <c r="E520" t="s">
        <v>22</v>
      </c>
      <c r="F520">
        <v>28</v>
      </c>
      <c r="G520" s="2">
        <v>46023.333333333336</v>
      </c>
      <c r="H520" s="2">
        <v>46387.75</v>
      </c>
      <c r="I520" s="1">
        <v>46189</v>
      </c>
      <c r="J520" t="s">
        <v>1698</v>
      </c>
    </row>
    <row r="521" spans="1:10">
      <c r="A521" t="s">
        <v>936</v>
      </c>
      <c r="B521" t="s">
        <v>35</v>
      </c>
      <c r="C521" t="s">
        <v>34</v>
      </c>
      <c r="D521" t="s">
        <v>21</v>
      </c>
      <c r="E521" t="s">
        <v>22</v>
      </c>
      <c r="F521">
        <v>65</v>
      </c>
      <c r="G521" s="2">
        <v>46027.333333333336</v>
      </c>
      <c r="H521" s="2">
        <v>46387.75</v>
      </c>
      <c r="I521" s="1">
        <v>46196</v>
      </c>
      <c r="J521" t="s">
        <v>1698</v>
      </c>
    </row>
    <row r="522" spans="1:10">
      <c r="A522" t="s">
        <v>936</v>
      </c>
      <c r="B522" t="s">
        <v>939</v>
      </c>
      <c r="C522" t="s">
        <v>938</v>
      </c>
      <c r="D522" t="s">
        <v>21</v>
      </c>
      <c r="E522" t="s">
        <v>22</v>
      </c>
      <c r="F522">
        <v>25</v>
      </c>
      <c r="G522" s="2">
        <v>46344.583333333336</v>
      </c>
      <c r="H522" s="2">
        <v>46346.520833333336</v>
      </c>
      <c r="I522" s="1">
        <v>46188</v>
      </c>
      <c r="J522" t="s">
        <v>1698</v>
      </c>
    </row>
    <row r="523" spans="1:10">
      <c r="A523" t="s">
        <v>941</v>
      </c>
      <c r="B523" t="s">
        <v>942</v>
      </c>
      <c r="C523" t="s">
        <v>940</v>
      </c>
      <c r="D523" t="s">
        <v>21</v>
      </c>
      <c r="E523" t="s">
        <v>22</v>
      </c>
      <c r="F523">
        <v>9</v>
      </c>
      <c r="G523" s="2">
        <v>46107.395833333336</v>
      </c>
      <c r="H523" s="2">
        <v>46107.520833333336</v>
      </c>
      <c r="I523" s="1">
        <v>46184</v>
      </c>
      <c r="J523" t="s">
        <v>1698</v>
      </c>
    </row>
    <row r="524" spans="1:10">
      <c r="A524" t="s">
        <v>944</v>
      </c>
      <c r="B524" t="s">
        <v>15</v>
      </c>
      <c r="C524" t="s">
        <v>13</v>
      </c>
      <c r="D524" t="s">
        <v>16</v>
      </c>
      <c r="G524" t="s">
        <v>17</v>
      </c>
      <c r="I524" s="1">
        <v>46196</v>
      </c>
      <c r="J524" t="s">
        <v>1698</v>
      </c>
    </row>
    <row r="525" spans="1:10">
      <c r="A525" t="s">
        <v>944</v>
      </c>
      <c r="B525" t="s">
        <v>946</v>
      </c>
      <c r="D525" t="s">
        <v>76</v>
      </c>
    </row>
    <row r="526" spans="1:10">
      <c r="A526" t="s">
        <v>944</v>
      </c>
      <c r="B526" t="s">
        <v>2403</v>
      </c>
      <c r="C526" t="s">
        <v>947</v>
      </c>
      <c r="D526" t="s">
        <v>21</v>
      </c>
      <c r="E526" t="s">
        <v>22</v>
      </c>
      <c r="F526">
        <v>20</v>
      </c>
      <c r="G526" s="2">
        <v>46178.416666666664</v>
      </c>
      <c r="H526" s="2">
        <v>46178.5</v>
      </c>
      <c r="I526" s="1">
        <v>46181</v>
      </c>
      <c r="J526" t="s">
        <v>1698</v>
      </c>
    </row>
    <row r="527" spans="1:10">
      <c r="A527" t="s">
        <v>950</v>
      </c>
      <c r="B527" t="s">
        <v>951</v>
      </c>
      <c r="C527" t="s">
        <v>949</v>
      </c>
      <c r="D527" t="s">
        <v>16</v>
      </c>
      <c r="G527" t="s">
        <v>17</v>
      </c>
      <c r="I527" s="1">
        <v>46192</v>
      </c>
      <c r="J527" t="s">
        <v>1698</v>
      </c>
    </row>
    <row r="528" spans="1:10">
      <c r="A528" t="s">
        <v>950</v>
      </c>
      <c r="B528" t="s">
        <v>15</v>
      </c>
      <c r="C528" t="s">
        <v>13</v>
      </c>
      <c r="D528" t="s">
        <v>16</v>
      </c>
      <c r="G528" t="s">
        <v>17</v>
      </c>
      <c r="I528" s="1">
        <v>46196</v>
      </c>
      <c r="J528" t="s">
        <v>1698</v>
      </c>
    </row>
    <row r="529" spans="1:10">
      <c r="A529" t="s">
        <v>950</v>
      </c>
      <c r="B529" t="s">
        <v>955</v>
      </c>
      <c r="C529" t="s">
        <v>954</v>
      </c>
      <c r="D529" t="s">
        <v>21</v>
      </c>
      <c r="E529" t="s">
        <v>22</v>
      </c>
      <c r="F529">
        <v>47</v>
      </c>
      <c r="G529" s="2">
        <v>46136.479166666664</v>
      </c>
      <c r="H529" s="2">
        <v>46136.541666666664</v>
      </c>
      <c r="I529" s="1">
        <v>46196</v>
      </c>
      <c r="J529" t="s">
        <v>1698</v>
      </c>
    </row>
    <row r="530" spans="1:10">
      <c r="A530" t="s">
        <v>950</v>
      </c>
      <c r="B530" t="s">
        <v>957</v>
      </c>
      <c r="C530" t="s">
        <v>956</v>
      </c>
      <c r="D530" t="s">
        <v>21</v>
      </c>
      <c r="E530" t="s">
        <v>22</v>
      </c>
      <c r="F530">
        <v>9</v>
      </c>
      <c r="G530" s="2">
        <v>46218.666666666664</v>
      </c>
      <c r="H530" s="2">
        <v>46218.729166666664</v>
      </c>
      <c r="I530" s="1">
        <v>46189</v>
      </c>
      <c r="J530" t="s">
        <v>1698</v>
      </c>
    </row>
    <row r="531" spans="1:10">
      <c r="A531" t="s">
        <v>950</v>
      </c>
      <c r="B531" t="s">
        <v>2436</v>
      </c>
      <c r="C531" t="s">
        <v>2437</v>
      </c>
      <c r="D531" t="s">
        <v>21</v>
      </c>
      <c r="E531" t="s">
        <v>22</v>
      </c>
      <c r="F531">
        <v>2</v>
      </c>
      <c r="G531" s="2">
        <v>46314.5625</v>
      </c>
      <c r="H531" s="2">
        <v>46315.5625</v>
      </c>
      <c r="I531" s="1">
        <v>46191</v>
      </c>
      <c r="J531" t="s">
        <v>1698</v>
      </c>
    </row>
    <row r="532" spans="1:10">
      <c r="A532" t="s">
        <v>950</v>
      </c>
      <c r="B532" t="s">
        <v>959</v>
      </c>
      <c r="C532" t="s">
        <v>958</v>
      </c>
      <c r="D532" t="s">
        <v>21</v>
      </c>
      <c r="E532" t="s">
        <v>22</v>
      </c>
      <c r="F532">
        <v>52</v>
      </c>
      <c r="G532" s="2">
        <v>46181.354166666664</v>
      </c>
      <c r="H532" s="2">
        <v>46183.729166666664</v>
      </c>
      <c r="I532" s="1">
        <v>46196</v>
      </c>
      <c r="J532" t="s">
        <v>1698</v>
      </c>
    </row>
    <row r="533" spans="1:10">
      <c r="A533" t="s">
        <v>950</v>
      </c>
      <c r="B533" t="s">
        <v>961</v>
      </c>
      <c r="C533" t="s">
        <v>960</v>
      </c>
      <c r="D533" t="s">
        <v>21</v>
      </c>
      <c r="E533" t="s">
        <v>22</v>
      </c>
      <c r="F533">
        <v>13</v>
      </c>
      <c r="G533" s="2">
        <v>46315.708333333336</v>
      </c>
      <c r="H533" s="2">
        <v>46315.770833333336</v>
      </c>
      <c r="I533" s="1">
        <v>46190</v>
      </c>
      <c r="J533" t="s">
        <v>1698</v>
      </c>
    </row>
    <row r="534" spans="1:10">
      <c r="A534" t="s">
        <v>950</v>
      </c>
      <c r="B534" t="s">
        <v>963</v>
      </c>
      <c r="C534" t="s">
        <v>962</v>
      </c>
      <c r="D534" t="s">
        <v>38</v>
      </c>
      <c r="I534" s="1">
        <v>46195</v>
      </c>
    </row>
    <row r="535" spans="1:10">
      <c r="A535" t="s">
        <v>950</v>
      </c>
      <c r="B535" t="s">
        <v>965</v>
      </c>
      <c r="C535" t="s">
        <v>964</v>
      </c>
      <c r="D535" t="s">
        <v>21</v>
      </c>
      <c r="E535" t="s">
        <v>22</v>
      </c>
      <c r="F535">
        <v>28</v>
      </c>
      <c r="G535" s="2">
        <v>46356.59375</v>
      </c>
      <c r="H535" s="2">
        <v>46356.739583333336</v>
      </c>
      <c r="I535" s="1">
        <v>46197</v>
      </c>
      <c r="J535" t="s">
        <v>1698</v>
      </c>
    </row>
    <row r="536" spans="1:10">
      <c r="A536" t="s">
        <v>950</v>
      </c>
      <c r="B536" t="s">
        <v>558</v>
      </c>
      <c r="C536" t="s">
        <v>557</v>
      </c>
      <c r="D536" t="s">
        <v>21</v>
      </c>
      <c r="E536" t="s">
        <v>22</v>
      </c>
      <c r="F536">
        <v>88</v>
      </c>
      <c r="G536" s="2">
        <v>46196.583333333336</v>
      </c>
      <c r="H536" s="2">
        <v>46196.729861111111</v>
      </c>
      <c r="I536" s="1">
        <v>46196</v>
      </c>
      <c r="J536" t="s">
        <v>1698</v>
      </c>
    </row>
    <row r="537" spans="1:10">
      <c r="A537" t="s">
        <v>950</v>
      </c>
      <c r="B537" t="s">
        <v>967</v>
      </c>
      <c r="C537" t="s">
        <v>966</v>
      </c>
      <c r="D537" t="s">
        <v>21</v>
      </c>
      <c r="E537" t="s">
        <v>22</v>
      </c>
      <c r="F537">
        <v>18</v>
      </c>
      <c r="G537" s="2">
        <v>46190.583333333336</v>
      </c>
      <c r="H537" s="2">
        <v>46190.645833333336</v>
      </c>
      <c r="I537" s="1">
        <v>46163</v>
      </c>
      <c r="J537" t="s">
        <v>1698</v>
      </c>
    </row>
    <row r="538" spans="1:10">
      <c r="A538" t="s">
        <v>969</v>
      </c>
      <c r="B538" t="s">
        <v>970</v>
      </c>
      <c r="C538" t="s">
        <v>968</v>
      </c>
      <c r="D538" t="s">
        <v>38</v>
      </c>
      <c r="I538" s="1">
        <v>46157</v>
      </c>
    </row>
    <row r="539" spans="1:10">
      <c r="A539" t="s">
        <v>969</v>
      </c>
      <c r="B539" t="s">
        <v>972</v>
      </c>
      <c r="C539" t="s">
        <v>971</v>
      </c>
      <c r="D539" t="s">
        <v>38</v>
      </c>
      <c r="I539" s="1">
        <v>46148</v>
      </c>
    </row>
    <row r="540" spans="1:10">
      <c r="A540" t="s">
        <v>969</v>
      </c>
      <c r="B540" t="s">
        <v>974</v>
      </c>
      <c r="C540" t="s">
        <v>973</v>
      </c>
      <c r="D540" t="s">
        <v>38</v>
      </c>
      <c r="I540" s="1">
        <v>45961</v>
      </c>
    </row>
    <row r="541" spans="1:10">
      <c r="A541" t="s">
        <v>976</v>
      </c>
      <c r="B541" t="s">
        <v>977</v>
      </c>
      <c r="C541" t="s">
        <v>975</v>
      </c>
      <c r="D541" t="s">
        <v>38</v>
      </c>
      <c r="I541" s="1">
        <v>46183</v>
      </c>
    </row>
    <row r="542" spans="1:10">
      <c r="A542" t="s">
        <v>976</v>
      </c>
      <c r="B542" t="s">
        <v>979</v>
      </c>
      <c r="C542" t="s">
        <v>978</v>
      </c>
      <c r="D542" t="s">
        <v>38</v>
      </c>
      <c r="I542" s="1">
        <v>46133</v>
      </c>
    </row>
    <row r="543" spans="1:10">
      <c r="A543" t="s">
        <v>981</v>
      </c>
      <c r="B543" t="s">
        <v>982</v>
      </c>
      <c r="C543" t="s">
        <v>980</v>
      </c>
      <c r="D543" t="s">
        <v>38</v>
      </c>
      <c r="I543" s="1">
        <v>46122</v>
      </c>
    </row>
    <row r="544" spans="1:10">
      <c r="A544" t="s">
        <v>981</v>
      </c>
      <c r="B544" t="s">
        <v>984</v>
      </c>
      <c r="C544" t="s">
        <v>983</v>
      </c>
      <c r="D544" t="s">
        <v>38</v>
      </c>
      <c r="I544" s="1">
        <v>46149</v>
      </c>
    </row>
    <row r="545" spans="1:10">
      <c r="A545" t="s">
        <v>986</v>
      </c>
      <c r="B545" t="s">
        <v>2438</v>
      </c>
      <c r="C545" t="s">
        <v>985</v>
      </c>
      <c r="D545" t="s">
        <v>38</v>
      </c>
      <c r="I545" s="1">
        <v>46195</v>
      </c>
    </row>
    <row r="546" spans="1:10">
      <c r="A546" t="s">
        <v>986</v>
      </c>
      <c r="B546" t="s">
        <v>989</v>
      </c>
      <c r="C546" t="s">
        <v>988</v>
      </c>
      <c r="D546" t="s">
        <v>38</v>
      </c>
      <c r="I546" s="1">
        <v>46192</v>
      </c>
    </row>
    <row r="547" spans="1:10">
      <c r="A547" t="s">
        <v>1212</v>
      </c>
      <c r="B547" t="s">
        <v>1213</v>
      </c>
      <c r="C547" t="s">
        <v>1214</v>
      </c>
      <c r="D547" t="s">
        <v>38</v>
      </c>
      <c r="I547" s="1">
        <v>46177</v>
      </c>
    </row>
    <row r="548" spans="1:10">
      <c r="A548" t="s">
        <v>1212</v>
      </c>
      <c r="B548" t="s">
        <v>1215</v>
      </c>
      <c r="C548" t="s">
        <v>1216</v>
      </c>
      <c r="D548" t="s">
        <v>38</v>
      </c>
      <c r="I548" s="1">
        <v>46195</v>
      </c>
    </row>
    <row r="549" spans="1:10">
      <c r="A549" t="s">
        <v>1212</v>
      </c>
      <c r="B549" t="s">
        <v>1217</v>
      </c>
      <c r="C549" t="s">
        <v>1218</v>
      </c>
      <c r="D549" t="s">
        <v>38</v>
      </c>
    </row>
    <row r="550" spans="1:10">
      <c r="A550" t="s">
        <v>990</v>
      </c>
      <c r="B550" t="s">
        <v>470</v>
      </c>
      <c r="C550" t="s">
        <v>469</v>
      </c>
      <c r="D550" t="s">
        <v>16</v>
      </c>
      <c r="G550" t="s">
        <v>17</v>
      </c>
      <c r="I550" s="1">
        <v>46184</v>
      </c>
      <c r="J550" t="s">
        <v>1698</v>
      </c>
    </row>
    <row r="551" spans="1:10">
      <c r="A551" t="s">
        <v>990</v>
      </c>
      <c r="B551" t="s">
        <v>2439</v>
      </c>
      <c r="C551" t="s">
        <v>2440</v>
      </c>
      <c r="D551" t="s">
        <v>21</v>
      </c>
      <c r="E551" t="s">
        <v>22</v>
      </c>
      <c r="F551">
        <v>0</v>
      </c>
      <c r="G551" s="2">
        <v>46150.833333333336</v>
      </c>
      <c r="H551" s="2">
        <v>46150.875</v>
      </c>
      <c r="I551" t="s">
        <v>198</v>
      </c>
      <c r="J551" t="s">
        <v>1698</v>
      </c>
    </row>
    <row r="552" spans="1:10">
      <c r="A552" t="s">
        <v>990</v>
      </c>
      <c r="B552" t="s">
        <v>2441</v>
      </c>
      <c r="C552" t="s">
        <v>2442</v>
      </c>
      <c r="D552" t="s">
        <v>21</v>
      </c>
      <c r="E552" t="s">
        <v>22</v>
      </c>
      <c r="F552">
        <v>0</v>
      </c>
      <c r="G552" s="2">
        <v>47777.333333333336</v>
      </c>
      <c r="H552" s="2">
        <v>47777.375</v>
      </c>
      <c r="I552" s="1">
        <v>46176</v>
      </c>
      <c r="J552" t="s">
        <v>1698</v>
      </c>
    </row>
    <row r="553" spans="1:10">
      <c r="A553" t="s">
        <v>990</v>
      </c>
      <c r="B553" t="s">
        <v>2443</v>
      </c>
      <c r="C553" t="s">
        <v>2444</v>
      </c>
      <c r="D553" t="s">
        <v>21</v>
      </c>
      <c r="E553" t="s">
        <v>22</v>
      </c>
      <c r="F553">
        <v>0</v>
      </c>
      <c r="G553" s="2">
        <v>47587.333333333336</v>
      </c>
      <c r="H553" s="2">
        <v>47587.375</v>
      </c>
      <c r="I553" s="1">
        <v>46132</v>
      </c>
      <c r="J553" t="s">
        <v>1698</v>
      </c>
    </row>
    <row r="554" spans="1:10">
      <c r="A554" t="s">
        <v>990</v>
      </c>
      <c r="B554" t="s">
        <v>2445</v>
      </c>
      <c r="C554" t="s">
        <v>2446</v>
      </c>
      <c r="D554" t="s">
        <v>21</v>
      </c>
      <c r="E554" t="s">
        <v>25</v>
      </c>
      <c r="I554" t="s">
        <v>198</v>
      </c>
      <c r="J554" t="s">
        <v>1698</v>
      </c>
    </row>
    <row r="555" spans="1:10">
      <c r="A555" t="s">
        <v>990</v>
      </c>
      <c r="B555" t="s">
        <v>2447</v>
      </c>
      <c r="C555" t="s">
        <v>2448</v>
      </c>
      <c r="D555" t="s">
        <v>16</v>
      </c>
      <c r="G555" t="s">
        <v>17</v>
      </c>
      <c r="I555" s="1">
        <v>46189</v>
      </c>
      <c r="J555" t="s">
        <v>1698</v>
      </c>
    </row>
    <row r="556" spans="1:10">
      <c r="A556" t="s">
        <v>1023</v>
      </c>
      <c r="B556" t="s">
        <v>2404</v>
      </c>
      <c r="C556" t="s">
        <v>2405</v>
      </c>
      <c r="D556" t="s">
        <v>21</v>
      </c>
      <c r="E556" t="s">
        <v>22</v>
      </c>
      <c r="F556">
        <v>4</v>
      </c>
      <c r="G556" s="2">
        <v>46150.385416666664</v>
      </c>
      <c r="H556" s="2">
        <v>46150.541666666664</v>
      </c>
      <c r="I556" s="1">
        <v>46181</v>
      </c>
      <c r="J556" t="s">
        <v>1698</v>
      </c>
    </row>
    <row r="557" spans="1:10">
      <c r="A557" t="s">
        <v>1023</v>
      </c>
      <c r="B557" t="s">
        <v>1026</v>
      </c>
      <c r="C557" t="s">
        <v>1027</v>
      </c>
      <c r="D557" t="s">
        <v>21</v>
      </c>
      <c r="E557" t="s">
        <v>22</v>
      </c>
      <c r="F557">
        <v>35</v>
      </c>
      <c r="G557" s="2">
        <v>46198.395833333336</v>
      </c>
      <c r="H557" s="2">
        <v>46198.520833333336</v>
      </c>
      <c r="I557" s="1">
        <v>46196</v>
      </c>
      <c r="J557" t="s">
        <v>1698</v>
      </c>
    </row>
    <row r="558" spans="1:10">
      <c r="A558" t="s">
        <v>1023</v>
      </c>
      <c r="B558" t="s">
        <v>1029</v>
      </c>
      <c r="C558" t="s">
        <v>1028</v>
      </c>
      <c r="D558" t="s">
        <v>21</v>
      </c>
      <c r="E558" t="s">
        <v>22</v>
      </c>
      <c r="F558">
        <v>21</v>
      </c>
      <c r="G558" s="2">
        <v>46345.375</v>
      </c>
      <c r="H558" s="2">
        <v>46345.708333333336</v>
      </c>
      <c r="I558" s="1">
        <v>46195</v>
      </c>
      <c r="J558" t="s">
        <v>1698</v>
      </c>
    </row>
    <row r="559" spans="1:10">
      <c r="A559" t="s">
        <v>1023</v>
      </c>
      <c r="B559" t="s">
        <v>1031</v>
      </c>
      <c r="C559" t="s">
        <v>1030</v>
      </c>
      <c r="D559" t="s">
        <v>21</v>
      </c>
      <c r="E559" t="s">
        <v>25</v>
      </c>
      <c r="G559" s="2">
        <v>45770.333333333336</v>
      </c>
      <c r="H559" s="2">
        <v>47330.333333333336</v>
      </c>
      <c r="I559" t="s">
        <v>198</v>
      </c>
      <c r="J559" t="s">
        <v>1698</v>
      </c>
    </row>
    <row r="560" spans="1:10">
      <c r="A560" t="s">
        <v>1023</v>
      </c>
      <c r="B560" t="s">
        <v>1033</v>
      </c>
      <c r="C560" t="s">
        <v>1032</v>
      </c>
      <c r="D560" t="s">
        <v>21</v>
      </c>
      <c r="E560" t="s">
        <v>22</v>
      </c>
      <c r="F560">
        <v>40</v>
      </c>
      <c r="G560" s="2">
        <v>46359.395833333336</v>
      </c>
      <c r="H560" s="2">
        <v>46359.708333333336</v>
      </c>
      <c r="I560" s="1">
        <v>46191</v>
      </c>
      <c r="J560" t="s">
        <v>1698</v>
      </c>
    </row>
    <row r="561" spans="1:10">
      <c r="A561" t="s">
        <v>1023</v>
      </c>
      <c r="B561" t="s">
        <v>1035</v>
      </c>
      <c r="C561" t="s">
        <v>1034</v>
      </c>
      <c r="D561" t="s">
        <v>21</v>
      </c>
      <c r="E561" t="s">
        <v>25</v>
      </c>
      <c r="G561" s="2">
        <v>45727.333333333336</v>
      </c>
      <c r="H561" s="2">
        <v>47330.333333333336</v>
      </c>
      <c r="I561" t="s">
        <v>198</v>
      </c>
      <c r="J561" t="s">
        <v>1698</v>
      </c>
    </row>
    <row r="562" spans="1:10">
      <c r="A562" t="s">
        <v>1023</v>
      </c>
      <c r="B562" t="s">
        <v>1037</v>
      </c>
      <c r="C562" t="s">
        <v>1036</v>
      </c>
      <c r="D562" t="s">
        <v>21</v>
      </c>
      <c r="E562" t="s">
        <v>22</v>
      </c>
      <c r="F562">
        <v>33</v>
      </c>
      <c r="G562" s="2">
        <v>45757.520833333336</v>
      </c>
      <c r="H562" s="2">
        <v>45757.583333333336</v>
      </c>
      <c r="I562" s="1">
        <v>46188</v>
      </c>
      <c r="J562" t="s">
        <v>1698</v>
      </c>
    </row>
    <row r="563" spans="1:10">
      <c r="A563" t="s">
        <v>1023</v>
      </c>
      <c r="B563" t="s">
        <v>1039</v>
      </c>
      <c r="C563" t="s">
        <v>1038</v>
      </c>
      <c r="D563" t="s">
        <v>21</v>
      </c>
      <c r="E563" t="s">
        <v>22</v>
      </c>
      <c r="F563">
        <v>27</v>
      </c>
      <c r="G563" s="2">
        <v>46336.375</v>
      </c>
      <c r="H563" s="2">
        <v>46352.708333333336</v>
      </c>
      <c r="I563" s="1">
        <v>46195</v>
      </c>
      <c r="J563" t="s">
        <v>1698</v>
      </c>
    </row>
    <row r="564" spans="1:10">
      <c r="A564" t="s">
        <v>1023</v>
      </c>
      <c r="B564" t="s">
        <v>2406</v>
      </c>
      <c r="C564" t="s">
        <v>2407</v>
      </c>
      <c r="D564" t="s">
        <v>21</v>
      </c>
      <c r="E564" t="s">
        <v>25</v>
      </c>
      <c r="G564" s="2">
        <v>46280.6875</v>
      </c>
      <c r="H564" s="2">
        <v>46280.770833333336</v>
      </c>
      <c r="I564" s="1">
        <v>46189</v>
      </c>
      <c r="J564" t="s">
        <v>1698</v>
      </c>
    </row>
    <row r="565" spans="1:10">
      <c r="A565" t="s">
        <v>1023</v>
      </c>
      <c r="B565" t="s">
        <v>472</v>
      </c>
      <c r="C565" t="s">
        <v>1042</v>
      </c>
      <c r="D565" t="s">
        <v>21</v>
      </c>
      <c r="E565" t="s">
        <v>22</v>
      </c>
      <c r="F565">
        <v>18</v>
      </c>
      <c r="G565" s="2">
        <v>46035.375</v>
      </c>
      <c r="H565" s="2">
        <v>46091.4375</v>
      </c>
      <c r="I565" s="1">
        <v>46191</v>
      </c>
      <c r="J565" t="s">
        <v>1698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721F-7FD9-40CC-BDEB-44BD5D31CE3B}">
  <dimension ref="A1:N655"/>
  <sheetViews>
    <sheetView topLeftCell="A12" workbookViewId="0">
      <selection activeCell="N13" sqref="N13:N655"/>
    </sheetView>
  </sheetViews>
  <sheetFormatPr defaultRowHeight="14.65"/>
  <cols>
    <col min="1" max="1" width="40.42578125" customWidth="1"/>
    <col min="2" max="2" width="37.42578125" customWidth="1"/>
    <col min="3" max="3" width="14.85546875" customWidth="1"/>
    <col min="4" max="4" width="9.85546875" hidden="1" customWidth="1"/>
    <col min="5" max="5" width="7.42578125" hidden="1" customWidth="1"/>
    <col min="6" max="6" width="8.28515625" hidden="1" customWidth="1"/>
    <col min="7" max="7" width="22.28515625" customWidth="1"/>
    <col min="8" max="8" width="18.140625" hidden="1" customWidth="1"/>
    <col min="9" max="9" width="13.42578125" hidden="1" customWidth="1"/>
    <col min="10" max="10" width="12.85546875" hidden="1" customWidth="1"/>
    <col min="11" max="11" width="14.140625" hidden="1" customWidth="1"/>
    <col min="12" max="12" width="16.7109375" customWidth="1"/>
    <col min="13" max="13" width="28.28515625" bestFit="1" customWidth="1"/>
    <col min="14" max="14" width="10" bestFit="1" customWidth="1"/>
  </cols>
  <sheetData>
    <row r="1" spans="1:14">
      <c r="A1" t="s">
        <v>1687</v>
      </c>
    </row>
    <row r="2" spans="1:14">
      <c r="A2" t="s">
        <v>1688</v>
      </c>
    </row>
    <row r="3" spans="1:14">
      <c r="A3" t="s">
        <v>2449</v>
      </c>
    </row>
    <row r="6" spans="1:14">
      <c r="A6" t="s">
        <v>1690</v>
      </c>
    </row>
    <row r="8" spans="1:14">
      <c r="A8" t="s">
        <v>1691</v>
      </c>
    </row>
    <row r="9" spans="1:14">
      <c r="A9" t="s">
        <v>1692</v>
      </c>
      <c r="B9" t="s">
        <v>2450</v>
      </c>
    </row>
    <row r="12" spans="1:14">
      <c r="A12" t="s">
        <v>3</v>
      </c>
      <c r="B12" t="s">
        <v>4</v>
      </c>
      <c r="C12" t="s">
        <v>0</v>
      </c>
      <c r="D12" t="s">
        <v>5</v>
      </c>
      <c r="E12" t="s">
        <v>6</v>
      </c>
      <c r="F12" t="s">
        <v>7</v>
      </c>
      <c r="G12" t="s">
        <v>8</v>
      </c>
      <c r="H12" t="s">
        <v>9</v>
      </c>
      <c r="I12" t="s">
        <v>10</v>
      </c>
      <c r="J12" t="s">
        <v>1694</v>
      </c>
      <c r="K12" t="s">
        <v>2451</v>
      </c>
      <c r="L12" t="s">
        <v>2452</v>
      </c>
      <c r="M12" t="s">
        <v>2453</v>
      </c>
      <c r="N12" t="s">
        <v>2454</v>
      </c>
    </row>
    <row r="13" spans="1:14">
      <c r="A13" t="s">
        <v>693</v>
      </c>
      <c r="B13" t="s">
        <v>698</v>
      </c>
      <c r="C13" t="s">
        <v>697</v>
      </c>
      <c r="D13" t="s">
        <v>16</v>
      </c>
      <c r="G13" t="s">
        <v>17</v>
      </c>
      <c r="I13" s="1">
        <v>46216</v>
      </c>
      <c r="J13" t="s">
        <v>1698</v>
      </c>
      <c r="K13" t="s">
        <v>2455</v>
      </c>
    </row>
    <row r="14" spans="1:14">
      <c r="A14" t="s">
        <v>2414</v>
      </c>
      <c r="B14" t="s">
        <v>378</v>
      </c>
      <c r="C14" t="s">
        <v>377</v>
      </c>
      <c r="D14" t="s">
        <v>21</v>
      </c>
      <c r="E14" t="s">
        <v>22</v>
      </c>
      <c r="F14">
        <v>20</v>
      </c>
      <c r="G14" s="2">
        <v>46203.5</v>
      </c>
      <c r="H14" s="2">
        <v>46203.5625</v>
      </c>
      <c r="I14" s="1">
        <v>46217</v>
      </c>
      <c r="J14" t="s">
        <v>1698</v>
      </c>
      <c r="K14" t="s">
        <v>2456</v>
      </c>
      <c r="L14" t="s">
        <v>2457</v>
      </c>
    </row>
    <row r="15" spans="1:14">
      <c r="A15" t="s">
        <v>1163</v>
      </c>
      <c r="B15" t="s">
        <v>1820</v>
      </c>
      <c r="C15" t="s">
        <v>1821</v>
      </c>
      <c r="D15" t="s">
        <v>21</v>
      </c>
      <c r="E15" t="s">
        <v>22</v>
      </c>
      <c r="F15">
        <v>27</v>
      </c>
      <c r="G15" s="2">
        <v>46310.395833333336</v>
      </c>
      <c r="H15" s="2">
        <v>46310.708333333336</v>
      </c>
      <c r="I15" s="1">
        <v>46215</v>
      </c>
      <c r="J15" t="s">
        <v>1746</v>
      </c>
      <c r="K15" t="s">
        <v>1821</v>
      </c>
      <c r="L15" t="s">
        <v>2458</v>
      </c>
    </row>
    <row r="16" spans="1:14">
      <c r="A16" t="s">
        <v>476</v>
      </c>
      <c r="B16" t="s">
        <v>493</v>
      </c>
      <c r="C16" t="s">
        <v>492</v>
      </c>
      <c r="D16" t="s">
        <v>21</v>
      </c>
      <c r="E16" t="s">
        <v>22</v>
      </c>
      <c r="F16">
        <v>172</v>
      </c>
      <c r="G16" s="2">
        <v>46209.375</v>
      </c>
      <c r="H16" s="2">
        <v>46209.708333333336</v>
      </c>
      <c r="I16" s="1">
        <v>46210</v>
      </c>
      <c r="J16" t="s">
        <v>1746</v>
      </c>
      <c r="K16" t="s">
        <v>2459</v>
      </c>
      <c r="L16" t="s">
        <v>2460</v>
      </c>
    </row>
    <row r="17" spans="1:13">
      <c r="A17" t="s">
        <v>693</v>
      </c>
      <c r="B17" t="s">
        <v>758</v>
      </c>
      <c r="C17" t="s">
        <v>757</v>
      </c>
      <c r="D17" t="s">
        <v>21</v>
      </c>
      <c r="E17" t="s">
        <v>22</v>
      </c>
      <c r="F17">
        <v>232</v>
      </c>
      <c r="G17" s="2">
        <v>46273.385416666664</v>
      </c>
      <c r="H17" s="2">
        <v>46273.708333333336</v>
      </c>
      <c r="I17" s="1">
        <v>46212</v>
      </c>
      <c r="J17" t="s">
        <v>1729</v>
      </c>
      <c r="K17" t="s">
        <v>2461</v>
      </c>
      <c r="L17" t="s">
        <v>2462</v>
      </c>
    </row>
    <row r="18" spans="1:13">
      <c r="A18" t="s">
        <v>1163</v>
      </c>
      <c r="B18" t="s">
        <v>1782</v>
      </c>
      <c r="C18" t="s">
        <v>1783</v>
      </c>
      <c r="D18" t="s">
        <v>16</v>
      </c>
      <c r="G18" t="s">
        <v>17</v>
      </c>
      <c r="I18" s="1">
        <v>46216</v>
      </c>
      <c r="J18" t="s">
        <v>1698</v>
      </c>
      <c r="K18" t="s">
        <v>2463</v>
      </c>
    </row>
    <row r="19" spans="1:13">
      <c r="A19" t="s">
        <v>1163</v>
      </c>
      <c r="B19" t="s">
        <v>1784</v>
      </c>
      <c r="C19" t="s">
        <v>1785</v>
      </c>
      <c r="D19" t="s">
        <v>16</v>
      </c>
      <c r="G19" t="s">
        <v>17</v>
      </c>
      <c r="I19" s="1">
        <v>46217</v>
      </c>
      <c r="J19" t="s">
        <v>1698</v>
      </c>
      <c r="K19" t="s">
        <v>2464</v>
      </c>
    </row>
    <row r="20" spans="1:13">
      <c r="A20" t="s">
        <v>2417</v>
      </c>
      <c r="B20" t="s">
        <v>440</v>
      </c>
      <c r="C20" t="s">
        <v>438</v>
      </c>
      <c r="D20" t="s">
        <v>21</v>
      </c>
      <c r="E20" t="s">
        <v>22</v>
      </c>
      <c r="F20">
        <v>167</v>
      </c>
      <c r="G20" s="2">
        <v>46212.375</v>
      </c>
      <c r="H20" s="2">
        <v>46212.708333333336</v>
      </c>
      <c r="I20" s="1">
        <v>46217</v>
      </c>
      <c r="J20" t="s">
        <v>1746</v>
      </c>
      <c r="K20" t="s">
        <v>2465</v>
      </c>
      <c r="L20" t="s">
        <v>2460</v>
      </c>
    </row>
    <row r="21" spans="1:13">
      <c r="A21" t="s">
        <v>533</v>
      </c>
      <c r="B21" t="s">
        <v>534</v>
      </c>
      <c r="C21" t="s">
        <v>532</v>
      </c>
      <c r="D21" t="s">
        <v>21</v>
      </c>
      <c r="E21" t="s">
        <v>22</v>
      </c>
      <c r="F21">
        <v>93</v>
      </c>
      <c r="G21" s="2">
        <v>46370.583333333336</v>
      </c>
      <c r="H21" s="2">
        <v>46370.625</v>
      </c>
      <c r="I21" s="1">
        <v>46217</v>
      </c>
      <c r="J21" t="s">
        <v>1698</v>
      </c>
      <c r="K21" t="s">
        <v>2466</v>
      </c>
      <c r="L21" t="s">
        <v>2467</v>
      </c>
    </row>
    <row r="22" spans="1:13">
      <c r="A22" t="s">
        <v>476</v>
      </c>
      <c r="B22" t="s">
        <v>479</v>
      </c>
      <c r="C22" t="s">
        <v>478</v>
      </c>
      <c r="D22" t="s">
        <v>16</v>
      </c>
      <c r="G22" t="s">
        <v>17</v>
      </c>
      <c r="I22" s="1">
        <v>46185</v>
      </c>
      <c r="J22" t="s">
        <v>1698</v>
      </c>
      <c r="K22" t="s">
        <v>2468</v>
      </c>
    </row>
    <row r="23" spans="1:13">
      <c r="A23" t="s">
        <v>2414</v>
      </c>
      <c r="B23" t="s">
        <v>384</v>
      </c>
      <c r="C23" t="s">
        <v>383</v>
      </c>
      <c r="D23" t="s">
        <v>16</v>
      </c>
      <c r="G23" t="s">
        <v>17</v>
      </c>
      <c r="I23" s="1">
        <v>46204</v>
      </c>
      <c r="J23" t="s">
        <v>1698</v>
      </c>
      <c r="K23" t="s">
        <v>2469</v>
      </c>
    </row>
    <row r="24" spans="1:13">
      <c r="A24" t="s">
        <v>2415</v>
      </c>
      <c r="B24" t="s">
        <v>1102</v>
      </c>
      <c r="C24" t="s">
        <v>1103</v>
      </c>
      <c r="D24" t="s">
        <v>21</v>
      </c>
      <c r="E24" t="s">
        <v>22</v>
      </c>
      <c r="F24">
        <v>91</v>
      </c>
      <c r="G24" s="2">
        <v>46317.583333333336</v>
      </c>
      <c r="H24" s="2">
        <v>46317.6875</v>
      </c>
      <c r="I24" s="1">
        <v>46217</v>
      </c>
      <c r="J24" t="s">
        <v>1698</v>
      </c>
      <c r="K24" t="s">
        <v>2470</v>
      </c>
      <c r="L24" t="s">
        <v>2471</v>
      </c>
    </row>
    <row r="25" spans="1:13">
      <c r="A25" t="s">
        <v>476</v>
      </c>
      <c r="B25" t="s">
        <v>491</v>
      </c>
      <c r="C25" t="s">
        <v>490</v>
      </c>
      <c r="D25" t="s">
        <v>16</v>
      </c>
      <c r="G25" t="s">
        <v>17</v>
      </c>
      <c r="I25" s="1">
        <v>46207</v>
      </c>
      <c r="J25" t="s">
        <v>1698</v>
      </c>
      <c r="K25" t="s">
        <v>2472</v>
      </c>
    </row>
    <row r="26" spans="1:13">
      <c r="A26" t="s">
        <v>2417</v>
      </c>
      <c r="B26" t="s">
        <v>442</v>
      </c>
      <c r="C26" t="s">
        <v>441</v>
      </c>
      <c r="D26" t="s">
        <v>21</v>
      </c>
      <c r="E26" t="s">
        <v>22</v>
      </c>
      <c r="F26">
        <v>23</v>
      </c>
      <c r="G26" s="2">
        <v>46293.375</v>
      </c>
      <c r="H26" s="2">
        <v>46293.520833333336</v>
      </c>
      <c r="I26" s="1">
        <v>46216</v>
      </c>
      <c r="J26" t="s">
        <v>1698</v>
      </c>
      <c r="K26" t="s">
        <v>441</v>
      </c>
      <c r="L26" t="s">
        <v>2473</v>
      </c>
    </row>
    <row r="27" spans="1:13">
      <c r="A27" t="s">
        <v>2417</v>
      </c>
      <c r="B27" t="s">
        <v>446</v>
      </c>
      <c r="C27" t="s">
        <v>445</v>
      </c>
      <c r="D27" t="s">
        <v>21</v>
      </c>
      <c r="E27" t="s">
        <v>22</v>
      </c>
      <c r="F27">
        <v>25</v>
      </c>
      <c r="G27" s="2">
        <v>46358.5625</v>
      </c>
      <c r="H27" s="2">
        <v>46358.708333333336</v>
      </c>
      <c r="I27" s="1">
        <v>46189</v>
      </c>
      <c r="J27" t="s">
        <v>1698</v>
      </c>
      <c r="K27" t="s">
        <v>445</v>
      </c>
      <c r="L27" t="s">
        <v>2473</v>
      </c>
    </row>
    <row r="28" spans="1:13">
      <c r="A28" t="s">
        <v>2417</v>
      </c>
      <c r="B28" t="s">
        <v>444</v>
      </c>
      <c r="C28" t="s">
        <v>443</v>
      </c>
      <c r="D28" t="s">
        <v>21</v>
      </c>
      <c r="E28" t="s">
        <v>22</v>
      </c>
      <c r="F28">
        <v>14</v>
      </c>
      <c r="G28" s="2">
        <v>46218.375</v>
      </c>
      <c r="H28" s="2">
        <v>46218.520833333336</v>
      </c>
      <c r="I28" s="1">
        <v>46206</v>
      </c>
      <c r="J28" t="s">
        <v>1698</v>
      </c>
      <c r="K28" t="s">
        <v>443</v>
      </c>
      <c r="L28" t="s">
        <v>2474</v>
      </c>
    </row>
    <row r="29" spans="1:13">
      <c r="A29" t="s">
        <v>2417</v>
      </c>
      <c r="B29" t="s">
        <v>342</v>
      </c>
      <c r="C29" t="s">
        <v>341</v>
      </c>
      <c r="D29" t="s">
        <v>21</v>
      </c>
      <c r="E29" t="s">
        <v>22</v>
      </c>
      <c r="F29">
        <v>44</v>
      </c>
      <c r="G29" s="2">
        <v>46136.5625</v>
      </c>
      <c r="H29" s="2">
        <v>46136.708333333336</v>
      </c>
      <c r="I29" s="1">
        <v>46181</v>
      </c>
      <c r="J29" t="s">
        <v>1698</v>
      </c>
      <c r="K29" t="s">
        <v>341</v>
      </c>
      <c r="L29" t="s">
        <v>2475</v>
      </c>
    </row>
    <row r="30" spans="1:13">
      <c r="A30" t="s">
        <v>2417</v>
      </c>
      <c r="B30" t="s">
        <v>344</v>
      </c>
      <c r="C30" t="s">
        <v>343</v>
      </c>
      <c r="D30" t="s">
        <v>21</v>
      </c>
      <c r="E30" t="s">
        <v>22</v>
      </c>
      <c r="F30">
        <v>43</v>
      </c>
      <c r="G30" s="2">
        <v>46358.375</v>
      </c>
      <c r="H30" s="2">
        <v>46358.520833333336</v>
      </c>
      <c r="I30" s="1">
        <v>46216</v>
      </c>
      <c r="J30" t="s">
        <v>1698</v>
      </c>
      <c r="K30" t="s">
        <v>343</v>
      </c>
      <c r="L30" t="s">
        <v>2474</v>
      </c>
    </row>
    <row r="31" spans="1:13">
      <c r="A31" t="s">
        <v>2417</v>
      </c>
      <c r="B31" t="s">
        <v>346</v>
      </c>
      <c r="C31" t="s">
        <v>345</v>
      </c>
      <c r="D31" t="s">
        <v>21</v>
      </c>
      <c r="E31" t="s">
        <v>22</v>
      </c>
      <c r="F31">
        <v>37</v>
      </c>
      <c r="G31" s="2">
        <v>46218.5625</v>
      </c>
      <c r="H31" s="2">
        <v>46218.708333333336</v>
      </c>
      <c r="I31" s="1">
        <v>46217</v>
      </c>
      <c r="J31" t="s">
        <v>1698</v>
      </c>
      <c r="K31" t="s">
        <v>345</v>
      </c>
      <c r="L31" t="s">
        <v>2474</v>
      </c>
    </row>
    <row r="32" spans="1:13">
      <c r="A32" t="s">
        <v>2417</v>
      </c>
      <c r="B32" t="s">
        <v>348</v>
      </c>
      <c r="C32" t="s">
        <v>347</v>
      </c>
      <c r="D32" t="s">
        <v>21</v>
      </c>
      <c r="E32" t="s">
        <v>22</v>
      </c>
      <c r="F32">
        <v>48</v>
      </c>
      <c r="G32" s="2">
        <v>46045.375</v>
      </c>
      <c r="H32" s="2">
        <v>46045.520833333336</v>
      </c>
      <c r="I32" s="1">
        <v>46195</v>
      </c>
      <c r="J32" t="s">
        <v>1698</v>
      </c>
      <c r="K32" t="s">
        <v>347</v>
      </c>
      <c r="L32" t="s">
        <v>2474</v>
      </c>
      <c r="M32" s="210" t="s">
        <v>2476</v>
      </c>
    </row>
    <row r="33" spans="1:12">
      <c r="A33" t="s">
        <v>2414</v>
      </c>
      <c r="B33" t="s">
        <v>351</v>
      </c>
      <c r="C33" t="s">
        <v>349</v>
      </c>
      <c r="D33" t="s">
        <v>16</v>
      </c>
      <c r="G33" t="s">
        <v>17</v>
      </c>
      <c r="I33" s="1">
        <v>46217</v>
      </c>
      <c r="J33" t="s">
        <v>1698</v>
      </c>
      <c r="K33" t="s">
        <v>2477</v>
      </c>
    </row>
    <row r="34" spans="1:12">
      <c r="A34" t="s">
        <v>2414</v>
      </c>
      <c r="B34" t="s">
        <v>353</v>
      </c>
      <c r="C34" t="s">
        <v>352</v>
      </c>
      <c r="D34" t="s">
        <v>16</v>
      </c>
      <c r="G34" t="s">
        <v>17</v>
      </c>
      <c r="I34" s="1">
        <v>46217</v>
      </c>
      <c r="J34" t="s">
        <v>1698</v>
      </c>
      <c r="K34" t="s">
        <v>2477</v>
      </c>
    </row>
    <row r="35" spans="1:12">
      <c r="A35" t="s">
        <v>2414</v>
      </c>
      <c r="B35" t="s">
        <v>355</v>
      </c>
      <c r="C35" t="s">
        <v>354</v>
      </c>
      <c r="D35" t="s">
        <v>16</v>
      </c>
      <c r="G35" t="s">
        <v>17</v>
      </c>
      <c r="I35" s="1">
        <v>46217</v>
      </c>
      <c r="J35" t="s">
        <v>1698</v>
      </c>
      <c r="K35" t="s">
        <v>2477</v>
      </c>
    </row>
    <row r="36" spans="1:12">
      <c r="A36" t="s">
        <v>2414</v>
      </c>
      <c r="B36" t="s">
        <v>357</v>
      </c>
      <c r="C36" t="s">
        <v>356</v>
      </c>
      <c r="D36" t="s">
        <v>16</v>
      </c>
      <c r="G36" t="s">
        <v>17</v>
      </c>
      <c r="I36" s="1">
        <v>46217</v>
      </c>
      <c r="J36" t="s">
        <v>1698</v>
      </c>
      <c r="K36" t="s">
        <v>2477</v>
      </c>
    </row>
    <row r="37" spans="1:12">
      <c r="A37" t="s">
        <v>1163</v>
      </c>
      <c r="B37" t="s">
        <v>1822</v>
      </c>
      <c r="C37" t="s">
        <v>1823</v>
      </c>
      <c r="D37" t="s">
        <v>21</v>
      </c>
      <c r="E37" t="s">
        <v>22</v>
      </c>
      <c r="F37">
        <v>35</v>
      </c>
      <c r="G37" s="2">
        <v>46349.5625</v>
      </c>
      <c r="H37" s="2">
        <v>46350.541666666664</v>
      </c>
      <c r="I37" s="1">
        <v>46217</v>
      </c>
      <c r="J37" t="s">
        <v>1746</v>
      </c>
      <c r="K37" t="s">
        <v>2478</v>
      </c>
      <c r="L37" t="s">
        <v>2458</v>
      </c>
    </row>
    <row r="38" spans="1:12">
      <c r="A38" t="s">
        <v>1163</v>
      </c>
      <c r="B38" t="s">
        <v>1806</v>
      </c>
      <c r="C38" t="s">
        <v>1807</v>
      </c>
      <c r="D38" t="s">
        <v>21</v>
      </c>
      <c r="E38" t="s">
        <v>22</v>
      </c>
      <c r="F38">
        <v>54</v>
      </c>
      <c r="G38" s="2">
        <v>46345.395833333336</v>
      </c>
      <c r="H38" s="2">
        <v>46346.541666666664</v>
      </c>
      <c r="I38" s="1">
        <v>46210</v>
      </c>
      <c r="J38" t="s">
        <v>1746</v>
      </c>
      <c r="K38" t="s">
        <v>2479</v>
      </c>
    </row>
    <row r="39" spans="1:12">
      <c r="A39" t="s">
        <v>1163</v>
      </c>
      <c r="B39" t="s">
        <v>1786</v>
      </c>
      <c r="C39" t="s">
        <v>1787</v>
      </c>
      <c r="D39" t="s">
        <v>21</v>
      </c>
      <c r="E39" t="s">
        <v>22</v>
      </c>
      <c r="F39">
        <v>50</v>
      </c>
      <c r="G39" s="2">
        <v>46317.5625</v>
      </c>
      <c r="H39" s="2">
        <v>46318.708333333336</v>
      </c>
      <c r="I39" s="1">
        <v>46210</v>
      </c>
      <c r="J39" t="s">
        <v>1788</v>
      </c>
      <c r="K39" t="s">
        <v>2480</v>
      </c>
    </row>
    <row r="40" spans="1:12">
      <c r="A40" t="s">
        <v>1163</v>
      </c>
      <c r="B40" t="s">
        <v>1796</v>
      </c>
      <c r="C40" t="s">
        <v>1797</v>
      </c>
      <c r="D40" t="s">
        <v>21</v>
      </c>
      <c r="E40" t="s">
        <v>22</v>
      </c>
      <c r="F40">
        <v>0</v>
      </c>
      <c r="G40" s="2">
        <v>46360.395833333336</v>
      </c>
      <c r="H40" s="2">
        <v>46360.541666666664</v>
      </c>
      <c r="I40" s="1">
        <v>46212</v>
      </c>
      <c r="J40" t="s">
        <v>1795</v>
      </c>
      <c r="K40" t="s">
        <v>2481</v>
      </c>
    </row>
    <row r="41" spans="1:12">
      <c r="A41" t="s">
        <v>1163</v>
      </c>
      <c r="B41" t="s">
        <v>1166</v>
      </c>
      <c r="C41" t="s">
        <v>1167</v>
      </c>
      <c r="D41" t="s">
        <v>21</v>
      </c>
      <c r="E41" t="s">
        <v>22</v>
      </c>
      <c r="F41">
        <v>2</v>
      </c>
      <c r="G41" s="2">
        <v>46297.479166666664</v>
      </c>
      <c r="H41" s="2">
        <v>46297.520833333336</v>
      </c>
      <c r="I41" s="1">
        <v>46217</v>
      </c>
      <c r="J41" t="s">
        <v>1698</v>
      </c>
      <c r="K41" t="s">
        <v>2482</v>
      </c>
      <c r="L41" t="s">
        <v>2458</v>
      </c>
    </row>
    <row r="42" spans="1:12">
      <c r="A42" t="s">
        <v>1163</v>
      </c>
      <c r="B42" t="s">
        <v>1832</v>
      </c>
      <c r="C42" t="s">
        <v>1833</v>
      </c>
      <c r="D42" t="s">
        <v>21</v>
      </c>
      <c r="E42" t="s">
        <v>22</v>
      </c>
      <c r="F42">
        <v>81</v>
      </c>
      <c r="G42" s="2">
        <v>46353.395833333336</v>
      </c>
      <c r="H42" s="2">
        <v>46353.541666666664</v>
      </c>
      <c r="I42" s="1">
        <v>46188</v>
      </c>
      <c r="J42" t="s">
        <v>1795</v>
      </c>
      <c r="K42" t="s">
        <v>2483</v>
      </c>
    </row>
    <row r="43" spans="1:12">
      <c r="A43" t="s">
        <v>1163</v>
      </c>
      <c r="B43" t="s">
        <v>1791</v>
      </c>
      <c r="C43" t="s">
        <v>1792</v>
      </c>
      <c r="D43" t="s">
        <v>21</v>
      </c>
      <c r="E43" t="s">
        <v>22</v>
      </c>
      <c r="F43">
        <v>28</v>
      </c>
      <c r="G43" s="2">
        <v>46286.395833333336</v>
      </c>
      <c r="H43" s="2">
        <v>46287.520833333336</v>
      </c>
      <c r="I43" s="1">
        <v>46206</v>
      </c>
      <c r="J43" t="s">
        <v>1746</v>
      </c>
      <c r="K43" t="s">
        <v>2484</v>
      </c>
    </row>
    <row r="44" spans="1:12">
      <c r="A44" t="s">
        <v>1774</v>
      </c>
      <c r="B44" t="s">
        <v>604</v>
      </c>
      <c r="C44" t="s">
        <v>603</v>
      </c>
      <c r="D44" t="s">
        <v>21</v>
      </c>
      <c r="E44" t="s">
        <v>22</v>
      </c>
      <c r="F44">
        <v>29</v>
      </c>
      <c r="G44" s="2">
        <v>46310.395833333336</v>
      </c>
      <c r="H44" s="2">
        <v>46310.729166666664</v>
      </c>
      <c r="I44" s="1">
        <v>46127</v>
      </c>
      <c r="J44" t="s">
        <v>1698</v>
      </c>
      <c r="K44" t="s">
        <v>603</v>
      </c>
      <c r="L44" t="s">
        <v>2485</v>
      </c>
    </row>
    <row r="45" spans="1:12">
      <c r="A45" t="s">
        <v>501</v>
      </c>
      <c r="B45" t="s">
        <v>2486</v>
      </c>
      <c r="C45" t="s">
        <v>2428</v>
      </c>
      <c r="D45" t="s">
        <v>21</v>
      </c>
      <c r="E45" t="s">
        <v>22</v>
      </c>
      <c r="F45">
        <v>48</v>
      </c>
      <c r="G45" s="2">
        <v>46289.375</v>
      </c>
      <c r="H45" s="2">
        <v>46289.520833333336</v>
      </c>
      <c r="I45" s="1">
        <v>46217</v>
      </c>
      <c r="J45" t="s">
        <v>1698</v>
      </c>
      <c r="K45" t="s">
        <v>2428</v>
      </c>
      <c r="L45" t="s">
        <v>2485</v>
      </c>
    </row>
    <row r="46" spans="1:12">
      <c r="A46" t="s">
        <v>1163</v>
      </c>
      <c r="B46" t="s">
        <v>1793</v>
      </c>
      <c r="C46" t="s">
        <v>1794</v>
      </c>
      <c r="D46" t="s">
        <v>21</v>
      </c>
      <c r="E46" t="s">
        <v>22</v>
      </c>
      <c r="F46">
        <v>30</v>
      </c>
      <c r="G46" s="2">
        <v>46359.375</v>
      </c>
      <c r="H46" s="2">
        <v>46359.541666666664</v>
      </c>
      <c r="I46" s="1">
        <v>46213</v>
      </c>
      <c r="J46" t="s">
        <v>1795</v>
      </c>
      <c r="K46" t="s">
        <v>2487</v>
      </c>
      <c r="L46" t="s">
        <v>2458</v>
      </c>
    </row>
    <row r="47" spans="1:12">
      <c r="A47" t="s">
        <v>693</v>
      </c>
      <c r="B47" t="s">
        <v>750</v>
      </c>
      <c r="C47" t="s">
        <v>749</v>
      </c>
      <c r="D47" t="s">
        <v>21</v>
      </c>
      <c r="E47" t="s">
        <v>22</v>
      </c>
      <c r="F47">
        <v>70</v>
      </c>
      <c r="G47" s="2">
        <v>46294.395833333336</v>
      </c>
      <c r="H47" s="2">
        <v>46294.5</v>
      </c>
      <c r="I47" s="1">
        <v>46216</v>
      </c>
      <c r="J47" t="s">
        <v>1698</v>
      </c>
      <c r="K47" t="s">
        <v>2488</v>
      </c>
      <c r="L47" t="s">
        <v>2489</v>
      </c>
    </row>
    <row r="48" spans="1:12">
      <c r="A48" t="s">
        <v>693</v>
      </c>
      <c r="B48" t="s">
        <v>1535</v>
      </c>
      <c r="C48" t="s">
        <v>692</v>
      </c>
      <c r="D48" t="s">
        <v>21</v>
      </c>
      <c r="E48" t="s">
        <v>22</v>
      </c>
      <c r="F48">
        <v>69</v>
      </c>
      <c r="G48" s="2">
        <v>46365.375</v>
      </c>
      <c r="H48" s="2">
        <v>46365.708333333336</v>
      </c>
      <c r="I48" s="1">
        <v>46217</v>
      </c>
      <c r="J48" t="s">
        <v>1698</v>
      </c>
      <c r="K48" t="s">
        <v>692</v>
      </c>
      <c r="L48" t="s">
        <v>2490</v>
      </c>
    </row>
    <row r="49" spans="1:13">
      <c r="A49" t="s">
        <v>693</v>
      </c>
      <c r="B49" t="s">
        <v>1840</v>
      </c>
      <c r="C49" t="s">
        <v>721</v>
      </c>
      <c r="D49" t="s">
        <v>21</v>
      </c>
      <c r="E49" t="s">
        <v>22</v>
      </c>
      <c r="F49">
        <v>58</v>
      </c>
      <c r="G49" s="2">
        <v>46343.375</v>
      </c>
      <c r="H49" s="2">
        <v>46343.708333333336</v>
      </c>
      <c r="I49" s="1">
        <v>46212</v>
      </c>
      <c r="J49" t="s">
        <v>1698</v>
      </c>
      <c r="K49" t="s">
        <v>721</v>
      </c>
      <c r="L49" t="s">
        <v>2490</v>
      </c>
    </row>
    <row r="50" spans="1:13">
      <c r="A50" t="s">
        <v>693</v>
      </c>
      <c r="B50" t="s">
        <v>1841</v>
      </c>
      <c r="C50" t="s">
        <v>723</v>
      </c>
      <c r="D50" t="s">
        <v>21</v>
      </c>
      <c r="E50" t="s">
        <v>22</v>
      </c>
      <c r="F50">
        <v>44</v>
      </c>
      <c r="G50" s="2">
        <v>46345.375</v>
      </c>
      <c r="H50" s="2">
        <v>46345.708333333336</v>
      </c>
      <c r="I50" s="1">
        <v>46212</v>
      </c>
      <c r="J50" t="s">
        <v>1698</v>
      </c>
      <c r="K50" t="s">
        <v>723</v>
      </c>
      <c r="L50" t="s">
        <v>2490</v>
      </c>
    </row>
    <row r="51" spans="1:13">
      <c r="A51" t="s">
        <v>693</v>
      </c>
      <c r="B51" t="s">
        <v>718</v>
      </c>
      <c r="C51" t="s">
        <v>717</v>
      </c>
      <c r="D51" t="s">
        <v>21</v>
      </c>
      <c r="E51" t="s">
        <v>22</v>
      </c>
      <c r="F51">
        <v>34</v>
      </c>
      <c r="G51" s="2">
        <v>46177.375</v>
      </c>
      <c r="H51" s="2">
        <v>46177.708333333336</v>
      </c>
      <c r="I51" s="1">
        <v>46198</v>
      </c>
      <c r="J51" t="s">
        <v>1698</v>
      </c>
      <c r="K51" t="s">
        <v>717</v>
      </c>
      <c r="L51" t="s">
        <v>2490</v>
      </c>
    </row>
    <row r="52" spans="1:13">
      <c r="A52" t="s">
        <v>19</v>
      </c>
      <c r="B52" t="s">
        <v>42</v>
      </c>
      <c r="C52" t="s">
        <v>41</v>
      </c>
      <c r="D52" t="s">
        <v>21</v>
      </c>
      <c r="E52" t="s">
        <v>22</v>
      </c>
      <c r="F52">
        <v>99</v>
      </c>
      <c r="G52" s="2">
        <v>46337.395833333336</v>
      </c>
      <c r="H52" s="2">
        <v>46337.520833333336</v>
      </c>
      <c r="I52" s="1">
        <v>46205</v>
      </c>
      <c r="J52" t="s">
        <v>1698</v>
      </c>
      <c r="K52" t="s">
        <v>41</v>
      </c>
      <c r="L52" t="s">
        <v>2485</v>
      </c>
    </row>
    <row r="53" spans="1:13">
      <c r="A53" t="s">
        <v>19</v>
      </c>
      <c r="B53" t="s">
        <v>1699</v>
      </c>
      <c r="C53" t="s">
        <v>43</v>
      </c>
      <c r="D53" t="s">
        <v>21</v>
      </c>
      <c r="E53" t="s">
        <v>22</v>
      </c>
      <c r="F53">
        <v>46</v>
      </c>
      <c r="G53" s="2">
        <v>46345.395833333336</v>
      </c>
      <c r="H53" s="2">
        <v>46345.520833333336</v>
      </c>
      <c r="I53" s="1">
        <v>46216</v>
      </c>
      <c r="J53" t="s">
        <v>1698</v>
      </c>
      <c r="K53" t="s">
        <v>43</v>
      </c>
      <c r="L53" t="s">
        <v>2485</v>
      </c>
    </row>
    <row r="54" spans="1:13">
      <c r="A54" t="s">
        <v>19</v>
      </c>
      <c r="B54" t="s">
        <v>46</v>
      </c>
      <c r="C54" t="s">
        <v>45</v>
      </c>
      <c r="D54" t="s">
        <v>21</v>
      </c>
      <c r="E54" t="s">
        <v>22</v>
      </c>
      <c r="F54">
        <v>41</v>
      </c>
      <c r="G54" s="2">
        <v>46346.395833333336</v>
      </c>
      <c r="H54" s="2">
        <v>46346.520833333336</v>
      </c>
      <c r="I54" s="1">
        <v>46205</v>
      </c>
      <c r="J54" t="s">
        <v>1698</v>
      </c>
      <c r="K54" t="s">
        <v>45</v>
      </c>
      <c r="L54" t="s">
        <v>2485</v>
      </c>
    </row>
    <row r="55" spans="1:13">
      <c r="A55" t="s">
        <v>19</v>
      </c>
      <c r="B55" t="s">
        <v>48</v>
      </c>
      <c r="C55" t="s">
        <v>47</v>
      </c>
      <c r="D55" t="s">
        <v>21</v>
      </c>
      <c r="E55" t="s">
        <v>22</v>
      </c>
      <c r="F55">
        <v>34</v>
      </c>
      <c r="G55" s="2">
        <v>46357.395833333336</v>
      </c>
      <c r="H55" s="2">
        <v>46357.520833333336</v>
      </c>
      <c r="I55" s="1">
        <v>46217</v>
      </c>
      <c r="J55" t="s">
        <v>1698</v>
      </c>
      <c r="K55" t="s">
        <v>47</v>
      </c>
      <c r="L55" t="s">
        <v>2485</v>
      </c>
    </row>
    <row r="56" spans="1:13">
      <c r="A56" t="s">
        <v>476</v>
      </c>
      <c r="B56" t="s">
        <v>487</v>
      </c>
      <c r="C56" t="s">
        <v>486</v>
      </c>
      <c r="D56" t="s">
        <v>21</v>
      </c>
      <c r="E56" t="s">
        <v>22</v>
      </c>
      <c r="F56">
        <v>48</v>
      </c>
      <c r="G56" s="2">
        <v>46324.375</v>
      </c>
      <c r="H56" s="2">
        <v>46324.5</v>
      </c>
      <c r="I56" s="1">
        <v>46217</v>
      </c>
      <c r="J56" t="s">
        <v>1698</v>
      </c>
      <c r="K56" t="s">
        <v>486</v>
      </c>
      <c r="L56" t="s">
        <v>2474</v>
      </c>
    </row>
    <row r="57" spans="1:13">
      <c r="A57" t="s">
        <v>560</v>
      </c>
      <c r="B57" t="s">
        <v>577</v>
      </c>
      <c r="C57" t="s">
        <v>576</v>
      </c>
      <c r="D57" t="s">
        <v>21</v>
      </c>
      <c r="E57" t="s">
        <v>22</v>
      </c>
      <c r="F57">
        <v>154</v>
      </c>
      <c r="G57" s="2">
        <v>46356.375</v>
      </c>
      <c r="H57" s="2">
        <v>46356.520833333336</v>
      </c>
      <c r="I57" s="1">
        <v>46217</v>
      </c>
      <c r="J57" t="s">
        <v>1698</v>
      </c>
      <c r="K57" t="s">
        <v>576</v>
      </c>
      <c r="L57" t="s">
        <v>2491</v>
      </c>
    </row>
    <row r="58" spans="1:13">
      <c r="A58" t="s">
        <v>190</v>
      </c>
      <c r="B58" t="s">
        <v>204</v>
      </c>
      <c r="C58" t="s">
        <v>1083</v>
      </c>
      <c r="D58" t="s">
        <v>21</v>
      </c>
      <c r="E58" t="s">
        <v>22</v>
      </c>
      <c r="F58">
        <v>91</v>
      </c>
      <c r="G58" s="2">
        <v>45805.395833333336</v>
      </c>
      <c r="H58" s="2">
        <v>45805.729166666664</v>
      </c>
      <c r="I58" s="1">
        <v>46198</v>
      </c>
      <c r="J58" t="s">
        <v>1698</v>
      </c>
      <c r="K58" t="s">
        <v>1083</v>
      </c>
      <c r="L58" t="s">
        <v>2485</v>
      </c>
      <c r="M58" s="210" t="s">
        <v>2476</v>
      </c>
    </row>
    <row r="59" spans="1:13">
      <c r="A59" t="s">
        <v>1163</v>
      </c>
      <c r="B59" t="s">
        <v>1828</v>
      </c>
      <c r="C59" t="s">
        <v>1829</v>
      </c>
      <c r="D59" t="s">
        <v>21</v>
      </c>
      <c r="E59" t="s">
        <v>22</v>
      </c>
      <c r="F59">
        <v>30</v>
      </c>
      <c r="G59" s="2">
        <v>46349.395833333336</v>
      </c>
      <c r="H59" s="2">
        <v>46350.541666666664</v>
      </c>
      <c r="I59" s="1">
        <v>46185</v>
      </c>
      <c r="J59" t="s">
        <v>1746</v>
      </c>
      <c r="K59" t="s">
        <v>2492</v>
      </c>
    </row>
    <row r="60" spans="1:13">
      <c r="A60" t="s">
        <v>584</v>
      </c>
      <c r="B60" t="s">
        <v>591</v>
      </c>
      <c r="C60" t="s">
        <v>2493</v>
      </c>
      <c r="D60" t="s">
        <v>21</v>
      </c>
      <c r="E60" t="s">
        <v>22</v>
      </c>
      <c r="F60">
        <v>230</v>
      </c>
      <c r="G60" s="2">
        <v>46219.375</v>
      </c>
      <c r="H60" s="2">
        <v>46219.708333333336</v>
      </c>
      <c r="I60" s="1">
        <v>46217</v>
      </c>
      <c r="J60" t="s">
        <v>1698</v>
      </c>
      <c r="K60" t="s">
        <v>2493</v>
      </c>
      <c r="L60" t="s">
        <v>2491</v>
      </c>
    </row>
    <row r="61" spans="1:13">
      <c r="A61" t="s">
        <v>542</v>
      </c>
      <c r="B61" t="s">
        <v>543</v>
      </c>
      <c r="C61" t="s">
        <v>541</v>
      </c>
      <c r="D61" t="s">
        <v>21</v>
      </c>
      <c r="E61" t="s">
        <v>22</v>
      </c>
      <c r="F61">
        <v>32</v>
      </c>
      <c r="G61" s="2">
        <v>46344.375</v>
      </c>
      <c r="H61" s="2">
        <v>46345.520833333336</v>
      </c>
      <c r="I61" s="1">
        <v>46216</v>
      </c>
      <c r="J61" t="s">
        <v>1698</v>
      </c>
      <c r="K61" t="s">
        <v>541</v>
      </c>
      <c r="L61" t="s">
        <v>2491</v>
      </c>
    </row>
    <row r="62" spans="1:13">
      <c r="A62" t="s">
        <v>560</v>
      </c>
      <c r="B62" t="s">
        <v>573</v>
      </c>
      <c r="C62" t="s">
        <v>572</v>
      </c>
      <c r="D62" t="s">
        <v>21</v>
      </c>
      <c r="E62" t="s">
        <v>22</v>
      </c>
      <c r="F62">
        <v>47</v>
      </c>
      <c r="G62" s="2">
        <v>45916.385416666664</v>
      </c>
      <c r="H62" s="2">
        <v>45916.5</v>
      </c>
      <c r="I62" s="1">
        <v>46164</v>
      </c>
      <c r="J62" t="s">
        <v>1779</v>
      </c>
      <c r="K62" t="s">
        <v>2494</v>
      </c>
      <c r="L62" t="s">
        <v>2458</v>
      </c>
      <c r="M62" s="210" t="s">
        <v>2476</v>
      </c>
    </row>
    <row r="63" spans="1:13">
      <c r="A63" t="s">
        <v>1163</v>
      </c>
      <c r="B63" t="s">
        <v>1164</v>
      </c>
      <c r="C63" t="s">
        <v>1165</v>
      </c>
      <c r="D63" t="s">
        <v>21</v>
      </c>
      <c r="E63" t="s">
        <v>25</v>
      </c>
      <c r="I63" s="1">
        <v>46213</v>
      </c>
      <c r="J63" t="s">
        <v>1698</v>
      </c>
      <c r="K63" t="s">
        <v>2495</v>
      </c>
    </row>
    <row r="64" spans="1:13">
      <c r="A64" t="s">
        <v>1163</v>
      </c>
      <c r="B64" t="s">
        <v>1789</v>
      </c>
      <c r="C64" t="s">
        <v>1790</v>
      </c>
      <c r="D64" t="s">
        <v>21</v>
      </c>
      <c r="E64" t="s">
        <v>22</v>
      </c>
      <c r="F64">
        <v>0</v>
      </c>
      <c r="G64" s="2">
        <v>46295.395833333336</v>
      </c>
      <c r="H64" s="2">
        <v>46295.458333333336</v>
      </c>
      <c r="I64" s="1">
        <v>46217</v>
      </c>
      <c r="J64" t="s">
        <v>1698</v>
      </c>
      <c r="K64" t="s">
        <v>2496</v>
      </c>
    </row>
    <row r="65" spans="1:13">
      <c r="A65" t="s">
        <v>313</v>
      </c>
      <c r="B65" t="s">
        <v>316</v>
      </c>
      <c r="C65" t="s">
        <v>315</v>
      </c>
      <c r="D65" t="s">
        <v>16</v>
      </c>
      <c r="G65" t="s">
        <v>17</v>
      </c>
      <c r="I65" s="1">
        <v>46155</v>
      </c>
      <c r="J65" t="s">
        <v>1698</v>
      </c>
      <c r="K65" t="s">
        <v>2497</v>
      </c>
    </row>
    <row r="66" spans="1:13">
      <c r="A66" t="s">
        <v>1163</v>
      </c>
      <c r="B66" t="s">
        <v>1172</v>
      </c>
      <c r="C66" t="s">
        <v>1173</v>
      </c>
      <c r="D66" t="s">
        <v>21</v>
      </c>
      <c r="E66" t="s">
        <v>22</v>
      </c>
      <c r="F66">
        <v>8</v>
      </c>
      <c r="G66" s="2">
        <v>46331.479166666664</v>
      </c>
      <c r="H66" s="2">
        <v>46331.520833333336</v>
      </c>
      <c r="I66" s="1">
        <v>46212</v>
      </c>
      <c r="J66" t="s">
        <v>1698</v>
      </c>
      <c r="K66" t="s">
        <v>2498</v>
      </c>
      <c r="L66" t="s">
        <v>2458</v>
      </c>
    </row>
    <row r="67" spans="1:13">
      <c r="A67" t="s">
        <v>1163</v>
      </c>
      <c r="B67" t="s">
        <v>1174</v>
      </c>
      <c r="C67" t="s">
        <v>1175</v>
      </c>
      <c r="D67" t="s">
        <v>21</v>
      </c>
      <c r="E67" t="s">
        <v>22</v>
      </c>
      <c r="F67">
        <v>45</v>
      </c>
      <c r="G67" s="2">
        <v>46148.479166666664</v>
      </c>
      <c r="H67" s="2">
        <v>46148.520833333336</v>
      </c>
      <c r="I67" s="1">
        <v>46211</v>
      </c>
      <c r="J67" t="s">
        <v>1698</v>
      </c>
      <c r="K67" t="s">
        <v>2499</v>
      </c>
    </row>
    <row r="68" spans="1:13">
      <c r="A68" t="s">
        <v>1163</v>
      </c>
      <c r="B68" t="s">
        <v>1830</v>
      </c>
      <c r="C68" t="s">
        <v>1831</v>
      </c>
      <c r="D68" t="s">
        <v>21</v>
      </c>
      <c r="E68" t="s">
        <v>22</v>
      </c>
      <c r="F68">
        <v>44</v>
      </c>
      <c r="G68" s="2">
        <v>46337.395833333336</v>
      </c>
      <c r="H68" s="2">
        <v>46338.520833333336</v>
      </c>
      <c r="I68" s="1">
        <v>46209</v>
      </c>
      <c r="J68" t="s">
        <v>1746</v>
      </c>
      <c r="K68" t="s">
        <v>2500</v>
      </c>
    </row>
    <row r="69" spans="1:13">
      <c r="A69" t="s">
        <v>255</v>
      </c>
      <c r="B69" t="s">
        <v>274</v>
      </c>
      <c r="C69" t="s">
        <v>273</v>
      </c>
      <c r="D69" t="s">
        <v>21</v>
      </c>
      <c r="E69" t="s">
        <v>22</v>
      </c>
      <c r="F69">
        <v>78</v>
      </c>
      <c r="G69" s="2">
        <v>46309.416666666664</v>
      </c>
      <c r="H69" s="2">
        <v>46309.479166666664</v>
      </c>
      <c r="I69" s="1">
        <v>46206</v>
      </c>
      <c r="J69" t="s">
        <v>1698</v>
      </c>
      <c r="K69" t="s">
        <v>273</v>
      </c>
      <c r="L69" t="s">
        <v>2501</v>
      </c>
    </row>
    <row r="70" spans="1:13">
      <c r="A70" t="s">
        <v>255</v>
      </c>
      <c r="B70" t="s">
        <v>276</v>
      </c>
      <c r="C70" t="s">
        <v>275</v>
      </c>
      <c r="D70" t="s">
        <v>21</v>
      </c>
      <c r="E70" t="s">
        <v>22</v>
      </c>
      <c r="F70">
        <v>64</v>
      </c>
      <c r="G70" s="2">
        <v>46315.416666666664</v>
      </c>
      <c r="H70" s="2">
        <v>46315.479166666664</v>
      </c>
      <c r="I70" s="1">
        <v>46197</v>
      </c>
      <c r="J70" t="s">
        <v>1698</v>
      </c>
      <c r="K70" t="s">
        <v>275</v>
      </c>
      <c r="L70" t="s">
        <v>2501</v>
      </c>
    </row>
    <row r="71" spans="1:13">
      <c r="A71" t="s">
        <v>693</v>
      </c>
      <c r="B71" t="s">
        <v>748</v>
      </c>
      <c r="C71" t="s">
        <v>747</v>
      </c>
      <c r="D71" t="s">
        <v>21</v>
      </c>
      <c r="E71" t="s">
        <v>25</v>
      </c>
      <c r="I71" s="1">
        <v>46217</v>
      </c>
      <c r="J71" t="s">
        <v>1698</v>
      </c>
      <c r="K71" t="s">
        <v>2502</v>
      </c>
    </row>
    <row r="72" spans="1:13">
      <c r="A72" t="s">
        <v>322</v>
      </c>
      <c r="B72" t="s">
        <v>323</v>
      </c>
      <c r="C72" t="s">
        <v>321</v>
      </c>
      <c r="D72" t="s">
        <v>21</v>
      </c>
      <c r="E72" t="s">
        <v>22</v>
      </c>
      <c r="F72">
        <v>58</v>
      </c>
      <c r="G72" s="2">
        <v>45679.375</v>
      </c>
      <c r="H72" s="2">
        <v>45679.708333333336</v>
      </c>
      <c r="I72" s="1">
        <v>46204</v>
      </c>
      <c r="J72" t="s">
        <v>1729</v>
      </c>
      <c r="K72" t="s">
        <v>2503</v>
      </c>
      <c r="L72" t="s">
        <v>2460</v>
      </c>
      <c r="M72" s="210" t="s">
        <v>2476</v>
      </c>
    </row>
    <row r="73" spans="1:13">
      <c r="A73" t="s">
        <v>693</v>
      </c>
      <c r="B73" t="s">
        <v>704</v>
      </c>
      <c r="C73" t="s">
        <v>703</v>
      </c>
      <c r="D73" t="s">
        <v>21</v>
      </c>
      <c r="E73" t="s">
        <v>22</v>
      </c>
      <c r="F73">
        <v>40</v>
      </c>
      <c r="G73" s="2">
        <v>46352.375</v>
      </c>
      <c r="H73" s="2">
        <v>46356.729166666664</v>
      </c>
      <c r="I73" s="1">
        <v>46205</v>
      </c>
      <c r="J73" t="s">
        <v>1698</v>
      </c>
      <c r="K73" t="s">
        <v>703</v>
      </c>
      <c r="L73" t="s">
        <v>2490</v>
      </c>
    </row>
    <row r="74" spans="1:13">
      <c r="A74" t="s">
        <v>693</v>
      </c>
      <c r="B74" t="s">
        <v>710</v>
      </c>
      <c r="C74" t="s">
        <v>709</v>
      </c>
      <c r="D74" t="s">
        <v>21</v>
      </c>
      <c r="E74" t="s">
        <v>22</v>
      </c>
      <c r="F74">
        <v>38</v>
      </c>
      <c r="G74" s="2">
        <v>46128.375</v>
      </c>
      <c r="H74" s="2">
        <v>46128.520833333336</v>
      </c>
      <c r="I74" s="1">
        <v>46190</v>
      </c>
      <c r="J74" t="s">
        <v>1698</v>
      </c>
      <c r="K74" t="s">
        <v>709</v>
      </c>
      <c r="L74" t="s">
        <v>2490</v>
      </c>
    </row>
    <row r="75" spans="1:13">
      <c r="A75" t="s">
        <v>693</v>
      </c>
      <c r="B75" t="s">
        <v>774</v>
      </c>
      <c r="C75" t="s">
        <v>773</v>
      </c>
      <c r="D75" t="s">
        <v>21</v>
      </c>
      <c r="E75" t="s">
        <v>22</v>
      </c>
      <c r="F75">
        <v>27</v>
      </c>
      <c r="G75" s="2">
        <v>46107.416666666664</v>
      </c>
      <c r="H75" s="2">
        <v>46107.5</v>
      </c>
      <c r="I75" s="1">
        <v>46154</v>
      </c>
      <c r="J75" t="s">
        <v>1698</v>
      </c>
      <c r="K75" t="s">
        <v>2504</v>
      </c>
      <c r="L75" t="s">
        <v>2490</v>
      </c>
      <c r="M75" s="210" t="s">
        <v>2476</v>
      </c>
    </row>
    <row r="76" spans="1:13">
      <c r="A76" t="s">
        <v>2416</v>
      </c>
      <c r="B76" t="s">
        <v>368</v>
      </c>
      <c r="C76" t="s">
        <v>367</v>
      </c>
      <c r="D76" t="s">
        <v>21</v>
      </c>
      <c r="E76" t="s">
        <v>22</v>
      </c>
      <c r="F76">
        <v>48</v>
      </c>
      <c r="G76" s="2">
        <v>46122.375</v>
      </c>
      <c r="H76" s="2">
        <v>46126.709027777775</v>
      </c>
      <c r="I76" s="1">
        <v>46195</v>
      </c>
      <c r="J76" t="s">
        <v>1735</v>
      </c>
      <c r="K76" t="s">
        <v>2505</v>
      </c>
      <c r="L76" t="s">
        <v>2506</v>
      </c>
    </row>
    <row r="77" spans="1:13">
      <c r="A77" t="s">
        <v>2416</v>
      </c>
      <c r="B77" t="s">
        <v>366</v>
      </c>
      <c r="C77" t="s">
        <v>365</v>
      </c>
      <c r="D77" t="s">
        <v>21</v>
      </c>
      <c r="E77" t="s">
        <v>22</v>
      </c>
      <c r="F77">
        <v>68</v>
      </c>
      <c r="G77" s="2">
        <v>46202.375</v>
      </c>
      <c r="H77" s="2">
        <v>46204.708333333336</v>
      </c>
      <c r="I77" s="1">
        <v>46206</v>
      </c>
      <c r="J77" t="s">
        <v>1735</v>
      </c>
      <c r="K77" t="s">
        <v>2507</v>
      </c>
      <c r="L77" t="s">
        <v>2460</v>
      </c>
    </row>
    <row r="78" spans="1:13">
      <c r="A78" t="s">
        <v>2416</v>
      </c>
      <c r="B78" t="s">
        <v>372</v>
      </c>
      <c r="C78" t="s">
        <v>371</v>
      </c>
      <c r="D78" t="s">
        <v>21</v>
      </c>
      <c r="E78" t="s">
        <v>22</v>
      </c>
      <c r="F78">
        <v>73</v>
      </c>
      <c r="G78" s="2">
        <v>46281.375</v>
      </c>
      <c r="H78" s="2">
        <v>46283.708333333336</v>
      </c>
      <c r="I78" s="1">
        <v>46217</v>
      </c>
      <c r="J78" t="s">
        <v>1735</v>
      </c>
      <c r="K78" t="s">
        <v>2508</v>
      </c>
      <c r="L78" t="s">
        <v>2460</v>
      </c>
    </row>
    <row r="79" spans="1:13">
      <c r="A79" t="s">
        <v>2416</v>
      </c>
      <c r="B79" t="s">
        <v>370</v>
      </c>
      <c r="C79" t="s">
        <v>369</v>
      </c>
      <c r="D79" t="s">
        <v>21</v>
      </c>
      <c r="E79" t="s">
        <v>22</v>
      </c>
      <c r="F79">
        <v>67</v>
      </c>
      <c r="G79" s="2">
        <v>46321.375</v>
      </c>
      <c r="H79" s="2">
        <v>46323.708333333336</v>
      </c>
      <c r="I79" s="1">
        <v>46195</v>
      </c>
      <c r="J79" t="s">
        <v>1735</v>
      </c>
      <c r="K79" t="s">
        <v>2509</v>
      </c>
      <c r="L79" t="s">
        <v>2460</v>
      </c>
    </row>
    <row r="80" spans="1:13">
      <c r="A80" t="s">
        <v>2416</v>
      </c>
      <c r="B80" t="s">
        <v>364</v>
      </c>
      <c r="C80" t="s">
        <v>363</v>
      </c>
      <c r="D80" t="s">
        <v>21</v>
      </c>
      <c r="E80" t="s">
        <v>22</v>
      </c>
      <c r="F80">
        <v>99</v>
      </c>
      <c r="G80" s="2">
        <v>46342.375</v>
      </c>
      <c r="H80" s="2">
        <v>46343.708333333336</v>
      </c>
      <c r="I80" s="1">
        <v>46216</v>
      </c>
      <c r="J80" t="s">
        <v>1734</v>
      </c>
      <c r="K80" t="s">
        <v>2510</v>
      </c>
      <c r="L80" t="s">
        <v>2506</v>
      </c>
    </row>
    <row r="81" spans="1:13">
      <c r="A81" t="s">
        <v>2417</v>
      </c>
      <c r="B81" t="s">
        <v>1744</v>
      </c>
      <c r="C81" t="s">
        <v>428</v>
      </c>
      <c r="D81" t="s">
        <v>21</v>
      </c>
      <c r="E81" t="s">
        <v>22</v>
      </c>
      <c r="F81">
        <v>135</v>
      </c>
      <c r="G81" s="2">
        <v>46286.375</v>
      </c>
      <c r="H81" s="2">
        <v>46286.4375</v>
      </c>
      <c r="I81" s="1">
        <v>46216</v>
      </c>
      <c r="J81" t="s">
        <v>1698</v>
      </c>
      <c r="K81" t="s">
        <v>428</v>
      </c>
      <c r="L81" t="s">
        <v>2474</v>
      </c>
    </row>
    <row r="82" spans="1:13">
      <c r="A82" t="s">
        <v>2417</v>
      </c>
      <c r="B82" t="s">
        <v>1745</v>
      </c>
      <c r="C82" t="s">
        <v>430</v>
      </c>
      <c r="D82" t="s">
        <v>21</v>
      </c>
      <c r="E82" t="s">
        <v>22</v>
      </c>
      <c r="F82">
        <v>83</v>
      </c>
      <c r="G82" s="2">
        <v>46286.458333333336</v>
      </c>
      <c r="H82" s="2">
        <v>46286.520833333336</v>
      </c>
      <c r="I82" s="1">
        <v>46216</v>
      </c>
      <c r="J82" t="s">
        <v>1698</v>
      </c>
      <c r="K82" t="s">
        <v>430</v>
      </c>
      <c r="L82" t="s">
        <v>2474</v>
      </c>
    </row>
    <row r="83" spans="1:13">
      <c r="A83" t="s">
        <v>693</v>
      </c>
      <c r="B83" t="s">
        <v>728</v>
      </c>
      <c r="C83" t="s">
        <v>727</v>
      </c>
      <c r="D83" t="s">
        <v>21</v>
      </c>
      <c r="E83" t="s">
        <v>22</v>
      </c>
      <c r="F83">
        <v>80</v>
      </c>
      <c r="G83" s="2">
        <v>46363.416666666664</v>
      </c>
      <c r="H83" s="2">
        <v>46363.5</v>
      </c>
      <c r="I83" s="1">
        <v>46217</v>
      </c>
      <c r="J83" t="s">
        <v>1698</v>
      </c>
      <c r="K83" t="s">
        <v>2511</v>
      </c>
      <c r="L83" t="s">
        <v>2489</v>
      </c>
    </row>
    <row r="84" spans="1:13">
      <c r="A84" t="s">
        <v>693</v>
      </c>
      <c r="B84" t="s">
        <v>726</v>
      </c>
      <c r="C84" t="s">
        <v>725</v>
      </c>
      <c r="D84" t="s">
        <v>21</v>
      </c>
      <c r="E84" t="s">
        <v>22</v>
      </c>
      <c r="F84">
        <v>147</v>
      </c>
      <c r="G84" s="2">
        <v>46195.416666666664</v>
      </c>
      <c r="H84" s="2">
        <v>46195.666666666664</v>
      </c>
      <c r="I84" s="1">
        <v>46216</v>
      </c>
      <c r="J84" t="s">
        <v>1698</v>
      </c>
      <c r="K84" t="s">
        <v>2512</v>
      </c>
      <c r="L84" t="s">
        <v>2489</v>
      </c>
    </row>
    <row r="85" spans="1:13">
      <c r="A85" t="s">
        <v>693</v>
      </c>
      <c r="B85" t="s">
        <v>2513</v>
      </c>
      <c r="C85" t="s">
        <v>767</v>
      </c>
      <c r="D85" t="s">
        <v>21</v>
      </c>
      <c r="E85" t="s">
        <v>22</v>
      </c>
      <c r="F85">
        <v>98</v>
      </c>
      <c r="G85" s="2">
        <v>46363.583333333336</v>
      </c>
      <c r="H85" s="2">
        <v>46363.708333333336</v>
      </c>
      <c r="I85" s="1">
        <v>46217</v>
      </c>
      <c r="J85" t="s">
        <v>1698</v>
      </c>
      <c r="K85" t="s">
        <v>2514</v>
      </c>
      <c r="L85" t="s">
        <v>2489</v>
      </c>
    </row>
    <row r="86" spans="1:13">
      <c r="A86" t="s">
        <v>809</v>
      </c>
      <c r="B86" t="s">
        <v>816</v>
      </c>
      <c r="C86" t="s">
        <v>815</v>
      </c>
      <c r="D86" t="s">
        <v>21</v>
      </c>
      <c r="E86" t="s">
        <v>22</v>
      </c>
      <c r="F86">
        <v>45</v>
      </c>
      <c r="G86" s="2">
        <v>46314.520833333336</v>
      </c>
      <c r="H86" s="2">
        <v>46316.541666666664</v>
      </c>
      <c r="I86" s="1">
        <v>46183</v>
      </c>
      <c r="J86" t="s">
        <v>1698</v>
      </c>
      <c r="K86" t="s">
        <v>815</v>
      </c>
      <c r="L86" t="s">
        <v>2515</v>
      </c>
    </row>
    <row r="87" spans="1:13">
      <c r="A87" t="s">
        <v>693</v>
      </c>
      <c r="B87" t="s">
        <v>782</v>
      </c>
      <c r="C87" t="s">
        <v>781</v>
      </c>
      <c r="D87" t="s">
        <v>21</v>
      </c>
      <c r="E87" t="s">
        <v>22</v>
      </c>
      <c r="F87">
        <v>80</v>
      </c>
      <c r="G87" s="2">
        <v>46367.395833333336</v>
      </c>
      <c r="H87" s="2">
        <v>46367.520833333336</v>
      </c>
      <c r="I87" s="1">
        <v>46216</v>
      </c>
      <c r="J87" t="s">
        <v>1698</v>
      </c>
      <c r="K87" t="s">
        <v>2516</v>
      </c>
      <c r="L87" t="s">
        <v>2489</v>
      </c>
    </row>
    <row r="88" spans="1:13">
      <c r="A88" t="s">
        <v>693</v>
      </c>
      <c r="B88" t="s">
        <v>784</v>
      </c>
      <c r="C88" t="s">
        <v>783</v>
      </c>
      <c r="D88" t="s">
        <v>21</v>
      </c>
      <c r="E88" t="s">
        <v>22</v>
      </c>
      <c r="F88">
        <v>28</v>
      </c>
      <c r="G88" s="2">
        <v>46336.395833333336</v>
      </c>
      <c r="H88" s="2">
        <v>46336.541666666664</v>
      </c>
      <c r="I88" s="1">
        <v>46212</v>
      </c>
      <c r="J88" t="s">
        <v>1698</v>
      </c>
      <c r="K88" t="s">
        <v>2517</v>
      </c>
      <c r="L88" t="s">
        <v>2489</v>
      </c>
    </row>
    <row r="89" spans="1:13">
      <c r="A89" t="s">
        <v>809</v>
      </c>
      <c r="B89" t="s">
        <v>824</v>
      </c>
      <c r="C89" t="s">
        <v>823</v>
      </c>
      <c r="D89" t="s">
        <v>21</v>
      </c>
      <c r="E89" t="s">
        <v>25</v>
      </c>
      <c r="G89" s="2">
        <v>46321.520833333336</v>
      </c>
      <c r="H89" s="2">
        <v>46323.541666666664</v>
      </c>
      <c r="I89" s="1">
        <v>46213</v>
      </c>
      <c r="J89" t="s">
        <v>1698</v>
      </c>
      <c r="K89" t="s">
        <v>823</v>
      </c>
      <c r="L89" t="s">
        <v>2515</v>
      </c>
    </row>
    <row r="90" spans="1:13">
      <c r="A90" t="s">
        <v>693</v>
      </c>
      <c r="B90" t="s">
        <v>766</v>
      </c>
      <c r="C90" t="s">
        <v>765</v>
      </c>
      <c r="D90" t="s">
        <v>21</v>
      </c>
      <c r="E90" t="s">
        <v>22</v>
      </c>
      <c r="F90">
        <v>51</v>
      </c>
      <c r="G90" s="2">
        <v>46289.395833333336</v>
      </c>
      <c r="H90" s="2">
        <v>46289.5</v>
      </c>
      <c r="I90" s="1">
        <v>46217</v>
      </c>
      <c r="J90" t="s">
        <v>1698</v>
      </c>
      <c r="K90" t="s">
        <v>2518</v>
      </c>
    </row>
    <row r="91" spans="1:13">
      <c r="A91" t="s">
        <v>809</v>
      </c>
      <c r="B91" t="s">
        <v>822</v>
      </c>
      <c r="C91" t="s">
        <v>821</v>
      </c>
      <c r="D91" t="s">
        <v>21</v>
      </c>
      <c r="E91" t="s">
        <v>25</v>
      </c>
      <c r="G91" s="2">
        <v>46300.520833333336</v>
      </c>
      <c r="H91" s="2">
        <v>46302.541666666664</v>
      </c>
      <c r="I91" s="1">
        <v>46211</v>
      </c>
      <c r="J91" t="s">
        <v>1698</v>
      </c>
      <c r="K91" t="s">
        <v>821</v>
      </c>
      <c r="L91" t="s">
        <v>2519</v>
      </c>
    </row>
    <row r="92" spans="1:13">
      <c r="A92" t="s">
        <v>809</v>
      </c>
      <c r="B92" t="s">
        <v>826</v>
      </c>
      <c r="C92" t="s">
        <v>825</v>
      </c>
      <c r="D92" t="s">
        <v>21</v>
      </c>
      <c r="E92" t="s">
        <v>22</v>
      </c>
      <c r="F92">
        <v>2</v>
      </c>
      <c r="G92" s="2">
        <v>46218.520833333336</v>
      </c>
      <c r="H92" s="2">
        <v>46220.541666666664</v>
      </c>
      <c r="I92" s="1">
        <v>46216</v>
      </c>
      <c r="J92" t="s">
        <v>1698</v>
      </c>
      <c r="K92" t="s">
        <v>825</v>
      </c>
      <c r="L92" t="s">
        <v>2520</v>
      </c>
    </row>
    <row r="93" spans="1:13">
      <c r="A93" t="s">
        <v>1163</v>
      </c>
      <c r="B93" t="s">
        <v>1834</v>
      </c>
      <c r="C93" t="s">
        <v>1835</v>
      </c>
      <c r="D93" t="s">
        <v>21</v>
      </c>
      <c r="E93" t="s">
        <v>25</v>
      </c>
      <c r="I93" s="1">
        <v>46205</v>
      </c>
      <c r="J93" t="s">
        <v>1698</v>
      </c>
      <c r="K93" t="s">
        <v>2521</v>
      </c>
    </row>
    <row r="94" spans="1:13">
      <c r="A94" t="s">
        <v>1163</v>
      </c>
      <c r="B94" t="s">
        <v>1814</v>
      </c>
      <c r="C94" t="s">
        <v>1815</v>
      </c>
      <c r="D94" t="s">
        <v>21</v>
      </c>
      <c r="E94" t="s">
        <v>22</v>
      </c>
      <c r="F94">
        <v>29</v>
      </c>
      <c r="G94" s="2">
        <v>46311.395833333336</v>
      </c>
      <c r="H94" s="2">
        <v>46311.520833333336</v>
      </c>
      <c r="I94" s="1">
        <v>46210</v>
      </c>
      <c r="J94" t="s">
        <v>1795</v>
      </c>
      <c r="K94" t="s">
        <v>2522</v>
      </c>
    </row>
    <row r="95" spans="1:13">
      <c r="A95" t="s">
        <v>1163</v>
      </c>
      <c r="B95" t="s">
        <v>1812</v>
      </c>
      <c r="C95" t="s">
        <v>1813</v>
      </c>
      <c r="D95" t="s">
        <v>21</v>
      </c>
      <c r="E95" t="s">
        <v>22</v>
      </c>
      <c r="F95">
        <v>71</v>
      </c>
      <c r="G95" s="2">
        <v>46183.395833333336</v>
      </c>
      <c r="H95" s="2">
        <v>46183.521527777775</v>
      </c>
      <c r="I95" s="1">
        <v>46210</v>
      </c>
      <c r="J95" t="s">
        <v>1795</v>
      </c>
      <c r="K95" t="s">
        <v>2523</v>
      </c>
    </row>
    <row r="96" spans="1:13">
      <c r="A96" t="s">
        <v>1163</v>
      </c>
      <c r="B96" t="s">
        <v>1818</v>
      </c>
      <c r="C96" t="s">
        <v>1819</v>
      </c>
      <c r="D96" t="s">
        <v>21</v>
      </c>
      <c r="E96" t="s">
        <v>22</v>
      </c>
      <c r="F96">
        <v>59</v>
      </c>
      <c r="G96" s="2">
        <v>46108.395833333336</v>
      </c>
      <c r="H96" s="2">
        <v>46108.520833333336</v>
      </c>
      <c r="I96" s="1">
        <v>46210</v>
      </c>
      <c r="J96" t="s">
        <v>1795</v>
      </c>
      <c r="K96" t="s">
        <v>2524</v>
      </c>
      <c r="L96" t="s">
        <v>2458</v>
      </c>
      <c r="M96" s="210" t="s">
        <v>2476</v>
      </c>
    </row>
    <row r="97" spans="1:12">
      <c r="A97" t="s">
        <v>809</v>
      </c>
      <c r="B97" t="s">
        <v>820</v>
      </c>
      <c r="C97" t="s">
        <v>819</v>
      </c>
      <c r="D97" t="s">
        <v>21</v>
      </c>
      <c r="E97" t="s">
        <v>22</v>
      </c>
      <c r="F97">
        <v>7</v>
      </c>
      <c r="G97" s="2">
        <v>46202.520833333336</v>
      </c>
      <c r="H97" s="2">
        <v>46204.541666666664</v>
      </c>
      <c r="I97" s="1">
        <v>46205</v>
      </c>
      <c r="J97" t="s">
        <v>1698</v>
      </c>
      <c r="K97" t="s">
        <v>819</v>
      </c>
      <c r="L97" t="s">
        <v>2520</v>
      </c>
    </row>
    <row r="98" spans="1:12">
      <c r="A98" t="s">
        <v>809</v>
      </c>
      <c r="B98" t="s">
        <v>810</v>
      </c>
      <c r="C98" t="s">
        <v>808</v>
      </c>
      <c r="D98" t="s">
        <v>21</v>
      </c>
      <c r="E98" t="s">
        <v>22</v>
      </c>
      <c r="F98">
        <v>51</v>
      </c>
      <c r="G98" s="2">
        <v>46356.520833333336</v>
      </c>
      <c r="H98" s="2">
        <v>46358.541666666664</v>
      </c>
      <c r="I98" s="1">
        <v>46212</v>
      </c>
      <c r="J98" t="s">
        <v>1698</v>
      </c>
      <c r="K98" t="s">
        <v>808</v>
      </c>
      <c r="L98" t="s">
        <v>2515</v>
      </c>
    </row>
    <row r="99" spans="1:12">
      <c r="A99" t="s">
        <v>809</v>
      </c>
      <c r="B99" t="s">
        <v>814</v>
      </c>
      <c r="C99" t="s">
        <v>813</v>
      </c>
      <c r="D99" t="s">
        <v>21</v>
      </c>
      <c r="E99" t="s">
        <v>22</v>
      </c>
      <c r="F99">
        <v>7</v>
      </c>
      <c r="G99" s="2">
        <v>46349.520833333336</v>
      </c>
      <c r="H99" s="2">
        <v>46351.541666666664</v>
      </c>
      <c r="I99" s="1">
        <v>46211</v>
      </c>
      <c r="J99" t="s">
        <v>1698</v>
      </c>
      <c r="K99" t="s">
        <v>813</v>
      </c>
      <c r="L99" t="s">
        <v>2519</v>
      </c>
    </row>
    <row r="100" spans="1:12">
      <c r="A100" t="s">
        <v>2417</v>
      </c>
      <c r="B100" t="s">
        <v>427</v>
      </c>
      <c r="C100" t="s">
        <v>425</v>
      </c>
      <c r="D100" t="s">
        <v>21</v>
      </c>
      <c r="E100" t="s">
        <v>22</v>
      </c>
      <c r="F100">
        <v>38</v>
      </c>
      <c r="G100" s="2">
        <v>46191.645833333336</v>
      </c>
      <c r="H100" s="2">
        <v>46191.708333333336</v>
      </c>
      <c r="I100" s="1">
        <v>46216</v>
      </c>
      <c r="J100" t="s">
        <v>1698</v>
      </c>
      <c r="K100" t="s">
        <v>425</v>
      </c>
      <c r="L100" t="s">
        <v>2474</v>
      </c>
    </row>
    <row r="101" spans="1:12">
      <c r="A101" t="s">
        <v>693</v>
      </c>
      <c r="B101" t="s">
        <v>738</v>
      </c>
      <c r="C101" t="s">
        <v>737</v>
      </c>
      <c r="D101" t="s">
        <v>21</v>
      </c>
      <c r="E101" t="s">
        <v>22</v>
      </c>
      <c r="F101">
        <v>38</v>
      </c>
      <c r="G101" s="2">
        <v>46373.416666666664</v>
      </c>
      <c r="H101" s="2">
        <v>46373.5</v>
      </c>
      <c r="I101" s="1">
        <v>46212</v>
      </c>
      <c r="J101" t="s">
        <v>1698</v>
      </c>
      <c r="K101" t="s">
        <v>2525</v>
      </c>
      <c r="L101" t="s">
        <v>2489</v>
      </c>
    </row>
    <row r="102" spans="1:12">
      <c r="A102" t="s">
        <v>2417</v>
      </c>
      <c r="B102" t="s">
        <v>437</v>
      </c>
      <c r="C102" t="s">
        <v>436</v>
      </c>
      <c r="D102" t="s">
        <v>21</v>
      </c>
      <c r="E102" t="s">
        <v>22</v>
      </c>
      <c r="F102">
        <v>55</v>
      </c>
      <c r="G102" s="2">
        <v>46286.5625</v>
      </c>
      <c r="H102" s="2">
        <v>46286.625</v>
      </c>
      <c r="I102" s="1">
        <v>46217</v>
      </c>
      <c r="J102" t="s">
        <v>1698</v>
      </c>
      <c r="K102" t="s">
        <v>436</v>
      </c>
      <c r="L102" t="s">
        <v>2474</v>
      </c>
    </row>
    <row r="103" spans="1:12">
      <c r="A103" t="s">
        <v>950</v>
      </c>
      <c r="B103" t="s">
        <v>2526</v>
      </c>
      <c r="C103" t="s">
        <v>960</v>
      </c>
      <c r="D103" t="s">
        <v>21</v>
      </c>
      <c r="E103" t="s">
        <v>22</v>
      </c>
      <c r="F103">
        <v>13</v>
      </c>
      <c r="G103" s="2">
        <v>46315.708333333336</v>
      </c>
      <c r="H103" s="2">
        <v>46315.770833333336</v>
      </c>
      <c r="I103" s="1">
        <v>46190</v>
      </c>
      <c r="J103" t="s">
        <v>1698</v>
      </c>
      <c r="K103" t="s">
        <v>960</v>
      </c>
      <c r="L103" t="s">
        <v>2527</v>
      </c>
    </row>
    <row r="104" spans="1:12">
      <c r="A104" t="s">
        <v>2417</v>
      </c>
      <c r="B104" t="s">
        <v>435</v>
      </c>
      <c r="C104" t="s">
        <v>434</v>
      </c>
      <c r="D104" t="s">
        <v>21</v>
      </c>
      <c r="E104" t="s">
        <v>22</v>
      </c>
      <c r="F104">
        <v>41</v>
      </c>
      <c r="G104" s="2">
        <v>46191.5625</v>
      </c>
      <c r="H104" s="2">
        <v>46191.625</v>
      </c>
      <c r="I104" s="1">
        <v>46191</v>
      </c>
      <c r="J104" t="s">
        <v>1698</v>
      </c>
      <c r="K104" t="s">
        <v>434</v>
      </c>
      <c r="L104" t="s">
        <v>2474</v>
      </c>
    </row>
    <row r="105" spans="1:12">
      <c r="A105" t="s">
        <v>255</v>
      </c>
      <c r="B105" t="s">
        <v>272</v>
      </c>
      <c r="C105" t="s">
        <v>271</v>
      </c>
      <c r="D105" t="s">
        <v>21</v>
      </c>
      <c r="E105" t="s">
        <v>22</v>
      </c>
      <c r="F105">
        <v>118</v>
      </c>
      <c r="G105" s="2">
        <v>46185.416666666664</v>
      </c>
      <c r="H105" s="2">
        <v>46185.479166666664</v>
      </c>
      <c r="I105" s="1">
        <v>46216</v>
      </c>
      <c r="J105" t="s">
        <v>1698</v>
      </c>
      <c r="K105" t="s">
        <v>271</v>
      </c>
      <c r="L105" t="s">
        <v>2501</v>
      </c>
    </row>
    <row r="106" spans="1:12">
      <c r="A106" t="s">
        <v>2417</v>
      </c>
      <c r="B106" t="s">
        <v>433</v>
      </c>
      <c r="C106" t="s">
        <v>432</v>
      </c>
      <c r="D106" t="s">
        <v>21</v>
      </c>
      <c r="E106" t="s">
        <v>22</v>
      </c>
      <c r="F106">
        <v>35</v>
      </c>
      <c r="G106" s="2">
        <v>46286.645833333336</v>
      </c>
      <c r="H106" s="2">
        <v>46286.708333333336</v>
      </c>
      <c r="I106" s="1">
        <v>46217</v>
      </c>
      <c r="J106" t="s">
        <v>1698</v>
      </c>
      <c r="K106" t="s">
        <v>432</v>
      </c>
      <c r="L106" t="s">
        <v>2474</v>
      </c>
    </row>
    <row r="107" spans="1:12">
      <c r="A107" t="s">
        <v>1163</v>
      </c>
      <c r="B107" t="s">
        <v>1824</v>
      </c>
      <c r="C107" t="s">
        <v>1825</v>
      </c>
      <c r="D107" t="s">
        <v>21</v>
      </c>
      <c r="E107" t="s">
        <v>22</v>
      </c>
      <c r="F107">
        <v>23</v>
      </c>
      <c r="G107" s="2">
        <v>46314.395833333336</v>
      </c>
      <c r="H107" s="2">
        <v>46315.541666666664</v>
      </c>
      <c r="I107" s="1">
        <v>46210</v>
      </c>
      <c r="J107" t="s">
        <v>1746</v>
      </c>
      <c r="K107" t="s">
        <v>2528</v>
      </c>
    </row>
    <row r="108" spans="1:12">
      <c r="A108" t="s">
        <v>476</v>
      </c>
      <c r="B108" t="s">
        <v>1757</v>
      </c>
      <c r="C108" t="s">
        <v>1119</v>
      </c>
      <c r="D108" t="s">
        <v>16</v>
      </c>
      <c r="G108" t="s">
        <v>17</v>
      </c>
      <c r="I108" s="1">
        <v>46199</v>
      </c>
      <c r="J108" t="s">
        <v>1698</v>
      </c>
      <c r="K108" t="s">
        <v>480</v>
      </c>
    </row>
    <row r="109" spans="1:12">
      <c r="A109" t="s">
        <v>476</v>
      </c>
      <c r="B109" t="s">
        <v>1120</v>
      </c>
      <c r="C109" t="s">
        <v>1121</v>
      </c>
      <c r="D109" t="s">
        <v>16</v>
      </c>
      <c r="G109" t="s">
        <v>17</v>
      </c>
      <c r="I109" s="1">
        <v>45963</v>
      </c>
      <c r="J109" t="s">
        <v>1698</v>
      </c>
      <c r="K109" t="s">
        <v>488</v>
      </c>
    </row>
    <row r="110" spans="1:12">
      <c r="A110" t="s">
        <v>693</v>
      </c>
      <c r="B110" t="s">
        <v>780</v>
      </c>
      <c r="C110" t="s">
        <v>779</v>
      </c>
      <c r="D110" t="s">
        <v>21</v>
      </c>
      <c r="E110" t="s">
        <v>22</v>
      </c>
      <c r="F110">
        <v>76</v>
      </c>
      <c r="G110" s="2">
        <v>46374.395833333336</v>
      </c>
      <c r="H110" s="2">
        <v>46374.541666666664</v>
      </c>
      <c r="I110" s="1">
        <v>46212</v>
      </c>
      <c r="J110" t="s">
        <v>1698</v>
      </c>
      <c r="K110" t="s">
        <v>2529</v>
      </c>
      <c r="L110" t="s">
        <v>2489</v>
      </c>
    </row>
    <row r="111" spans="1:12">
      <c r="A111" t="s">
        <v>693</v>
      </c>
      <c r="B111" t="s">
        <v>720</v>
      </c>
      <c r="C111" t="s">
        <v>719</v>
      </c>
      <c r="D111" t="s">
        <v>21</v>
      </c>
      <c r="E111" t="s">
        <v>22</v>
      </c>
      <c r="F111">
        <v>26</v>
      </c>
      <c r="G111" s="2">
        <v>46309.416666666664</v>
      </c>
      <c r="H111" s="2">
        <v>46309.729166666664</v>
      </c>
      <c r="I111" s="1">
        <v>46217</v>
      </c>
      <c r="J111" t="s">
        <v>1698</v>
      </c>
      <c r="K111" t="s">
        <v>719</v>
      </c>
      <c r="L111" t="s">
        <v>2490</v>
      </c>
    </row>
    <row r="112" spans="1:12">
      <c r="A112" t="s">
        <v>545</v>
      </c>
      <c r="B112" t="s">
        <v>1147</v>
      </c>
      <c r="C112" t="s">
        <v>1148</v>
      </c>
      <c r="D112" t="s">
        <v>21</v>
      </c>
      <c r="E112" t="s">
        <v>22</v>
      </c>
      <c r="F112">
        <v>52</v>
      </c>
      <c r="G112" s="2">
        <v>46321.375</v>
      </c>
      <c r="H112" s="2">
        <v>46322.6875</v>
      </c>
      <c r="I112" s="1">
        <v>46217</v>
      </c>
      <c r="J112" t="s">
        <v>1698</v>
      </c>
      <c r="K112" t="s">
        <v>1148</v>
      </c>
      <c r="L112" t="s">
        <v>2491</v>
      </c>
    </row>
    <row r="113" spans="1:13">
      <c r="A113" t="s">
        <v>584</v>
      </c>
      <c r="B113" t="s">
        <v>589</v>
      </c>
      <c r="C113" t="s">
        <v>588</v>
      </c>
      <c r="D113" t="s">
        <v>21</v>
      </c>
      <c r="E113" t="s">
        <v>22</v>
      </c>
      <c r="F113">
        <v>9</v>
      </c>
      <c r="G113" s="2">
        <v>46288.375</v>
      </c>
      <c r="H113" s="2">
        <v>46288.708333333336</v>
      </c>
      <c r="I113" s="1">
        <v>46211</v>
      </c>
      <c r="J113" t="s">
        <v>1698</v>
      </c>
      <c r="K113" t="s">
        <v>588</v>
      </c>
      <c r="L113" t="s">
        <v>2491</v>
      </c>
    </row>
    <row r="114" spans="1:13">
      <c r="A114" t="s">
        <v>1163</v>
      </c>
      <c r="B114" t="s">
        <v>1804</v>
      </c>
      <c r="C114" t="s">
        <v>1805</v>
      </c>
      <c r="D114" t="s">
        <v>21</v>
      </c>
      <c r="E114" t="s">
        <v>22</v>
      </c>
      <c r="F114">
        <v>30</v>
      </c>
      <c r="G114" s="2">
        <v>46129.395833333336</v>
      </c>
      <c r="H114" s="2">
        <v>46129.541666666664</v>
      </c>
      <c r="I114" s="1">
        <v>46191</v>
      </c>
      <c r="J114" t="s">
        <v>1779</v>
      </c>
      <c r="K114" t="s">
        <v>2530</v>
      </c>
    </row>
    <row r="115" spans="1:13">
      <c r="A115" t="s">
        <v>1163</v>
      </c>
      <c r="B115" t="s">
        <v>1802</v>
      </c>
      <c r="C115" t="s">
        <v>1803</v>
      </c>
      <c r="D115" t="s">
        <v>21</v>
      </c>
      <c r="E115" t="s">
        <v>22</v>
      </c>
      <c r="F115">
        <v>9</v>
      </c>
      <c r="G115" s="2">
        <v>46185.395833333336</v>
      </c>
      <c r="H115" s="2">
        <v>46185.541666666664</v>
      </c>
      <c r="I115" s="1">
        <v>46176</v>
      </c>
      <c r="J115" t="s">
        <v>1795</v>
      </c>
      <c r="K115" t="s">
        <v>2531</v>
      </c>
    </row>
    <row r="116" spans="1:13">
      <c r="A116" t="s">
        <v>950</v>
      </c>
      <c r="B116" t="s">
        <v>965</v>
      </c>
      <c r="C116" t="s">
        <v>964</v>
      </c>
      <c r="D116" t="s">
        <v>21</v>
      </c>
      <c r="E116" t="s">
        <v>22</v>
      </c>
      <c r="F116">
        <v>29</v>
      </c>
      <c r="G116" s="2">
        <v>46356.59375</v>
      </c>
      <c r="H116" s="2">
        <v>46356.739583333336</v>
      </c>
      <c r="I116" s="1">
        <v>46216</v>
      </c>
      <c r="J116" t="s">
        <v>1698</v>
      </c>
      <c r="K116" t="s">
        <v>964</v>
      </c>
      <c r="L116" t="s">
        <v>2532</v>
      </c>
    </row>
    <row r="117" spans="1:13">
      <c r="A117" t="s">
        <v>545</v>
      </c>
      <c r="B117" t="s">
        <v>1145</v>
      </c>
      <c r="C117" t="s">
        <v>1146</v>
      </c>
      <c r="D117" t="s">
        <v>21</v>
      </c>
      <c r="E117" t="s">
        <v>22</v>
      </c>
      <c r="F117">
        <v>44</v>
      </c>
      <c r="G117" s="2">
        <v>46343.375</v>
      </c>
      <c r="H117" s="2">
        <v>46343.708333333336</v>
      </c>
      <c r="I117" s="1">
        <v>46213</v>
      </c>
      <c r="J117" t="s">
        <v>1698</v>
      </c>
      <c r="K117" t="s">
        <v>1146</v>
      </c>
      <c r="L117" t="s">
        <v>2533</v>
      </c>
    </row>
    <row r="118" spans="1:13">
      <c r="A118" t="s">
        <v>584</v>
      </c>
      <c r="B118" t="s">
        <v>591</v>
      </c>
      <c r="C118" t="s">
        <v>1157</v>
      </c>
      <c r="D118" t="s">
        <v>21</v>
      </c>
      <c r="E118" t="s">
        <v>22</v>
      </c>
      <c r="F118">
        <v>98</v>
      </c>
      <c r="G118" s="2">
        <v>46343.375</v>
      </c>
      <c r="H118" s="2">
        <v>46343.708333333336</v>
      </c>
      <c r="I118" s="1">
        <v>46213</v>
      </c>
      <c r="J118" t="s">
        <v>1698</v>
      </c>
      <c r="K118" t="s">
        <v>1157</v>
      </c>
      <c r="L118" t="s">
        <v>2491</v>
      </c>
    </row>
    <row r="119" spans="1:13">
      <c r="A119" t="s">
        <v>560</v>
      </c>
      <c r="B119" t="s">
        <v>1778</v>
      </c>
      <c r="C119" t="s">
        <v>559</v>
      </c>
      <c r="D119" t="s">
        <v>21</v>
      </c>
      <c r="E119" t="s">
        <v>22</v>
      </c>
      <c r="F119">
        <v>26</v>
      </c>
      <c r="G119" s="2">
        <v>46323.375</v>
      </c>
      <c r="H119" s="2">
        <v>46323.708333333336</v>
      </c>
      <c r="I119" s="1">
        <v>46211</v>
      </c>
      <c r="J119" t="s">
        <v>1698</v>
      </c>
      <c r="K119" t="s">
        <v>559</v>
      </c>
      <c r="L119" t="s">
        <v>2533</v>
      </c>
    </row>
    <row r="120" spans="1:13">
      <c r="A120" t="s">
        <v>693</v>
      </c>
      <c r="B120" t="s">
        <v>778</v>
      </c>
      <c r="C120" t="s">
        <v>777</v>
      </c>
      <c r="D120" t="s">
        <v>21</v>
      </c>
      <c r="E120" t="s">
        <v>22</v>
      </c>
      <c r="F120">
        <v>25</v>
      </c>
      <c r="G120" s="2">
        <v>46332.395833333336</v>
      </c>
      <c r="H120" s="2">
        <v>46332.541666666664</v>
      </c>
      <c r="I120" s="1">
        <v>46212</v>
      </c>
      <c r="J120" t="s">
        <v>1698</v>
      </c>
      <c r="K120" t="s">
        <v>2534</v>
      </c>
      <c r="L120" t="s">
        <v>2489</v>
      </c>
    </row>
    <row r="121" spans="1:13">
      <c r="A121" t="s">
        <v>693</v>
      </c>
      <c r="B121" t="s">
        <v>776</v>
      </c>
      <c r="C121" t="s">
        <v>775</v>
      </c>
      <c r="D121" t="s">
        <v>21</v>
      </c>
      <c r="E121" t="s">
        <v>22</v>
      </c>
      <c r="F121">
        <v>54</v>
      </c>
      <c r="G121" s="2">
        <v>45979.395833333336</v>
      </c>
      <c r="H121" s="2">
        <v>45979.520833333336</v>
      </c>
      <c r="I121" s="1">
        <v>46184</v>
      </c>
      <c r="J121" t="s">
        <v>1698</v>
      </c>
      <c r="K121" t="s">
        <v>2535</v>
      </c>
      <c r="L121" t="s">
        <v>2489</v>
      </c>
      <c r="M121" s="210" t="s">
        <v>2476</v>
      </c>
    </row>
    <row r="122" spans="1:13">
      <c r="A122" t="s">
        <v>693</v>
      </c>
      <c r="B122" t="s">
        <v>706</v>
      </c>
      <c r="C122" t="s">
        <v>705</v>
      </c>
      <c r="D122" t="s">
        <v>21</v>
      </c>
      <c r="E122" t="s">
        <v>22</v>
      </c>
      <c r="F122">
        <v>13</v>
      </c>
      <c r="G122" s="2">
        <v>46352.583333333336</v>
      </c>
      <c r="H122" s="2">
        <v>46352.729166666664</v>
      </c>
      <c r="I122" s="1">
        <v>46190</v>
      </c>
      <c r="J122" t="s">
        <v>1698</v>
      </c>
      <c r="K122" t="s">
        <v>705</v>
      </c>
      <c r="L122" t="s">
        <v>2490</v>
      </c>
    </row>
    <row r="123" spans="1:13">
      <c r="A123" t="s">
        <v>2415</v>
      </c>
      <c r="B123" t="s">
        <v>398</v>
      </c>
      <c r="C123" t="s">
        <v>397</v>
      </c>
      <c r="D123" t="s">
        <v>21</v>
      </c>
      <c r="E123" t="s">
        <v>22</v>
      </c>
      <c r="F123">
        <v>219</v>
      </c>
      <c r="G123" s="2">
        <v>46267.375</v>
      </c>
      <c r="H123" s="2">
        <v>46268.708333333336</v>
      </c>
      <c r="I123" s="1">
        <v>46216</v>
      </c>
      <c r="J123" t="s">
        <v>1734</v>
      </c>
      <c r="K123" t="s">
        <v>2536</v>
      </c>
      <c r="L123" t="s">
        <v>2460</v>
      </c>
    </row>
    <row r="124" spans="1:13">
      <c r="A124" t="s">
        <v>1023</v>
      </c>
      <c r="B124" t="s">
        <v>1026</v>
      </c>
      <c r="C124" t="s">
        <v>1027</v>
      </c>
      <c r="D124" t="s">
        <v>21</v>
      </c>
      <c r="E124" t="s">
        <v>22</v>
      </c>
      <c r="F124">
        <v>35</v>
      </c>
      <c r="G124" s="2">
        <v>46198.395833333336</v>
      </c>
      <c r="H124" s="2">
        <v>46198.520833333336</v>
      </c>
      <c r="I124" s="1">
        <v>46198</v>
      </c>
      <c r="J124" t="s">
        <v>1698</v>
      </c>
      <c r="K124" t="s">
        <v>1027</v>
      </c>
      <c r="L124" t="s">
        <v>2537</v>
      </c>
    </row>
    <row r="125" spans="1:13">
      <c r="A125" t="s">
        <v>693</v>
      </c>
      <c r="B125" t="s">
        <v>702</v>
      </c>
      <c r="C125" t="s">
        <v>701</v>
      </c>
      <c r="D125" t="s">
        <v>21</v>
      </c>
      <c r="E125" t="s">
        <v>22</v>
      </c>
      <c r="F125">
        <v>16</v>
      </c>
      <c r="G125" s="2">
        <v>46356.375</v>
      </c>
      <c r="H125" s="2">
        <v>46356.520833333336</v>
      </c>
      <c r="I125" s="1">
        <v>46213</v>
      </c>
      <c r="J125" t="s">
        <v>1698</v>
      </c>
      <c r="K125" t="s">
        <v>701</v>
      </c>
      <c r="L125" t="s">
        <v>2490</v>
      </c>
    </row>
    <row r="126" spans="1:13">
      <c r="A126" t="s">
        <v>54</v>
      </c>
      <c r="B126" t="s">
        <v>63</v>
      </c>
      <c r="C126" t="s">
        <v>1052</v>
      </c>
      <c r="D126" t="s">
        <v>16</v>
      </c>
      <c r="G126" t="s">
        <v>17</v>
      </c>
      <c r="I126" s="1">
        <v>46213</v>
      </c>
      <c r="J126" t="s">
        <v>1698</v>
      </c>
      <c r="K126" t="s">
        <v>62</v>
      </c>
    </row>
    <row r="127" spans="1:13">
      <c r="A127" t="s">
        <v>560</v>
      </c>
      <c r="B127" t="s">
        <v>571</v>
      </c>
      <c r="C127" t="s">
        <v>1152</v>
      </c>
      <c r="D127" t="s">
        <v>21</v>
      </c>
      <c r="E127" t="s">
        <v>22</v>
      </c>
      <c r="F127">
        <v>19</v>
      </c>
      <c r="G127" s="2">
        <v>46267.375</v>
      </c>
      <c r="H127" s="2">
        <v>46267.708333333336</v>
      </c>
      <c r="I127" s="1">
        <v>46213</v>
      </c>
      <c r="J127" t="s">
        <v>1698</v>
      </c>
      <c r="K127" t="s">
        <v>1152</v>
      </c>
      <c r="L127" t="s">
        <v>2533</v>
      </c>
    </row>
    <row r="128" spans="1:13">
      <c r="A128" t="s">
        <v>288</v>
      </c>
      <c r="B128" t="s">
        <v>289</v>
      </c>
      <c r="C128" t="s">
        <v>287</v>
      </c>
      <c r="D128" t="s">
        <v>21</v>
      </c>
      <c r="E128" t="s">
        <v>22</v>
      </c>
      <c r="F128">
        <v>46</v>
      </c>
      <c r="G128" s="2">
        <v>46295.375</v>
      </c>
      <c r="H128" s="2">
        <v>46295.708333333336</v>
      </c>
      <c r="I128" s="1">
        <v>46215</v>
      </c>
      <c r="J128" t="s">
        <v>1698</v>
      </c>
      <c r="K128" t="s">
        <v>287</v>
      </c>
      <c r="L128" t="s">
        <v>2474</v>
      </c>
    </row>
    <row r="129" spans="1:13">
      <c r="A129" t="s">
        <v>898</v>
      </c>
      <c r="B129" t="s">
        <v>913</v>
      </c>
      <c r="C129" t="s">
        <v>912</v>
      </c>
      <c r="D129" t="s">
        <v>21</v>
      </c>
      <c r="E129" t="s">
        <v>22</v>
      </c>
      <c r="F129">
        <v>58</v>
      </c>
      <c r="G129" s="2">
        <v>46147.395833333336</v>
      </c>
      <c r="H129" s="2">
        <v>46147.729166666664</v>
      </c>
      <c r="I129" s="1">
        <v>46188</v>
      </c>
      <c r="J129" t="s">
        <v>1698</v>
      </c>
      <c r="K129" t="s">
        <v>912</v>
      </c>
      <c r="L129" t="s">
        <v>2538</v>
      </c>
    </row>
    <row r="130" spans="1:13">
      <c r="A130" t="s">
        <v>1163</v>
      </c>
      <c r="B130" t="s">
        <v>556</v>
      </c>
      <c r="C130" t="s">
        <v>555</v>
      </c>
      <c r="D130" t="s">
        <v>21</v>
      </c>
      <c r="E130" t="s">
        <v>25</v>
      </c>
      <c r="I130" s="1">
        <v>46209</v>
      </c>
      <c r="J130" t="s">
        <v>1698</v>
      </c>
      <c r="K130" t="s">
        <v>2539</v>
      </c>
    </row>
    <row r="131" spans="1:13">
      <c r="A131" t="s">
        <v>1766</v>
      </c>
      <c r="B131" t="s">
        <v>1771</v>
      </c>
      <c r="C131" t="s">
        <v>597</v>
      </c>
      <c r="D131" t="s">
        <v>21</v>
      </c>
      <c r="E131" t="s">
        <v>22</v>
      </c>
      <c r="F131">
        <v>15</v>
      </c>
      <c r="G131" s="2">
        <v>46336.395833333336</v>
      </c>
      <c r="H131" s="2">
        <v>46336.520833333336</v>
      </c>
      <c r="I131" s="1">
        <v>46216</v>
      </c>
      <c r="J131" t="s">
        <v>1698</v>
      </c>
      <c r="K131" t="s">
        <v>597</v>
      </c>
      <c r="L131" t="s">
        <v>2540</v>
      </c>
    </row>
    <row r="132" spans="1:13">
      <c r="A132" t="s">
        <v>190</v>
      </c>
      <c r="B132" t="s">
        <v>1714</v>
      </c>
      <c r="C132" t="s">
        <v>189</v>
      </c>
      <c r="D132" t="s">
        <v>21</v>
      </c>
      <c r="E132" t="s">
        <v>22</v>
      </c>
      <c r="F132">
        <v>47</v>
      </c>
      <c r="G132" s="2">
        <v>46357.375</v>
      </c>
      <c r="H132" s="2">
        <v>46357.541666666664</v>
      </c>
      <c r="I132" s="1">
        <v>46216</v>
      </c>
      <c r="J132" t="s">
        <v>1698</v>
      </c>
      <c r="K132" t="s">
        <v>189</v>
      </c>
      <c r="L132" t="s">
        <v>2532</v>
      </c>
    </row>
    <row r="133" spans="1:13">
      <c r="A133" t="s">
        <v>1766</v>
      </c>
      <c r="B133" t="s">
        <v>600</v>
      </c>
      <c r="C133" t="s">
        <v>599</v>
      </c>
      <c r="D133" t="s">
        <v>21</v>
      </c>
      <c r="E133" t="s">
        <v>22</v>
      </c>
      <c r="F133">
        <v>16</v>
      </c>
      <c r="G133" s="2">
        <v>46338.4375</v>
      </c>
      <c r="H133" s="2">
        <v>46338.520833333336</v>
      </c>
      <c r="I133" s="1">
        <v>46217</v>
      </c>
      <c r="J133" t="s">
        <v>1698</v>
      </c>
      <c r="K133" t="s">
        <v>599</v>
      </c>
      <c r="L133" t="s">
        <v>2540</v>
      </c>
    </row>
    <row r="134" spans="1:13">
      <c r="A134" t="s">
        <v>809</v>
      </c>
      <c r="B134" t="s">
        <v>812</v>
      </c>
      <c r="C134" t="s">
        <v>811</v>
      </c>
      <c r="D134" t="s">
        <v>21</v>
      </c>
      <c r="E134" t="s">
        <v>22</v>
      </c>
      <c r="F134">
        <v>19</v>
      </c>
      <c r="G134" s="2">
        <v>46363.520833333336</v>
      </c>
      <c r="H134" s="2">
        <v>46365.541666666664</v>
      </c>
      <c r="I134" s="1">
        <v>46210</v>
      </c>
      <c r="J134" t="s">
        <v>1698</v>
      </c>
      <c r="K134" t="s">
        <v>811</v>
      </c>
      <c r="L134" t="s">
        <v>2519</v>
      </c>
    </row>
    <row r="135" spans="1:13">
      <c r="A135" t="s">
        <v>809</v>
      </c>
      <c r="B135" t="s">
        <v>818</v>
      </c>
      <c r="C135" t="s">
        <v>817</v>
      </c>
      <c r="D135" t="s">
        <v>21</v>
      </c>
      <c r="E135" t="s">
        <v>22</v>
      </c>
      <c r="F135">
        <v>2</v>
      </c>
      <c r="G135" s="2">
        <v>45670.520833333336</v>
      </c>
      <c r="H135" s="2">
        <v>45672.583333333336</v>
      </c>
      <c r="I135" s="1">
        <v>45799</v>
      </c>
      <c r="J135" t="s">
        <v>1698</v>
      </c>
      <c r="K135" t="s">
        <v>817</v>
      </c>
      <c r="L135" t="s">
        <v>2520</v>
      </c>
      <c r="M135" s="210" t="s">
        <v>2476</v>
      </c>
    </row>
    <row r="136" spans="1:13">
      <c r="A136" t="s">
        <v>533</v>
      </c>
      <c r="B136" t="s">
        <v>536</v>
      </c>
      <c r="C136" t="s">
        <v>535</v>
      </c>
      <c r="D136" t="s">
        <v>21</v>
      </c>
      <c r="E136" t="s">
        <v>22</v>
      </c>
      <c r="F136">
        <v>82</v>
      </c>
      <c r="G136" s="2">
        <v>46366.583333333336</v>
      </c>
      <c r="H136" s="2">
        <v>46366.645833333336</v>
      </c>
      <c r="I136" s="1">
        <v>46217</v>
      </c>
      <c r="J136" t="s">
        <v>1698</v>
      </c>
      <c r="K136" t="s">
        <v>2541</v>
      </c>
      <c r="L136" t="s">
        <v>2467</v>
      </c>
    </row>
    <row r="137" spans="1:13">
      <c r="A137" t="s">
        <v>533</v>
      </c>
      <c r="B137" t="s">
        <v>540</v>
      </c>
      <c r="C137" t="s">
        <v>539</v>
      </c>
      <c r="D137" t="s">
        <v>21</v>
      </c>
      <c r="E137" t="s">
        <v>22</v>
      </c>
      <c r="F137">
        <v>50</v>
      </c>
      <c r="G137" s="2">
        <v>46371.458333333336</v>
      </c>
      <c r="H137" s="2">
        <v>46371.5</v>
      </c>
      <c r="I137" s="1">
        <v>46217</v>
      </c>
      <c r="J137" t="s">
        <v>1698</v>
      </c>
      <c r="K137" t="s">
        <v>2542</v>
      </c>
      <c r="L137" t="s">
        <v>2467</v>
      </c>
    </row>
    <row r="138" spans="1:13">
      <c r="A138" t="s">
        <v>533</v>
      </c>
      <c r="B138" t="s">
        <v>538</v>
      </c>
      <c r="C138" t="s">
        <v>537</v>
      </c>
      <c r="D138" t="s">
        <v>21</v>
      </c>
      <c r="E138" t="s">
        <v>22</v>
      </c>
      <c r="F138">
        <v>275</v>
      </c>
      <c r="G138" s="2">
        <v>46364.583333333336</v>
      </c>
      <c r="H138" s="2">
        <v>46364.666666666664</v>
      </c>
      <c r="I138" s="1">
        <v>46217</v>
      </c>
      <c r="J138" t="s">
        <v>1698</v>
      </c>
      <c r="K138" t="s">
        <v>2543</v>
      </c>
      <c r="L138" t="s">
        <v>2467</v>
      </c>
    </row>
    <row r="139" spans="1:13">
      <c r="A139" t="s">
        <v>388</v>
      </c>
      <c r="B139" t="s">
        <v>414</v>
      </c>
      <c r="C139" t="s">
        <v>413</v>
      </c>
      <c r="D139" t="s">
        <v>16</v>
      </c>
      <c r="G139" t="s">
        <v>17</v>
      </c>
      <c r="I139" s="1">
        <v>46212</v>
      </c>
      <c r="J139" t="s">
        <v>1698</v>
      </c>
      <c r="K139" t="s">
        <v>2544</v>
      </c>
    </row>
    <row r="140" spans="1:13">
      <c r="A140" t="s">
        <v>560</v>
      </c>
      <c r="B140" t="s">
        <v>579</v>
      </c>
      <c r="C140" t="s">
        <v>580</v>
      </c>
      <c r="D140" t="s">
        <v>21</v>
      </c>
      <c r="E140" t="s">
        <v>22</v>
      </c>
      <c r="F140">
        <v>18</v>
      </c>
      <c r="G140" s="2">
        <v>46185.375</v>
      </c>
      <c r="H140" s="2">
        <v>46185.708333333336</v>
      </c>
      <c r="I140" s="1">
        <v>46212</v>
      </c>
      <c r="J140" t="s">
        <v>1698</v>
      </c>
      <c r="K140" t="s">
        <v>580</v>
      </c>
      <c r="L140" t="s">
        <v>2533</v>
      </c>
    </row>
    <row r="141" spans="1:13">
      <c r="A141" t="s">
        <v>950</v>
      </c>
      <c r="B141" t="s">
        <v>967</v>
      </c>
      <c r="C141" t="s">
        <v>966</v>
      </c>
      <c r="D141" t="s">
        <v>21</v>
      </c>
      <c r="E141" t="s">
        <v>22</v>
      </c>
      <c r="F141">
        <v>19</v>
      </c>
      <c r="G141" s="2">
        <v>46190.583333333336</v>
      </c>
      <c r="H141" s="2">
        <v>46190.645833333336</v>
      </c>
      <c r="I141" s="1">
        <v>46209</v>
      </c>
      <c r="J141" t="s">
        <v>1698</v>
      </c>
      <c r="K141" t="s">
        <v>966</v>
      </c>
      <c r="L141" t="s">
        <v>2545</v>
      </c>
    </row>
    <row r="142" spans="1:13">
      <c r="A142" t="s">
        <v>324</v>
      </c>
      <c r="B142" t="s">
        <v>332</v>
      </c>
      <c r="C142" t="s">
        <v>331</v>
      </c>
      <c r="D142" t="s">
        <v>21</v>
      </c>
      <c r="E142" t="s">
        <v>22</v>
      </c>
      <c r="F142">
        <v>40</v>
      </c>
      <c r="G142" s="2">
        <v>46309.395833333336</v>
      </c>
      <c r="H142" s="2">
        <v>46309.489583333336</v>
      </c>
      <c r="I142" s="1">
        <v>46217</v>
      </c>
      <c r="J142" t="s">
        <v>1698</v>
      </c>
      <c r="K142" t="s">
        <v>331</v>
      </c>
      <c r="L142" t="s">
        <v>2546</v>
      </c>
    </row>
    <row r="143" spans="1:13">
      <c r="A143" t="s">
        <v>255</v>
      </c>
      <c r="B143" t="s">
        <v>278</v>
      </c>
      <c r="C143" t="s">
        <v>277</v>
      </c>
      <c r="D143" t="s">
        <v>21</v>
      </c>
      <c r="E143" t="s">
        <v>22</v>
      </c>
      <c r="F143">
        <v>54</v>
      </c>
      <c r="G143" s="2">
        <v>46336.416666666664</v>
      </c>
      <c r="H143" s="2">
        <v>46336.479166666664</v>
      </c>
      <c r="I143" s="1">
        <v>46206</v>
      </c>
      <c r="J143" t="s">
        <v>1698</v>
      </c>
      <c r="K143" t="s">
        <v>277</v>
      </c>
      <c r="L143" t="s">
        <v>2501</v>
      </c>
    </row>
    <row r="144" spans="1:13">
      <c r="A144" t="s">
        <v>19</v>
      </c>
      <c r="B144" t="s">
        <v>20</v>
      </c>
      <c r="C144" t="s">
        <v>18</v>
      </c>
      <c r="D144" t="s">
        <v>21</v>
      </c>
      <c r="E144" t="s">
        <v>22</v>
      </c>
      <c r="F144">
        <v>31</v>
      </c>
      <c r="G144" s="2">
        <v>45923.375</v>
      </c>
      <c r="H144" s="2">
        <v>45923.541666666664</v>
      </c>
      <c r="I144" s="1">
        <v>46202</v>
      </c>
      <c r="J144" t="s">
        <v>1698</v>
      </c>
      <c r="K144" t="s">
        <v>2547</v>
      </c>
      <c r="L144" t="s">
        <v>2471</v>
      </c>
      <c r="M144" s="210" t="s">
        <v>2476</v>
      </c>
    </row>
    <row r="145" spans="1:13">
      <c r="A145" t="s">
        <v>890</v>
      </c>
      <c r="B145" t="s">
        <v>893</v>
      </c>
      <c r="C145" t="s">
        <v>892</v>
      </c>
      <c r="D145" t="s">
        <v>16</v>
      </c>
      <c r="G145" t="s">
        <v>17</v>
      </c>
      <c r="I145" s="1">
        <v>46190</v>
      </c>
      <c r="J145" t="s">
        <v>1698</v>
      </c>
      <c r="K145" t="s">
        <v>2548</v>
      </c>
    </row>
    <row r="146" spans="1:13">
      <c r="A146" t="s">
        <v>693</v>
      </c>
      <c r="B146" t="s">
        <v>1839</v>
      </c>
      <c r="C146" t="s">
        <v>715</v>
      </c>
      <c r="D146" t="s">
        <v>21</v>
      </c>
      <c r="E146" t="s">
        <v>22</v>
      </c>
      <c r="F146">
        <v>37</v>
      </c>
      <c r="G146" s="2">
        <v>45944.375</v>
      </c>
      <c r="H146" s="2">
        <v>45944.520833333336</v>
      </c>
      <c r="I146" s="1">
        <v>46140</v>
      </c>
      <c r="J146" t="s">
        <v>1698</v>
      </c>
      <c r="K146" t="s">
        <v>715</v>
      </c>
      <c r="L146" t="s">
        <v>2549</v>
      </c>
      <c r="M146" s="210" t="s">
        <v>2476</v>
      </c>
    </row>
    <row r="147" spans="1:13">
      <c r="A147" t="s">
        <v>1163</v>
      </c>
      <c r="B147" t="s">
        <v>1798</v>
      </c>
      <c r="C147" t="s">
        <v>1799</v>
      </c>
      <c r="D147" t="s">
        <v>21</v>
      </c>
      <c r="E147" t="s">
        <v>22</v>
      </c>
      <c r="F147">
        <v>29</v>
      </c>
      <c r="G147" s="2">
        <v>46308.416666666664</v>
      </c>
      <c r="H147" s="2">
        <v>46308.458333333336</v>
      </c>
      <c r="I147" s="1">
        <v>46210</v>
      </c>
      <c r="J147" t="s">
        <v>1698</v>
      </c>
      <c r="K147" t="s">
        <v>2550</v>
      </c>
      <c r="L147" t="s">
        <v>2458</v>
      </c>
    </row>
    <row r="148" spans="1:13">
      <c r="A148" t="s">
        <v>54</v>
      </c>
      <c r="B148" t="s">
        <v>1057</v>
      </c>
      <c r="C148" t="s">
        <v>60</v>
      </c>
      <c r="D148" t="s">
        <v>21</v>
      </c>
      <c r="E148" t="s">
        <v>22</v>
      </c>
      <c r="F148">
        <v>17</v>
      </c>
      <c r="G148" s="2">
        <v>46280.427083333336</v>
      </c>
      <c r="H148" s="2">
        <v>46280.479166666664</v>
      </c>
      <c r="I148" s="1">
        <v>46211</v>
      </c>
      <c r="J148" t="s">
        <v>1698</v>
      </c>
      <c r="K148" t="s">
        <v>60</v>
      </c>
      <c r="L148" t="s">
        <v>2474</v>
      </c>
    </row>
    <row r="149" spans="1:13">
      <c r="A149" t="s">
        <v>649</v>
      </c>
      <c r="B149" t="s">
        <v>656</v>
      </c>
      <c r="C149" t="s">
        <v>655</v>
      </c>
      <c r="D149" t="s">
        <v>21</v>
      </c>
      <c r="E149" t="s">
        <v>22</v>
      </c>
      <c r="F149">
        <v>43</v>
      </c>
      <c r="G149" s="2">
        <v>46344.458333333336</v>
      </c>
      <c r="H149" s="2">
        <v>46344.5</v>
      </c>
      <c r="I149" s="1">
        <v>46198</v>
      </c>
      <c r="J149" t="s">
        <v>1698</v>
      </c>
      <c r="K149" t="s">
        <v>2551</v>
      </c>
      <c r="L149" t="s">
        <v>2462</v>
      </c>
    </row>
    <row r="150" spans="1:13">
      <c r="A150" t="s">
        <v>693</v>
      </c>
      <c r="B150" t="s">
        <v>732</v>
      </c>
      <c r="C150" t="s">
        <v>731</v>
      </c>
      <c r="D150" t="s">
        <v>21</v>
      </c>
      <c r="E150" t="s">
        <v>22</v>
      </c>
      <c r="F150">
        <v>117</v>
      </c>
      <c r="G150" s="2">
        <v>46198.385416666664</v>
      </c>
      <c r="H150" s="2">
        <v>46198.708333333336</v>
      </c>
      <c r="I150" s="1">
        <v>46211</v>
      </c>
      <c r="J150" t="s">
        <v>1729</v>
      </c>
      <c r="K150" t="s">
        <v>2552</v>
      </c>
      <c r="L150" t="s">
        <v>2462</v>
      </c>
    </row>
    <row r="151" spans="1:13">
      <c r="A151" t="s">
        <v>693</v>
      </c>
      <c r="B151" t="s">
        <v>734</v>
      </c>
      <c r="C151" t="s">
        <v>733</v>
      </c>
      <c r="D151" t="s">
        <v>21</v>
      </c>
      <c r="E151" t="s">
        <v>22</v>
      </c>
      <c r="F151">
        <v>113</v>
      </c>
      <c r="G151" s="2">
        <v>46163.385416666664</v>
      </c>
      <c r="H151" s="2">
        <v>46163.708333333336</v>
      </c>
      <c r="I151" s="1">
        <v>46211</v>
      </c>
      <c r="J151" t="s">
        <v>1788</v>
      </c>
      <c r="K151" t="s">
        <v>2553</v>
      </c>
      <c r="L151" t="s">
        <v>2462</v>
      </c>
    </row>
    <row r="152" spans="1:13">
      <c r="A152" t="s">
        <v>255</v>
      </c>
      <c r="B152" t="s">
        <v>270</v>
      </c>
      <c r="C152" t="s">
        <v>269</v>
      </c>
      <c r="D152" t="s">
        <v>21</v>
      </c>
      <c r="E152" t="s">
        <v>22</v>
      </c>
      <c r="F152">
        <v>50</v>
      </c>
      <c r="G152" s="2">
        <v>45903.375</v>
      </c>
      <c r="H152" s="2">
        <v>45903.520833333336</v>
      </c>
      <c r="I152" s="1">
        <v>46216</v>
      </c>
      <c r="J152" t="s">
        <v>1698</v>
      </c>
      <c r="K152" t="s">
        <v>269</v>
      </c>
      <c r="L152" t="s">
        <v>2474</v>
      </c>
      <c r="M152" s="210" t="s">
        <v>2476</v>
      </c>
    </row>
    <row r="153" spans="1:13">
      <c r="A153" t="s">
        <v>255</v>
      </c>
      <c r="B153" t="s">
        <v>1721</v>
      </c>
      <c r="C153" t="s">
        <v>263</v>
      </c>
      <c r="D153" t="s">
        <v>21</v>
      </c>
      <c r="E153" t="s">
        <v>22</v>
      </c>
      <c r="F153">
        <v>32</v>
      </c>
      <c r="G153" s="2">
        <v>45908.375</v>
      </c>
      <c r="H153" s="2">
        <v>45908.520833333336</v>
      </c>
      <c r="I153" s="1">
        <v>46104</v>
      </c>
      <c r="J153" t="s">
        <v>1698</v>
      </c>
      <c r="K153" t="s">
        <v>263</v>
      </c>
      <c r="L153" t="s">
        <v>2474</v>
      </c>
      <c r="M153" s="210" t="s">
        <v>2476</v>
      </c>
    </row>
    <row r="154" spans="1:13">
      <c r="A154" t="s">
        <v>693</v>
      </c>
      <c r="B154" t="s">
        <v>760</v>
      </c>
      <c r="C154" t="s">
        <v>759</v>
      </c>
      <c r="D154" t="s">
        <v>21</v>
      </c>
      <c r="E154" t="s">
        <v>22</v>
      </c>
      <c r="F154">
        <v>55</v>
      </c>
      <c r="G154" s="2">
        <v>45925.375</v>
      </c>
      <c r="H154" s="2">
        <v>45925.53125</v>
      </c>
      <c r="I154" s="1">
        <v>46196</v>
      </c>
      <c r="J154" t="s">
        <v>1698</v>
      </c>
      <c r="K154" t="s">
        <v>2554</v>
      </c>
      <c r="L154" t="s">
        <v>2490</v>
      </c>
      <c r="M154" s="210" t="s">
        <v>2476</v>
      </c>
    </row>
    <row r="155" spans="1:13">
      <c r="A155" t="s">
        <v>925</v>
      </c>
      <c r="B155" t="s">
        <v>932</v>
      </c>
      <c r="C155" t="s">
        <v>931</v>
      </c>
      <c r="D155" t="s">
        <v>21</v>
      </c>
      <c r="E155" t="s">
        <v>22</v>
      </c>
      <c r="F155">
        <v>26</v>
      </c>
      <c r="G155" s="2">
        <v>46322.385416666664</v>
      </c>
      <c r="H155" s="2">
        <v>46322.729166666664</v>
      </c>
      <c r="I155" s="1">
        <v>46217</v>
      </c>
      <c r="J155" t="s">
        <v>1698</v>
      </c>
      <c r="K155" t="s">
        <v>931</v>
      </c>
      <c r="L155" t="s">
        <v>2555</v>
      </c>
    </row>
    <row r="156" spans="1:13">
      <c r="A156" t="s">
        <v>255</v>
      </c>
      <c r="B156" t="s">
        <v>268</v>
      </c>
      <c r="C156" t="s">
        <v>267</v>
      </c>
      <c r="D156" t="s">
        <v>21</v>
      </c>
      <c r="E156" t="s">
        <v>22</v>
      </c>
      <c r="F156">
        <v>33</v>
      </c>
      <c r="G156" s="2">
        <v>45905.375</v>
      </c>
      <c r="H156" s="2">
        <v>45905.520833333336</v>
      </c>
      <c r="I156" s="1">
        <v>46189</v>
      </c>
      <c r="J156" t="s">
        <v>1698</v>
      </c>
      <c r="K156" t="s">
        <v>267</v>
      </c>
      <c r="L156" t="s">
        <v>2474</v>
      </c>
      <c r="M156" s="210" t="s">
        <v>2476</v>
      </c>
    </row>
    <row r="157" spans="1:13">
      <c r="A157" t="s">
        <v>255</v>
      </c>
      <c r="B157" t="s">
        <v>1722</v>
      </c>
      <c r="C157" t="s">
        <v>265</v>
      </c>
      <c r="D157" t="s">
        <v>21</v>
      </c>
      <c r="E157" t="s">
        <v>22</v>
      </c>
      <c r="F157">
        <v>16</v>
      </c>
      <c r="G157" s="2">
        <v>45909.375</v>
      </c>
      <c r="H157" s="2">
        <v>45909.520833333336</v>
      </c>
      <c r="I157" s="1">
        <v>46170</v>
      </c>
      <c r="J157" t="s">
        <v>1698</v>
      </c>
      <c r="K157" t="s">
        <v>265</v>
      </c>
      <c r="L157" t="s">
        <v>2474</v>
      </c>
      <c r="M157" s="210" t="s">
        <v>2476</v>
      </c>
    </row>
    <row r="158" spans="1:13">
      <c r="A158" t="s">
        <v>255</v>
      </c>
      <c r="B158" t="s">
        <v>262</v>
      </c>
      <c r="C158" t="s">
        <v>261</v>
      </c>
      <c r="D158" t="s">
        <v>21</v>
      </c>
      <c r="E158" t="s">
        <v>22</v>
      </c>
      <c r="F158">
        <v>32</v>
      </c>
      <c r="G158" s="2">
        <v>45911.375</v>
      </c>
      <c r="H158" s="2">
        <v>45911.520833333336</v>
      </c>
      <c r="I158" s="1">
        <v>46170</v>
      </c>
      <c r="J158" t="s">
        <v>1698</v>
      </c>
      <c r="K158" t="s">
        <v>261</v>
      </c>
      <c r="L158" t="s">
        <v>2474</v>
      </c>
      <c r="M158" s="210" t="s">
        <v>2476</v>
      </c>
    </row>
    <row r="159" spans="1:13">
      <c r="A159" t="s">
        <v>545</v>
      </c>
      <c r="B159" t="s">
        <v>558</v>
      </c>
      <c r="C159" t="s">
        <v>557</v>
      </c>
      <c r="D159" t="s">
        <v>21</v>
      </c>
      <c r="E159" t="s">
        <v>22</v>
      </c>
      <c r="F159">
        <v>85</v>
      </c>
      <c r="G159" s="2">
        <v>46307.583333333336</v>
      </c>
      <c r="H159" s="2">
        <v>46307.729166666664</v>
      </c>
      <c r="I159" s="1">
        <v>46216</v>
      </c>
      <c r="J159" t="s">
        <v>1698</v>
      </c>
      <c r="K159" t="s">
        <v>557</v>
      </c>
      <c r="L159" t="s">
        <v>2532</v>
      </c>
    </row>
    <row r="160" spans="1:13">
      <c r="A160" t="s">
        <v>950</v>
      </c>
      <c r="B160" t="s">
        <v>558</v>
      </c>
      <c r="C160" t="s">
        <v>557</v>
      </c>
      <c r="D160" t="s">
        <v>21</v>
      </c>
      <c r="E160" t="s">
        <v>22</v>
      </c>
      <c r="F160">
        <v>85</v>
      </c>
      <c r="G160" s="2">
        <v>46307.583333333336</v>
      </c>
      <c r="H160" s="2">
        <v>46307.729166666664</v>
      </c>
      <c r="I160" s="1">
        <v>46216</v>
      </c>
      <c r="J160" t="s">
        <v>1698</v>
      </c>
      <c r="K160" t="s">
        <v>557</v>
      </c>
      <c r="L160" t="s">
        <v>2532</v>
      </c>
    </row>
    <row r="161" spans="1:13">
      <c r="A161" t="s">
        <v>649</v>
      </c>
      <c r="B161" t="s">
        <v>658</v>
      </c>
      <c r="C161" t="s">
        <v>657</v>
      </c>
      <c r="D161" t="s">
        <v>21</v>
      </c>
      <c r="E161" t="s">
        <v>22</v>
      </c>
      <c r="F161">
        <v>24</v>
      </c>
      <c r="G161" s="2">
        <v>46343.395833333336</v>
      </c>
      <c r="H161" s="2">
        <v>46343.708333333336</v>
      </c>
      <c r="I161" s="1">
        <v>46216</v>
      </c>
      <c r="J161" t="s">
        <v>1698</v>
      </c>
      <c r="K161" t="s">
        <v>657</v>
      </c>
      <c r="L161" t="s">
        <v>2490</v>
      </c>
    </row>
    <row r="162" spans="1:13">
      <c r="A162" t="s">
        <v>54</v>
      </c>
      <c r="B162" t="s">
        <v>1702</v>
      </c>
      <c r="C162" t="s">
        <v>53</v>
      </c>
      <c r="D162" t="s">
        <v>21</v>
      </c>
      <c r="E162" t="s">
        <v>22</v>
      </c>
      <c r="F162">
        <v>21</v>
      </c>
      <c r="G162" s="2">
        <v>46273.4375</v>
      </c>
      <c r="H162" s="2">
        <v>46273.479166666664</v>
      </c>
      <c r="I162" s="1">
        <v>46211</v>
      </c>
      <c r="J162" t="s">
        <v>1698</v>
      </c>
      <c r="K162" t="s">
        <v>53</v>
      </c>
      <c r="L162" t="s">
        <v>2474</v>
      </c>
    </row>
    <row r="163" spans="1:13">
      <c r="A163" t="s">
        <v>72</v>
      </c>
      <c r="B163" t="s">
        <v>35</v>
      </c>
      <c r="C163" t="s">
        <v>34</v>
      </c>
      <c r="D163" t="s">
        <v>21</v>
      </c>
      <c r="E163" t="s">
        <v>22</v>
      </c>
      <c r="F163">
        <v>70</v>
      </c>
      <c r="G163" s="2">
        <v>46027.333333333336</v>
      </c>
      <c r="H163" s="2">
        <v>46387.75</v>
      </c>
      <c r="I163" s="1">
        <v>46213</v>
      </c>
      <c r="J163" t="s">
        <v>1698</v>
      </c>
      <c r="K163" t="s">
        <v>34</v>
      </c>
      <c r="L163" t="s">
        <v>2555</v>
      </c>
      <c r="M163" s="211" t="s">
        <v>2556</v>
      </c>
    </row>
    <row r="164" spans="1:13">
      <c r="A164" t="s">
        <v>936</v>
      </c>
      <c r="B164" t="s">
        <v>35</v>
      </c>
      <c r="C164" t="s">
        <v>34</v>
      </c>
      <c r="D164" t="s">
        <v>21</v>
      </c>
      <c r="E164" t="s">
        <v>22</v>
      </c>
      <c r="F164">
        <v>70</v>
      </c>
      <c r="G164" s="2">
        <v>46027.333333333336</v>
      </c>
      <c r="H164" s="2">
        <v>46387.75</v>
      </c>
      <c r="I164" s="1">
        <v>46213</v>
      </c>
      <c r="J164" t="s">
        <v>1698</v>
      </c>
      <c r="K164" t="s">
        <v>34</v>
      </c>
      <c r="L164" t="s">
        <v>2555</v>
      </c>
      <c r="M164" s="211" t="s">
        <v>2556</v>
      </c>
    </row>
    <row r="165" spans="1:13">
      <c r="A165" t="s">
        <v>19</v>
      </c>
      <c r="B165" t="s">
        <v>35</v>
      </c>
      <c r="C165" t="s">
        <v>34</v>
      </c>
      <c r="D165" t="s">
        <v>21</v>
      </c>
      <c r="E165" t="s">
        <v>22</v>
      </c>
      <c r="F165">
        <v>70</v>
      </c>
      <c r="G165" s="2">
        <v>46027.333333333336</v>
      </c>
      <c r="H165" s="2">
        <v>46387.75</v>
      </c>
      <c r="I165" s="1">
        <v>46213</v>
      </c>
      <c r="J165" t="s">
        <v>1698</v>
      </c>
      <c r="K165" t="s">
        <v>34</v>
      </c>
      <c r="L165" t="s">
        <v>2555</v>
      </c>
      <c r="M165" s="211" t="s">
        <v>2556</v>
      </c>
    </row>
    <row r="166" spans="1:13">
      <c r="A166" t="s">
        <v>190</v>
      </c>
      <c r="B166" t="s">
        <v>2557</v>
      </c>
      <c r="C166" t="s">
        <v>239</v>
      </c>
      <c r="D166" t="s">
        <v>21</v>
      </c>
      <c r="E166" t="s">
        <v>22</v>
      </c>
      <c r="F166">
        <v>33</v>
      </c>
      <c r="G166" s="2">
        <v>46289.395833333336</v>
      </c>
      <c r="H166" s="2">
        <v>46289.708333333336</v>
      </c>
      <c r="I166" s="1">
        <v>46216</v>
      </c>
      <c r="J166" t="s">
        <v>1698</v>
      </c>
      <c r="K166" t="s">
        <v>239</v>
      </c>
      <c r="L166" t="s">
        <v>2537</v>
      </c>
    </row>
    <row r="167" spans="1:13">
      <c r="A167" t="s">
        <v>501</v>
      </c>
      <c r="B167" t="s">
        <v>512</v>
      </c>
      <c r="C167" t="s">
        <v>511</v>
      </c>
      <c r="D167" t="s">
        <v>16</v>
      </c>
      <c r="G167" t="s">
        <v>17</v>
      </c>
      <c r="I167" s="1">
        <v>46192</v>
      </c>
      <c r="J167" t="s">
        <v>1698</v>
      </c>
      <c r="K167" t="s">
        <v>2558</v>
      </c>
    </row>
    <row r="168" spans="1:13">
      <c r="A168" t="s">
        <v>501</v>
      </c>
      <c r="B168" t="s">
        <v>510</v>
      </c>
      <c r="C168" t="s">
        <v>509</v>
      </c>
      <c r="D168" t="s">
        <v>16</v>
      </c>
      <c r="G168" t="s">
        <v>17</v>
      </c>
      <c r="I168" s="1">
        <v>46213</v>
      </c>
      <c r="J168" t="s">
        <v>1698</v>
      </c>
      <c r="K168" t="s">
        <v>2558</v>
      </c>
    </row>
    <row r="169" spans="1:13">
      <c r="A169" t="s">
        <v>293</v>
      </c>
      <c r="B169" t="s">
        <v>306</v>
      </c>
      <c r="C169" t="s">
        <v>305</v>
      </c>
      <c r="D169" t="s">
        <v>16</v>
      </c>
      <c r="G169" t="s">
        <v>17</v>
      </c>
      <c r="I169" s="1">
        <v>46195</v>
      </c>
      <c r="J169" t="s">
        <v>1698</v>
      </c>
      <c r="K169" t="s">
        <v>2559</v>
      </c>
    </row>
    <row r="170" spans="1:13">
      <c r="A170" t="s">
        <v>72</v>
      </c>
      <c r="B170" t="s">
        <v>73</v>
      </c>
      <c r="C170" t="s">
        <v>71</v>
      </c>
      <c r="D170" t="s">
        <v>21</v>
      </c>
      <c r="E170" t="s">
        <v>22</v>
      </c>
      <c r="F170">
        <v>29</v>
      </c>
      <c r="G170" s="2">
        <v>46023.333333333336</v>
      </c>
      <c r="H170" s="2">
        <v>46387.75</v>
      </c>
      <c r="I170" s="1">
        <v>46198</v>
      </c>
      <c r="J170" t="s">
        <v>1698</v>
      </c>
      <c r="K170" t="s">
        <v>71</v>
      </c>
      <c r="L170" t="s">
        <v>2560</v>
      </c>
    </row>
    <row r="171" spans="1:13">
      <c r="A171" t="s">
        <v>936</v>
      </c>
      <c r="B171" t="s">
        <v>73</v>
      </c>
      <c r="C171" t="s">
        <v>71</v>
      </c>
      <c r="D171" t="s">
        <v>21</v>
      </c>
      <c r="E171" t="s">
        <v>22</v>
      </c>
      <c r="F171">
        <v>29</v>
      </c>
      <c r="G171" s="2">
        <v>46023.333333333336</v>
      </c>
      <c r="H171" s="2">
        <v>46387.75</v>
      </c>
      <c r="I171" s="1">
        <v>46198</v>
      </c>
      <c r="J171" t="s">
        <v>1698</v>
      </c>
      <c r="K171" t="s">
        <v>71</v>
      </c>
      <c r="L171" t="s">
        <v>2560</v>
      </c>
    </row>
    <row r="172" spans="1:13">
      <c r="A172" t="s">
        <v>1752</v>
      </c>
      <c r="B172" t="s">
        <v>1755</v>
      </c>
      <c r="C172" t="s">
        <v>1756</v>
      </c>
      <c r="D172" t="s">
        <v>16</v>
      </c>
      <c r="G172" s="2">
        <v>46170.583333333336</v>
      </c>
      <c r="H172" s="2">
        <v>46170.645833333336</v>
      </c>
      <c r="I172" s="1">
        <v>46213</v>
      </c>
      <c r="J172" t="s">
        <v>1698</v>
      </c>
      <c r="K172" t="s">
        <v>2561</v>
      </c>
      <c r="L172" t="s">
        <v>2527</v>
      </c>
    </row>
    <row r="173" spans="1:13">
      <c r="A173" t="s">
        <v>1752</v>
      </c>
      <c r="B173" t="s">
        <v>1753</v>
      </c>
      <c r="C173" t="s">
        <v>1754</v>
      </c>
      <c r="D173" t="s">
        <v>16</v>
      </c>
      <c r="G173" s="2">
        <v>46182.520833333336</v>
      </c>
      <c r="H173" s="2">
        <v>46182.583333333336</v>
      </c>
      <c r="I173" s="1">
        <v>46188</v>
      </c>
      <c r="J173" t="s">
        <v>1698</v>
      </c>
      <c r="K173" t="s">
        <v>2561</v>
      </c>
      <c r="L173" t="s">
        <v>2527</v>
      </c>
    </row>
    <row r="174" spans="1:13">
      <c r="A174" t="s">
        <v>293</v>
      </c>
      <c r="B174" t="s">
        <v>2562</v>
      </c>
      <c r="C174" t="s">
        <v>2563</v>
      </c>
      <c r="D174" t="s">
        <v>16</v>
      </c>
      <c r="G174" s="2">
        <v>46217.520833333336</v>
      </c>
      <c r="H174" s="2">
        <v>46217.583333333336</v>
      </c>
      <c r="I174" s="1">
        <v>46217</v>
      </c>
      <c r="J174" t="s">
        <v>1698</v>
      </c>
      <c r="K174" t="s">
        <v>2561</v>
      </c>
      <c r="L174" t="s">
        <v>2527</v>
      </c>
    </row>
    <row r="175" spans="1:13">
      <c r="A175" t="s">
        <v>1752</v>
      </c>
      <c r="B175" t="s">
        <v>2564</v>
      </c>
      <c r="C175" t="s">
        <v>2565</v>
      </c>
      <c r="D175" t="s">
        <v>16</v>
      </c>
      <c r="G175" s="2">
        <v>46276.520833333336</v>
      </c>
      <c r="H175" s="2">
        <v>46276.583333333336</v>
      </c>
      <c r="I175" s="1">
        <v>46217</v>
      </c>
      <c r="J175" t="s">
        <v>1698</v>
      </c>
      <c r="K175" t="s">
        <v>2561</v>
      </c>
      <c r="L175" t="s">
        <v>2527</v>
      </c>
    </row>
    <row r="176" spans="1:13">
      <c r="A176" t="s">
        <v>584</v>
      </c>
      <c r="B176" t="s">
        <v>593</v>
      </c>
      <c r="C176" t="s">
        <v>1158</v>
      </c>
      <c r="D176" t="s">
        <v>21</v>
      </c>
      <c r="E176" t="s">
        <v>22</v>
      </c>
      <c r="F176">
        <v>99</v>
      </c>
      <c r="G176" s="2">
        <v>46321.375</v>
      </c>
      <c r="H176" s="2">
        <v>46321.708333333336</v>
      </c>
      <c r="I176" s="1">
        <v>46217</v>
      </c>
      <c r="J176" t="s">
        <v>1698</v>
      </c>
      <c r="K176" t="s">
        <v>1158</v>
      </c>
      <c r="L176" t="s">
        <v>2533</v>
      </c>
    </row>
    <row r="177" spans="1:12">
      <c r="A177" t="s">
        <v>476</v>
      </c>
      <c r="B177" t="s">
        <v>499</v>
      </c>
      <c r="C177" t="s">
        <v>498</v>
      </c>
      <c r="D177" t="s">
        <v>21</v>
      </c>
      <c r="E177" t="s">
        <v>22</v>
      </c>
      <c r="F177">
        <v>25</v>
      </c>
      <c r="G177" s="2">
        <v>46183.395833333336</v>
      </c>
      <c r="H177" s="2">
        <v>46183.520833333336</v>
      </c>
      <c r="I177" s="1">
        <v>46183</v>
      </c>
      <c r="J177" t="s">
        <v>1698</v>
      </c>
      <c r="K177" t="s">
        <v>498</v>
      </c>
      <c r="L177" t="s">
        <v>2491</v>
      </c>
    </row>
    <row r="178" spans="1:12">
      <c r="A178" t="s">
        <v>1163</v>
      </c>
      <c r="B178" t="s">
        <v>1800</v>
      </c>
      <c r="C178" t="s">
        <v>1801</v>
      </c>
      <c r="D178" t="s">
        <v>21</v>
      </c>
      <c r="E178" t="s">
        <v>22</v>
      </c>
      <c r="F178">
        <v>15</v>
      </c>
      <c r="G178" s="2">
        <v>46344.583333333336</v>
      </c>
      <c r="H178" s="2">
        <v>46344.708333333336</v>
      </c>
      <c r="I178" s="1">
        <v>46115</v>
      </c>
      <c r="J178" t="s">
        <v>1795</v>
      </c>
      <c r="K178" t="s">
        <v>2566</v>
      </c>
    </row>
    <row r="179" spans="1:12">
      <c r="A179" t="s">
        <v>2417</v>
      </c>
      <c r="B179" t="s">
        <v>340</v>
      </c>
      <c r="C179" t="s">
        <v>338</v>
      </c>
      <c r="D179" t="s">
        <v>21</v>
      </c>
      <c r="E179" t="s">
        <v>22</v>
      </c>
      <c r="F179">
        <v>31</v>
      </c>
      <c r="G179" s="2">
        <v>46294.5625</v>
      </c>
      <c r="H179" s="2">
        <v>46294.708333333336</v>
      </c>
      <c r="I179" s="1">
        <v>46205</v>
      </c>
      <c r="J179" t="s">
        <v>1698</v>
      </c>
      <c r="K179" t="s">
        <v>338</v>
      </c>
      <c r="L179" t="s">
        <v>2474</v>
      </c>
    </row>
    <row r="180" spans="1:12">
      <c r="A180" t="s">
        <v>2417</v>
      </c>
      <c r="B180" t="s">
        <v>419</v>
      </c>
      <c r="C180" t="s">
        <v>417</v>
      </c>
      <c r="D180" t="s">
        <v>21</v>
      </c>
      <c r="E180" t="s">
        <v>22</v>
      </c>
      <c r="F180">
        <v>38</v>
      </c>
      <c r="G180" s="2">
        <v>46293.375</v>
      </c>
      <c r="H180" s="2">
        <v>46293.520833333336</v>
      </c>
      <c r="I180" s="1">
        <v>46198</v>
      </c>
      <c r="J180" t="s">
        <v>1698</v>
      </c>
      <c r="K180" t="s">
        <v>417</v>
      </c>
      <c r="L180" t="s">
        <v>2474</v>
      </c>
    </row>
    <row r="181" spans="1:12">
      <c r="A181" t="s">
        <v>2417</v>
      </c>
      <c r="B181" t="s">
        <v>421</v>
      </c>
      <c r="C181" t="s">
        <v>420</v>
      </c>
      <c r="D181" t="s">
        <v>21</v>
      </c>
      <c r="E181" t="s">
        <v>22</v>
      </c>
      <c r="F181">
        <v>35</v>
      </c>
      <c r="G181" s="2">
        <v>46293.5625</v>
      </c>
      <c r="H181" s="2">
        <v>46293.708333333336</v>
      </c>
      <c r="I181" s="1">
        <v>46191</v>
      </c>
      <c r="J181" t="s">
        <v>1698</v>
      </c>
      <c r="K181" t="s">
        <v>420</v>
      </c>
      <c r="L181" t="s">
        <v>2474</v>
      </c>
    </row>
    <row r="182" spans="1:12">
      <c r="A182" t="s">
        <v>293</v>
      </c>
      <c r="B182" t="s">
        <v>300</v>
      </c>
      <c r="C182" t="s">
        <v>299</v>
      </c>
      <c r="D182" t="s">
        <v>16</v>
      </c>
      <c r="G182" t="s">
        <v>17</v>
      </c>
      <c r="I182" s="1">
        <v>46214</v>
      </c>
      <c r="J182" t="s">
        <v>1698</v>
      </c>
      <c r="K182" t="s">
        <v>2567</v>
      </c>
    </row>
    <row r="183" spans="1:12">
      <c r="A183" t="s">
        <v>293</v>
      </c>
      <c r="B183" t="s">
        <v>302</v>
      </c>
      <c r="C183" t="s">
        <v>301</v>
      </c>
      <c r="D183" t="s">
        <v>16</v>
      </c>
      <c r="G183" t="s">
        <v>17</v>
      </c>
      <c r="I183" s="1">
        <v>46203</v>
      </c>
      <c r="J183" t="s">
        <v>1698</v>
      </c>
      <c r="K183" t="s">
        <v>2567</v>
      </c>
    </row>
    <row r="184" spans="1:12">
      <c r="A184" t="s">
        <v>1163</v>
      </c>
      <c r="B184" t="s">
        <v>1816</v>
      </c>
      <c r="C184" t="s">
        <v>1817</v>
      </c>
      <c r="D184" t="s">
        <v>21</v>
      </c>
      <c r="E184" t="s">
        <v>22</v>
      </c>
      <c r="F184">
        <v>5</v>
      </c>
      <c r="G184" s="2">
        <v>46276.395833333336</v>
      </c>
      <c r="H184" s="2">
        <v>46276.520833333336</v>
      </c>
      <c r="I184" s="1">
        <v>46213</v>
      </c>
      <c r="J184" t="s">
        <v>1795</v>
      </c>
      <c r="K184" t="s">
        <v>2568</v>
      </c>
    </row>
    <row r="185" spans="1:12">
      <c r="A185" t="s">
        <v>19</v>
      </c>
      <c r="B185" t="s">
        <v>29</v>
      </c>
      <c r="C185" t="s">
        <v>28</v>
      </c>
      <c r="D185" t="s">
        <v>21</v>
      </c>
      <c r="E185" t="s">
        <v>22</v>
      </c>
      <c r="F185">
        <v>50</v>
      </c>
      <c r="G185" s="2">
        <v>46344.375</v>
      </c>
      <c r="H185" s="2">
        <v>46346.708333333336</v>
      </c>
      <c r="I185" s="1">
        <v>46212</v>
      </c>
      <c r="J185" t="s">
        <v>1698</v>
      </c>
      <c r="K185" t="s">
        <v>28</v>
      </c>
      <c r="L185" t="s">
        <v>2537</v>
      </c>
    </row>
    <row r="186" spans="1:12">
      <c r="A186" t="s">
        <v>2569</v>
      </c>
      <c r="B186" t="s">
        <v>2570</v>
      </c>
      <c r="C186" t="s">
        <v>2571</v>
      </c>
      <c r="D186" t="s">
        <v>16</v>
      </c>
      <c r="G186" s="2">
        <v>46251.354166666664</v>
      </c>
      <c r="H186" s="2">
        <v>46269.53125</v>
      </c>
      <c r="I186" s="1">
        <v>46195</v>
      </c>
      <c r="J186" t="s">
        <v>1849</v>
      </c>
      <c r="K186" t="s">
        <v>2572</v>
      </c>
      <c r="L186" t="s">
        <v>2573</v>
      </c>
    </row>
    <row r="187" spans="1:12">
      <c r="A187" t="s">
        <v>2569</v>
      </c>
      <c r="B187" t="s">
        <v>2574</v>
      </c>
      <c r="C187" t="s">
        <v>2575</v>
      </c>
      <c r="D187" t="s">
        <v>16</v>
      </c>
      <c r="G187" s="2">
        <v>46251.5625</v>
      </c>
      <c r="H187" s="2">
        <v>46269.739583333336</v>
      </c>
      <c r="I187" s="1">
        <v>46216</v>
      </c>
      <c r="J187" t="s">
        <v>1849</v>
      </c>
      <c r="K187" t="s">
        <v>2572</v>
      </c>
      <c r="L187" t="s">
        <v>2573</v>
      </c>
    </row>
    <row r="188" spans="1:12">
      <c r="A188" t="s">
        <v>828</v>
      </c>
      <c r="B188" t="s">
        <v>2576</v>
      </c>
      <c r="C188" t="s">
        <v>2577</v>
      </c>
      <c r="D188" t="s">
        <v>16</v>
      </c>
      <c r="G188" s="2">
        <v>46251.354166666664</v>
      </c>
      <c r="H188" s="2">
        <v>46269.53125</v>
      </c>
      <c r="I188" s="1">
        <v>46211</v>
      </c>
      <c r="J188" t="s">
        <v>1849</v>
      </c>
      <c r="K188" t="s">
        <v>2572</v>
      </c>
      <c r="L188" t="s">
        <v>2573</v>
      </c>
    </row>
    <row r="189" spans="1:12">
      <c r="A189" t="s">
        <v>828</v>
      </c>
      <c r="B189" t="s">
        <v>2578</v>
      </c>
      <c r="C189" t="s">
        <v>2579</v>
      </c>
      <c r="D189" t="s">
        <v>16</v>
      </c>
      <c r="G189" s="2">
        <v>46251.354166666664</v>
      </c>
      <c r="H189" s="2">
        <v>46269.53125</v>
      </c>
      <c r="I189" s="1">
        <v>46205</v>
      </c>
      <c r="J189" t="s">
        <v>1849</v>
      </c>
      <c r="K189" t="s">
        <v>2572</v>
      </c>
      <c r="L189" t="s">
        <v>2573</v>
      </c>
    </row>
    <row r="190" spans="1:12">
      <c r="A190" t="s">
        <v>925</v>
      </c>
      <c r="B190" t="s">
        <v>928</v>
      </c>
      <c r="C190" t="s">
        <v>927</v>
      </c>
      <c r="D190" t="s">
        <v>21</v>
      </c>
      <c r="E190" t="s">
        <v>22</v>
      </c>
      <c r="F190">
        <v>26</v>
      </c>
      <c r="G190" s="2">
        <v>46177.375</v>
      </c>
      <c r="H190" s="2">
        <v>46177.708333333336</v>
      </c>
      <c r="I190" s="1">
        <v>46184</v>
      </c>
      <c r="J190" t="s">
        <v>1698</v>
      </c>
      <c r="K190" t="s">
        <v>927</v>
      </c>
      <c r="L190" t="s">
        <v>2538</v>
      </c>
    </row>
    <row r="191" spans="1:12">
      <c r="A191" t="s">
        <v>693</v>
      </c>
      <c r="B191" t="s">
        <v>740</v>
      </c>
      <c r="C191" t="s">
        <v>739</v>
      </c>
      <c r="D191" t="s">
        <v>21</v>
      </c>
      <c r="E191" t="s">
        <v>22</v>
      </c>
      <c r="F191">
        <v>20</v>
      </c>
      <c r="G191" s="2">
        <v>46281.625</v>
      </c>
      <c r="H191" s="2">
        <v>46281.666666666664</v>
      </c>
      <c r="I191" s="1">
        <v>46211</v>
      </c>
      <c r="J191" t="s">
        <v>1698</v>
      </c>
      <c r="K191" t="s">
        <v>2580</v>
      </c>
    </row>
    <row r="192" spans="1:12">
      <c r="A192" t="s">
        <v>828</v>
      </c>
      <c r="B192" t="s">
        <v>2581</v>
      </c>
      <c r="C192" t="s">
        <v>2582</v>
      </c>
      <c r="D192" t="s">
        <v>16</v>
      </c>
      <c r="G192" s="2">
        <v>46251.354166666664</v>
      </c>
      <c r="H192" s="2">
        <v>46269.53125</v>
      </c>
      <c r="I192" s="1">
        <v>46205</v>
      </c>
      <c r="J192" t="s">
        <v>1849</v>
      </c>
      <c r="K192" t="s">
        <v>2583</v>
      </c>
      <c r="L192" t="s">
        <v>2584</v>
      </c>
    </row>
    <row r="193" spans="1:12">
      <c r="A193" t="s">
        <v>2569</v>
      </c>
      <c r="B193" t="s">
        <v>2585</v>
      </c>
      <c r="C193" t="s">
        <v>2586</v>
      </c>
      <c r="D193" t="s">
        <v>16</v>
      </c>
      <c r="G193" s="2">
        <v>46251.354166666664</v>
      </c>
      <c r="H193" s="2">
        <v>46269.53125</v>
      </c>
      <c r="I193" s="1">
        <v>46212</v>
      </c>
      <c r="J193" t="s">
        <v>1849</v>
      </c>
      <c r="K193" t="s">
        <v>2583</v>
      </c>
      <c r="L193" t="s">
        <v>2584</v>
      </c>
    </row>
    <row r="194" spans="1:12">
      <c r="A194" t="s">
        <v>828</v>
      </c>
      <c r="B194" t="s">
        <v>2587</v>
      </c>
      <c r="C194" t="s">
        <v>2588</v>
      </c>
      <c r="D194" t="s">
        <v>16</v>
      </c>
      <c r="G194" s="2">
        <v>46251.5625</v>
      </c>
      <c r="H194" s="2">
        <v>46269.739583333336</v>
      </c>
      <c r="I194" s="1">
        <v>46212</v>
      </c>
      <c r="J194" t="s">
        <v>1849</v>
      </c>
      <c r="K194" t="s">
        <v>2583</v>
      </c>
      <c r="L194" t="s">
        <v>2584</v>
      </c>
    </row>
    <row r="195" spans="1:12">
      <c r="A195" t="s">
        <v>2569</v>
      </c>
      <c r="B195" t="s">
        <v>2589</v>
      </c>
      <c r="C195" t="s">
        <v>2590</v>
      </c>
      <c r="D195" t="s">
        <v>16</v>
      </c>
      <c r="G195" s="2">
        <v>46251.354166666664</v>
      </c>
      <c r="H195" s="2">
        <v>46269.53125</v>
      </c>
      <c r="I195" s="1">
        <v>46211</v>
      </c>
      <c r="J195" t="s">
        <v>1849</v>
      </c>
      <c r="K195" t="s">
        <v>2583</v>
      </c>
      <c r="L195" t="s">
        <v>2584</v>
      </c>
    </row>
    <row r="196" spans="1:12">
      <c r="A196" t="s">
        <v>2569</v>
      </c>
      <c r="B196" t="s">
        <v>2591</v>
      </c>
      <c r="C196" t="s">
        <v>2592</v>
      </c>
      <c r="D196" t="s">
        <v>16</v>
      </c>
      <c r="G196" s="2">
        <v>46251.5625</v>
      </c>
      <c r="H196" s="2">
        <v>46269.739583333336</v>
      </c>
      <c r="I196" s="1">
        <v>46217</v>
      </c>
      <c r="J196" t="s">
        <v>1849</v>
      </c>
      <c r="K196" t="s">
        <v>2583</v>
      </c>
      <c r="L196" t="s">
        <v>2584</v>
      </c>
    </row>
    <row r="197" spans="1:12">
      <c r="A197" t="s">
        <v>2569</v>
      </c>
      <c r="B197" t="s">
        <v>2593</v>
      </c>
      <c r="C197" t="s">
        <v>2594</v>
      </c>
      <c r="D197" t="s">
        <v>16</v>
      </c>
      <c r="G197" s="2">
        <v>46251.5625</v>
      </c>
      <c r="H197" s="2">
        <v>46269.739583333336</v>
      </c>
      <c r="I197" s="1">
        <v>46216</v>
      </c>
      <c r="J197" t="s">
        <v>1849</v>
      </c>
      <c r="K197" t="s">
        <v>2583</v>
      </c>
      <c r="L197" t="s">
        <v>2584</v>
      </c>
    </row>
    <row r="198" spans="1:12">
      <c r="A198" t="s">
        <v>828</v>
      </c>
      <c r="B198" t="s">
        <v>2595</v>
      </c>
      <c r="C198" t="s">
        <v>2596</v>
      </c>
      <c r="D198" t="s">
        <v>16</v>
      </c>
      <c r="G198" s="2">
        <v>46251.354166666664</v>
      </c>
      <c r="H198" s="2">
        <v>46269.53125</v>
      </c>
      <c r="I198" s="1">
        <v>46205</v>
      </c>
      <c r="J198" t="s">
        <v>1849</v>
      </c>
      <c r="K198" t="s">
        <v>2597</v>
      </c>
      <c r="L198" t="s">
        <v>2584</v>
      </c>
    </row>
    <row r="199" spans="1:12">
      <c r="A199" t="s">
        <v>2569</v>
      </c>
      <c r="B199" t="s">
        <v>2598</v>
      </c>
      <c r="C199" t="s">
        <v>2599</v>
      </c>
      <c r="D199" t="s">
        <v>16</v>
      </c>
      <c r="G199" s="2">
        <v>46251.354166666664</v>
      </c>
      <c r="H199" s="2">
        <v>46269.53125</v>
      </c>
      <c r="I199" s="1">
        <v>46194</v>
      </c>
      <c r="J199" t="s">
        <v>1849</v>
      </c>
      <c r="K199" t="s">
        <v>2597</v>
      </c>
      <c r="L199" t="s">
        <v>2584</v>
      </c>
    </row>
    <row r="200" spans="1:12">
      <c r="A200" t="s">
        <v>828</v>
      </c>
      <c r="B200" t="s">
        <v>2600</v>
      </c>
      <c r="C200" t="s">
        <v>2601</v>
      </c>
      <c r="D200" t="s">
        <v>16</v>
      </c>
      <c r="G200" s="2">
        <v>46251.5625</v>
      </c>
      <c r="H200" s="2">
        <v>46269.739583333336</v>
      </c>
      <c r="I200" s="1">
        <v>46211</v>
      </c>
      <c r="J200" t="s">
        <v>1849</v>
      </c>
      <c r="K200" t="s">
        <v>2597</v>
      </c>
      <c r="L200" t="s">
        <v>2584</v>
      </c>
    </row>
    <row r="201" spans="1:12">
      <c r="A201" t="s">
        <v>2569</v>
      </c>
      <c r="B201" t="s">
        <v>2602</v>
      </c>
      <c r="C201" t="s">
        <v>2603</v>
      </c>
      <c r="D201" t="s">
        <v>16</v>
      </c>
      <c r="G201" s="2">
        <v>46251.354166666664</v>
      </c>
      <c r="H201" s="2">
        <v>46269.53125</v>
      </c>
      <c r="I201" s="1">
        <v>46212</v>
      </c>
      <c r="J201" t="s">
        <v>1849</v>
      </c>
      <c r="K201" t="s">
        <v>2597</v>
      </c>
      <c r="L201" t="s">
        <v>2584</v>
      </c>
    </row>
    <row r="202" spans="1:12">
      <c r="A202" t="s">
        <v>2569</v>
      </c>
      <c r="B202" t="s">
        <v>2604</v>
      </c>
      <c r="C202" t="s">
        <v>2605</v>
      </c>
      <c r="D202" t="s">
        <v>16</v>
      </c>
      <c r="G202" s="2">
        <v>46251.5625</v>
      </c>
      <c r="H202" s="2">
        <v>46269.739583333336</v>
      </c>
      <c r="I202" s="1">
        <v>46213</v>
      </c>
      <c r="J202" t="s">
        <v>1849</v>
      </c>
      <c r="K202" t="s">
        <v>2597</v>
      </c>
      <c r="L202" t="s">
        <v>2584</v>
      </c>
    </row>
    <row r="203" spans="1:12">
      <c r="A203" t="s">
        <v>828</v>
      </c>
      <c r="B203" t="s">
        <v>2606</v>
      </c>
      <c r="C203" t="s">
        <v>2607</v>
      </c>
      <c r="D203" t="s">
        <v>16</v>
      </c>
      <c r="G203" s="2">
        <v>46251.354166666664</v>
      </c>
      <c r="H203" s="2">
        <v>46269.53125</v>
      </c>
      <c r="I203" s="1">
        <v>46208</v>
      </c>
      <c r="J203" t="s">
        <v>1849</v>
      </c>
      <c r="K203" t="s">
        <v>2608</v>
      </c>
      <c r="L203" t="s">
        <v>2584</v>
      </c>
    </row>
    <row r="204" spans="1:12">
      <c r="A204" t="s">
        <v>2569</v>
      </c>
      <c r="B204" t="s">
        <v>2609</v>
      </c>
      <c r="C204" t="s">
        <v>2610</v>
      </c>
      <c r="D204" t="s">
        <v>16</v>
      </c>
      <c r="G204" s="2">
        <v>46251.354166666664</v>
      </c>
      <c r="H204" s="2">
        <v>46269.53125</v>
      </c>
      <c r="I204" s="1">
        <v>46206</v>
      </c>
      <c r="J204" t="s">
        <v>1849</v>
      </c>
      <c r="K204" t="s">
        <v>2608</v>
      </c>
      <c r="L204" t="s">
        <v>2584</v>
      </c>
    </row>
    <row r="205" spans="1:12">
      <c r="A205" t="s">
        <v>2569</v>
      </c>
      <c r="B205" t="s">
        <v>2611</v>
      </c>
      <c r="C205" t="s">
        <v>2612</v>
      </c>
      <c r="D205" t="s">
        <v>16</v>
      </c>
      <c r="G205" s="2">
        <v>46251.5625</v>
      </c>
      <c r="H205" s="2">
        <v>46269.739583333336</v>
      </c>
      <c r="I205" s="1">
        <v>46213</v>
      </c>
      <c r="J205" t="s">
        <v>1849</v>
      </c>
      <c r="K205" t="s">
        <v>2608</v>
      </c>
      <c r="L205" t="s">
        <v>2584</v>
      </c>
    </row>
    <row r="206" spans="1:12">
      <c r="A206" t="s">
        <v>828</v>
      </c>
      <c r="B206" t="s">
        <v>2613</v>
      </c>
      <c r="C206" t="s">
        <v>2614</v>
      </c>
      <c r="D206" t="s">
        <v>16</v>
      </c>
      <c r="G206" s="2">
        <v>46251.354166666664</v>
      </c>
      <c r="H206" s="2">
        <v>46269.53125</v>
      </c>
      <c r="I206" s="1">
        <v>46205</v>
      </c>
      <c r="J206" t="s">
        <v>1849</v>
      </c>
      <c r="K206" t="s">
        <v>2615</v>
      </c>
      <c r="L206" t="s">
        <v>2584</v>
      </c>
    </row>
    <row r="207" spans="1:12">
      <c r="A207" t="s">
        <v>2569</v>
      </c>
      <c r="B207" t="s">
        <v>2616</v>
      </c>
      <c r="C207" t="s">
        <v>2617</v>
      </c>
      <c r="D207" t="s">
        <v>16</v>
      </c>
      <c r="G207" s="2">
        <v>46251.354166666664</v>
      </c>
      <c r="H207" s="2">
        <v>46269.53125</v>
      </c>
      <c r="I207" s="1">
        <v>46217</v>
      </c>
      <c r="J207" t="s">
        <v>1849</v>
      </c>
      <c r="K207" t="s">
        <v>2615</v>
      </c>
      <c r="L207" t="s">
        <v>2584</v>
      </c>
    </row>
    <row r="208" spans="1:12">
      <c r="A208" t="s">
        <v>828</v>
      </c>
      <c r="B208" t="s">
        <v>2618</v>
      </c>
      <c r="C208" t="s">
        <v>2619</v>
      </c>
      <c r="D208" t="s">
        <v>16</v>
      </c>
      <c r="G208" s="2">
        <v>46251.5625</v>
      </c>
      <c r="H208" s="2">
        <v>46269.739583333336</v>
      </c>
      <c r="I208" s="1">
        <v>46197</v>
      </c>
      <c r="J208" t="s">
        <v>1849</v>
      </c>
      <c r="K208" t="s">
        <v>2615</v>
      </c>
      <c r="L208" t="s">
        <v>2584</v>
      </c>
    </row>
    <row r="209" spans="1:12">
      <c r="A209" t="s">
        <v>2569</v>
      </c>
      <c r="B209" t="s">
        <v>2620</v>
      </c>
      <c r="C209" t="s">
        <v>2621</v>
      </c>
      <c r="D209" t="s">
        <v>16</v>
      </c>
      <c r="G209" s="2">
        <v>46251.354166666664</v>
      </c>
      <c r="H209" s="2">
        <v>46269.53125</v>
      </c>
      <c r="I209" s="1">
        <v>46213</v>
      </c>
      <c r="J209" t="s">
        <v>1849</v>
      </c>
      <c r="K209" t="s">
        <v>2615</v>
      </c>
      <c r="L209" t="s">
        <v>2584</v>
      </c>
    </row>
    <row r="210" spans="1:12">
      <c r="A210" t="s">
        <v>2569</v>
      </c>
      <c r="B210" t="s">
        <v>2622</v>
      </c>
      <c r="C210" t="s">
        <v>2623</v>
      </c>
      <c r="D210" t="s">
        <v>16</v>
      </c>
      <c r="G210" s="2">
        <v>46251.5625</v>
      </c>
      <c r="H210" s="2">
        <v>46269.739583333336</v>
      </c>
      <c r="I210" s="1">
        <v>46212</v>
      </c>
      <c r="J210" t="s">
        <v>1849</v>
      </c>
      <c r="K210" t="s">
        <v>2615</v>
      </c>
      <c r="L210" t="s">
        <v>2584</v>
      </c>
    </row>
    <row r="211" spans="1:12">
      <c r="A211" t="s">
        <v>828</v>
      </c>
      <c r="B211" t="s">
        <v>2624</v>
      </c>
      <c r="C211" t="s">
        <v>2625</v>
      </c>
      <c r="D211" t="s">
        <v>16</v>
      </c>
      <c r="G211" s="2">
        <v>46251.354166666664</v>
      </c>
      <c r="H211" s="2">
        <v>46269.53125</v>
      </c>
      <c r="I211" s="1">
        <v>46204</v>
      </c>
      <c r="J211" t="s">
        <v>1849</v>
      </c>
      <c r="K211" t="s">
        <v>2626</v>
      </c>
      <c r="L211" t="s">
        <v>2584</v>
      </c>
    </row>
    <row r="212" spans="1:12">
      <c r="A212" t="s">
        <v>2569</v>
      </c>
      <c r="B212" t="s">
        <v>2627</v>
      </c>
      <c r="C212" t="s">
        <v>2628</v>
      </c>
      <c r="D212" t="s">
        <v>16</v>
      </c>
      <c r="G212" s="2">
        <v>46251.354166666664</v>
      </c>
      <c r="H212" s="2">
        <v>46269.53125</v>
      </c>
      <c r="I212" s="1">
        <v>46192</v>
      </c>
      <c r="J212" t="s">
        <v>1849</v>
      </c>
      <c r="K212" t="s">
        <v>2626</v>
      </c>
      <c r="L212" t="s">
        <v>2584</v>
      </c>
    </row>
    <row r="213" spans="1:12">
      <c r="A213" t="s">
        <v>828</v>
      </c>
      <c r="B213" t="s">
        <v>2629</v>
      </c>
      <c r="C213" t="s">
        <v>2630</v>
      </c>
      <c r="D213" t="s">
        <v>16</v>
      </c>
      <c r="G213" s="2">
        <v>46251.5625</v>
      </c>
      <c r="H213" s="2">
        <v>46269.739583333336</v>
      </c>
      <c r="I213" s="1">
        <v>46217</v>
      </c>
      <c r="J213" t="s">
        <v>1849</v>
      </c>
      <c r="K213" t="s">
        <v>2626</v>
      </c>
      <c r="L213" t="s">
        <v>2584</v>
      </c>
    </row>
    <row r="214" spans="1:12">
      <c r="A214" t="s">
        <v>2569</v>
      </c>
      <c r="B214" t="s">
        <v>2631</v>
      </c>
      <c r="C214" t="s">
        <v>2632</v>
      </c>
      <c r="D214" t="s">
        <v>16</v>
      </c>
      <c r="G214" s="2">
        <v>46251.354166666664</v>
      </c>
      <c r="H214" s="2">
        <v>46269.53125</v>
      </c>
      <c r="I214" s="1">
        <v>46213</v>
      </c>
      <c r="J214" t="s">
        <v>1849</v>
      </c>
      <c r="K214" t="s">
        <v>2626</v>
      </c>
      <c r="L214" t="s">
        <v>2584</v>
      </c>
    </row>
    <row r="215" spans="1:12">
      <c r="A215" t="s">
        <v>2569</v>
      </c>
      <c r="B215" t="s">
        <v>2633</v>
      </c>
      <c r="C215" t="s">
        <v>2634</v>
      </c>
      <c r="D215" t="s">
        <v>16</v>
      </c>
      <c r="G215" s="2">
        <v>46251.5625</v>
      </c>
      <c r="H215" s="2">
        <v>46269.739583333336</v>
      </c>
      <c r="I215" s="1">
        <v>46216</v>
      </c>
      <c r="J215" t="s">
        <v>1849</v>
      </c>
      <c r="K215" t="s">
        <v>2626</v>
      </c>
      <c r="L215" t="s">
        <v>2584</v>
      </c>
    </row>
    <row r="216" spans="1:12">
      <c r="A216" t="s">
        <v>828</v>
      </c>
      <c r="B216" t="s">
        <v>2635</v>
      </c>
      <c r="C216" t="s">
        <v>2636</v>
      </c>
      <c r="D216" t="s">
        <v>16</v>
      </c>
      <c r="G216" s="2">
        <v>46251.354166666664</v>
      </c>
      <c r="H216" s="2">
        <v>46269.53125</v>
      </c>
      <c r="I216" s="1">
        <v>46208</v>
      </c>
      <c r="J216" t="s">
        <v>1849</v>
      </c>
      <c r="K216" t="s">
        <v>2637</v>
      </c>
      <c r="L216" t="s">
        <v>2584</v>
      </c>
    </row>
    <row r="217" spans="1:12">
      <c r="A217" t="s">
        <v>2569</v>
      </c>
      <c r="B217" t="s">
        <v>2638</v>
      </c>
      <c r="C217" t="s">
        <v>2639</v>
      </c>
      <c r="D217" t="s">
        <v>16</v>
      </c>
      <c r="G217" s="2">
        <v>46251.354166666664</v>
      </c>
      <c r="H217" s="2">
        <v>46269.53125</v>
      </c>
      <c r="I217" s="1">
        <v>46204</v>
      </c>
      <c r="J217" t="s">
        <v>1849</v>
      </c>
      <c r="K217" t="s">
        <v>2637</v>
      </c>
      <c r="L217" t="s">
        <v>2584</v>
      </c>
    </row>
    <row r="218" spans="1:12">
      <c r="A218" t="s">
        <v>2569</v>
      </c>
      <c r="B218" t="s">
        <v>2640</v>
      </c>
      <c r="C218" t="s">
        <v>2641</v>
      </c>
      <c r="D218" t="s">
        <v>16</v>
      </c>
      <c r="G218" s="2">
        <v>46251.5625</v>
      </c>
      <c r="H218" s="2">
        <v>46269.739583333336</v>
      </c>
      <c r="I218" s="1">
        <v>46211</v>
      </c>
      <c r="J218" t="s">
        <v>1849</v>
      </c>
      <c r="K218" t="s">
        <v>2637</v>
      </c>
      <c r="L218" t="s">
        <v>2584</v>
      </c>
    </row>
    <row r="219" spans="1:12">
      <c r="A219" t="s">
        <v>828</v>
      </c>
      <c r="B219" t="s">
        <v>2642</v>
      </c>
      <c r="C219" t="s">
        <v>2643</v>
      </c>
      <c r="D219" t="s">
        <v>16</v>
      </c>
      <c r="G219" s="2">
        <v>46251.354166666664</v>
      </c>
      <c r="H219" s="2">
        <v>46269.53125</v>
      </c>
      <c r="I219" s="1">
        <v>46210</v>
      </c>
      <c r="J219" t="s">
        <v>1849</v>
      </c>
      <c r="K219" t="s">
        <v>2644</v>
      </c>
      <c r="L219" t="s">
        <v>2645</v>
      </c>
    </row>
    <row r="220" spans="1:12">
      <c r="A220" t="s">
        <v>2569</v>
      </c>
      <c r="B220" t="s">
        <v>2646</v>
      </c>
      <c r="C220" t="s">
        <v>2647</v>
      </c>
      <c r="D220" t="s">
        <v>16</v>
      </c>
      <c r="G220" s="2">
        <v>46251.354166666664</v>
      </c>
      <c r="H220" s="2">
        <v>46269.53125</v>
      </c>
      <c r="I220" s="1">
        <v>46198</v>
      </c>
      <c r="J220" t="s">
        <v>1849</v>
      </c>
      <c r="K220" t="s">
        <v>2644</v>
      </c>
      <c r="L220" t="s">
        <v>2645</v>
      </c>
    </row>
    <row r="221" spans="1:12">
      <c r="A221" t="s">
        <v>2569</v>
      </c>
      <c r="B221" t="s">
        <v>2648</v>
      </c>
      <c r="C221" t="s">
        <v>2649</v>
      </c>
      <c r="D221" t="s">
        <v>16</v>
      </c>
      <c r="G221" s="2">
        <v>46251.354166666664</v>
      </c>
      <c r="H221" s="2">
        <v>46269.53125</v>
      </c>
      <c r="I221" s="1">
        <v>46216</v>
      </c>
      <c r="J221" t="s">
        <v>1849</v>
      </c>
      <c r="K221" t="s">
        <v>2644</v>
      </c>
      <c r="L221" t="s">
        <v>2645</v>
      </c>
    </row>
    <row r="222" spans="1:12">
      <c r="A222" t="s">
        <v>2569</v>
      </c>
      <c r="B222" t="s">
        <v>2650</v>
      </c>
      <c r="C222" t="s">
        <v>2651</v>
      </c>
      <c r="D222" t="s">
        <v>16</v>
      </c>
      <c r="G222" s="2">
        <v>46251.5625</v>
      </c>
      <c r="H222" s="2">
        <v>46269.739583333336</v>
      </c>
      <c r="I222" s="1">
        <v>46212</v>
      </c>
      <c r="J222" t="s">
        <v>1849</v>
      </c>
      <c r="K222" t="s">
        <v>2644</v>
      </c>
      <c r="L222" t="s">
        <v>2645</v>
      </c>
    </row>
    <row r="223" spans="1:12">
      <c r="A223" t="s">
        <v>828</v>
      </c>
      <c r="B223" t="s">
        <v>2652</v>
      </c>
      <c r="C223" t="s">
        <v>2653</v>
      </c>
      <c r="D223" t="s">
        <v>16</v>
      </c>
      <c r="G223" s="2">
        <v>46251.5625</v>
      </c>
      <c r="H223" s="2">
        <v>46269.739583333336</v>
      </c>
      <c r="I223" s="1">
        <v>46216</v>
      </c>
      <c r="J223" t="s">
        <v>1849</v>
      </c>
      <c r="K223" t="s">
        <v>2644</v>
      </c>
      <c r="L223" t="s">
        <v>2645</v>
      </c>
    </row>
    <row r="224" spans="1:12">
      <c r="A224" t="s">
        <v>2569</v>
      </c>
      <c r="B224" t="s">
        <v>2654</v>
      </c>
      <c r="C224" t="s">
        <v>2655</v>
      </c>
      <c r="D224" t="s">
        <v>16</v>
      </c>
      <c r="G224" s="2">
        <v>46251.354166666664</v>
      </c>
      <c r="H224" s="2">
        <v>46269.53125</v>
      </c>
      <c r="I224" s="1">
        <v>46216</v>
      </c>
      <c r="J224" t="s">
        <v>1849</v>
      </c>
      <c r="K224" t="s">
        <v>2656</v>
      </c>
      <c r="L224" t="s">
        <v>2573</v>
      </c>
    </row>
    <row r="225" spans="1:12">
      <c r="A225" t="s">
        <v>2569</v>
      </c>
      <c r="B225" t="s">
        <v>2657</v>
      </c>
      <c r="C225" t="s">
        <v>2658</v>
      </c>
      <c r="D225" t="s">
        <v>16</v>
      </c>
      <c r="G225" s="2">
        <v>46251.5625</v>
      </c>
      <c r="H225" s="2">
        <v>46269.739583333336</v>
      </c>
      <c r="I225" s="1">
        <v>46206</v>
      </c>
      <c r="J225" t="s">
        <v>1849</v>
      </c>
      <c r="K225" t="s">
        <v>2659</v>
      </c>
      <c r="L225" t="s">
        <v>2573</v>
      </c>
    </row>
    <row r="226" spans="1:12">
      <c r="A226" t="s">
        <v>2569</v>
      </c>
      <c r="B226" t="s">
        <v>2660</v>
      </c>
      <c r="C226" t="s">
        <v>2661</v>
      </c>
      <c r="D226" t="s">
        <v>16</v>
      </c>
      <c r="G226" s="2">
        <v>46251.354166666664</v>
      </c>
      <c r="H226" s="2">
        <v>46269.53125</v>
      </c>
      <c r="I226" s="1">
        <v>46215</v>
      </c>
      <c r="J226" t="s">
        <v>1849</v>
      </c>
      <c r="K226" t="s">
        <v>2662</v>
      </c>
      <c r="L226" t="s">
        <v>2573</v>
      </c>
    </row>
    <row r="227" spans="1:12">
      <c r="A227" t="s">
        <v>2569</v>
      </c>
      <c r="B227" t="s">
        <v>2663</v>
      </c>
      <c r="C227" t="s">
        <v>2664</v>
      </c>
      <c r="D227" t="s">
        <v>16</v>
      </c>
      <c r="G227" s="2">
        <v>46251.5625</v>
      </c>
      <c r="H227" s="2">
        <v>46269.739583333336</v>
      </c>
      <c r="I227" s="1">
        <v>46209</v>
      </c>
      <c r="J227" t="s">
        <v>1849</v>
      </c>
      <c r="K227" t="s">
        <v>2665</v>
      </c>
      <c r="L227" t="s">
        <v>2573</v>
      </c>
    </row>
    <row r="228" spans="1:12">
      <c r="A228" t="s">
        <v>2569</v>
      </c>
      <c r="B228" t="s">
        <v>2666</v>
      </c>
      <c r="C228" t="s">
        <v>2667</v>
      </c>
      <c r="D228" t="s">
        <v>16</v>
      </c>
      <c r="G228" s="2">
        <v>46251.354166666664</v>
      </c>
      <c r="H228" s="2">
        <v>46269.53125</v>
      </c>
      <c r="I228" s="1">
        <v>46206</v>
      </c>
      <c r="J228" t="s">
        <v>1849</v>
      </c>
      <c r="K228" t="s">
        <v>2668</v>
      </c>
      <c r="L228" t="s">
        <v>2669</v>
      </c>
    </row>
    <row r="229" spans="1:12">
      <c r="A229" t="s">
        <v>2569</v>
      </c>
      <c r="B229" t="s">
        <v>2670</v>
      </c>
      <c r="C229" t="s">
        <v>2671</v>
      </c>
      <c r="D229" t="s">
        <v>16</v>
      </c>
      <c r="G229" s="2">
        <v>46251.5625</v>
      </c>
      <c r="H229" s="2">
        <v>46269.739583333336</v>
      </c>
      <c r="I229" s="1">
        <v>46212</v>
      </c>
      <c r="J229" t="s">
        <v>1849</v>
      </c>
      <c r="K229" t="s">
        <v>2672</v>
      </c>
      <c r="L229" t="s">
        <v>2669</v>
      </c>
    </row>
    <row r="230" spans="1:12">
      <c r="A230" t="s">
        <v>2569</v>
      </c>
      <c r="B230" t="s">
        <v>2673</v>
      </c>
      <c r="C230" t="s">
        <v>2674</v>
      </c>
      <c r="D230" t="s">
        <v>16</v>
      </c>
      <c r="G230" s="2">
        <v>46251.354166666664</v>
      </c>
      <c r="H230" s="2">
        <v>46269.53125</v>
      </c>
      <c r="I230" s="1">
        <v>46212</v>
      </c>
      <c r="J230" t="s">
        <v>1849</v>
      </c>
      <c r="K230" t="s">
        <v>2675</v>
      </c>
      <c r="L230" t="s">
        <v>2676</v>
      </c>
    </row>
    <row r="231" spans="1:12">
      <c r="A231" t="s">
        <v>2569</v>
      </c>
      <c r="B231" t="s">
        <v>2677</v>
      </c>
      <c r="C231" t="s">
        <v>2678</v>
      </c>
      <c r="D231" t="s">
        <v>16</v>
      </c>
      <c r="G231" s="2">
        <v>46251.354166666664</v>
      </c>
      <c r="H231" s="2">
        <v>46269.53125</v>
      </c>
      <c r="I231" s="1">
        <v>46216</v>
      </c>
      <c r="J231" t="s">
        <v>1849</v>
      </c>
      <c r="K231" t="s">
        <v>2679</v>
      </c>
      <c r="L231" t="s">
        <v>2680</v>
      </c>
    </row>
    <row r="232" spans="1:12">
      <c r="A232" t="s">
        <v>2569</v>
      </c>
      <c r="B232" t="s">
        <v>2681</v>
      </c>
      <c r="C232" t="s">
        <v>2682</v>
      </c>
      <c r="D232" t="s">
        <v>16</v>
      </c>
      <c r="G232" s="2">
        <v>46251.5625</v>
      </c>
      <c r="H232" s="2">
        <v>46269.739583333336</v>
      </c>
      <c r="I232" s="1">
        <v>46213</v>
      </c>
      <c r="J232" t="s">
        <v>1849</v>
      </c>
      <c r="K232" t="s">
        <v>2683</v>
      </c>
      <c r="L232" t="s">
        <v>2680</v>
      </c>
    </row>
    <row r="233" spans="1:12">
      <c r="A233" t="s">
        <v>2569</v>
      </c>
      <c r="B233" t="s">
        <v>2684</v>
      </c>
      <c r="C233" t="s">
        <v>2685</v>
      </c>
      <c r="D233" t="s">
        <v>16</v>
      </c>
      <c r="G233" s="2">
        <v>46251.5625</v>
      </c>
      <c r="H233" s="2">
        <v>46269.739583333336</v>
      </c>
      <c r="I233" s="1">
        <v>46212</v>
      </c>
      <c r="J233" t="s">
        <v>1849</v>
      </c>
      <c r="K233" t="s">
        <v>2686</v>
      </c>
      <c r="L233" t="s">
        <v>2680</v>
      </c>
    </row>
    <row r="234" spans="1:12">
      <c r="A234" t="s">
        <v>2569</v>
      </c>
      <c r="B234" t="s">
        <v>2687</v>
      </c>
      <c r="C234" t="s">
        <v>2688</v>
      </c>
      <c r="D234" t="s">
        <v>16</v>
      </c>
      <c r="G234" s="2">
        <v>46251.5625</v>
      </c>
      <c r="H234" s="2">
        <v>46269.739583333336</v>
      </c>
      <c r="I234" s="1">
        <v>46210</v>
      </c>
      <c r="J234" t="s">
        <v>1849</v>
      </c>
      <c r="K234" t="s">
        <v>2689</v>
      </c>
      <c r="L234" t="s">
        <v>2680</v>
      </c>
    </row>
    <row r="235" spans="1:12">
      <c r="A235" t="s">
        <v>2569</v>
      </c>
      <c r="B235" t="s">
        <v>2690</v>
      </c>
      <c r="C235" t="s">
        <v>2691</v>
      </c>
      <c r="D235" t="s">
        <v>16</v>
      </c>
      <c r="G235" s="2">
        <v>46251.5625</v>
      </c>
      <c r="H235" s="2">
        <v>46269.739583333336</v>
      </c>
      <c r="I235" s="1">
        <v>46200</v>
      </c>
      <c r="J235" t="s">
        <v>1849</v>
      </c>
      <c r="K235" t="s">
        <v>2692</v>
      </c>
      <c r="L235" t="s">
        <v>2573</v>
      </c>
    </row>
    <row r="236" spans="1:12">
      <c r="A236" t="s">
        <v>2569</v>
      </c>
      <c r="B236" t="s">
        <v>2693</v>
      </c>
      <c r="C236" t="s">
        <v>2694</v>
      </c>
      <c r="D236" t="s">
        <v>16</v>
      </c>
      <c r="G236" s="2">
        <v>46251.354166666664</v>
      </c>
      <c r="H236" s="2">
        <v>46269.53125</v>
      </c>
      <c r="I236" s="1">
        <v>46204</v>
      </c>
      <c r="J236" t="s">
        <v>1849</v>
      </c>
      <c r="K236" t="s">
        <v>2695</v>
      </c>
      <c r="L236" t="s">
        <v>2573</v>
      </c>
    </row>
    <row r="237" spans="1:12">
      <c r="A237" t="s">
        <v>2569</v>
      </c>
      <c r="B237" t="s">
        <v>2696</v>
      </c>
      <c r="C237" t="s">
        <v>2697</v>
      </c>
      <c r="D237" t="s">
        <v>16</v>
      </c>
      <c r="G237" s="2">
        <v>46251.354166666664</v>
      </c>
      <c r="H237" s="2">
        <v>46269.53125</v>
      </c>
      <c r="I237" s="1">
        <v>46199</v>
      </c>
      <c r="J237" t="s">
        <v>1849</v>
      </c>
      <c r="K237" t="s">
        <v>2698</v>
      </c>
      <c r="L237" t="s">
        <v>2669</v>
      </c>
    </row>
    <row r="238" spans="1:12">
      <c r="A238" t="s">
        <v>2569</v>
      </c>
      <c r="B238" t="s">
        <v>2699</v>
      </c>
      <c r="C238" t="s">
        <v>2700</v>
      </c>
      <c r="D238" t="s">
        <v>16</v>
      </c>
      <c r="G238" s="2">
        <v>46251.5625</v>
      </c>
      <c r="H238" s="2">
        <v>46269.739583333336</v>
      </c>
      <c r="I238" s="1">
        <v>46213</v>
      </c>
      <c r="J238" t="s">
        <v>1849</v>
      </c>
      <c r="K238" t="s">
        <v>2698</v>
      </c>
      <c r="L238" t="s">
        <v>2669</v>
      </c>
    </row>
    <row r="239" spans="1:12">
      <c r="A239" t="s">
        <v>2569</v>
      </c>
      <c r="B239" t="s">
        <v>2701</v>
      </c>
      <c r="C239" t="s">
        <v>2702</v>
      </c>
      <c r="D239" t="s">
        <v>16</v>
      </c>
      <c r="G239" s="2">
        <v>46251.354166666664</v>
      </c>
      <c r="H239" s="2">
        <v>46269.53125</v>
      </c>
      <c r="I239" s="1">
        <v>46212</v>
      </c>
      <c r="J239" t="s">
        <v>1849</v>
      </c>
      <c r="K239" t="s">
        <v>2703</v>
      </c>
      <c r="L239" t="s">
        <v>2669</v>
      </c>
    </row>
    <row r="240" spans="1:12">
      <c r="A240" t="s">
        <v>2569</v>
      </c>
      <c r="B240" t="s">
        <v>2704</v>
      </c>
      <c r="C240" t="s">
        <v>2705</v>
      </c>
      <c r="D240" t="s">
        <v>16</v>
      </c>
      <c r="G240" s="2">
        <v>46251.354166666664</v>
      </c>
      <c r="H240" s="2">
        <v>46269.53125</v>
      </c>
      <c r="I240" s="1">
        <v>46206</v>
      </c>
      <c r="J240" t="s">
        <v>1849</v>
      </c>
      <c r="K240" t="s">
        <v>2706</v>
      </c>
      <c r="L240" t="s">
        <v>2680</v>
      </c>
    </row>
    <row r="241" spans="1:12">
      <c r="A241" t="s">
        <v>2569</v>
      </c>
      <c r="B241" t="s">
        <v>2707</v>
      </c>
      <c r="C241" t="s">
        <v>2708</v>
      </c>
      <c r="D241" t="s">
        <v>16</v>
      </c>
      <c r="G241" s="2">
        <v>46251.354166666664</v>
      </c>
      <c r="H241" s="2">
        <v>46269.53125</v>
      </c>
      <c r="I241" s="1">
        <v>46213</v>
      </c>
      <c r="J241" t="s">
        <v>1849</v>
      </c>
      <c r="K241" t="s">
        <v>2709</v>
      </c>
      <c r="L241" t="s">
        <v>2680</v>
      </c>
    </row>
    <row r="242" spans="1:12">
      <c r="A242" t="s">
        <v>2569</v>
      </c>
      <c r="B242" t="s">
        <v>2710</v>
      </c>
      <c r="C242" t="s">
        <v>2711</v>
      </c>
      <c r="D242" t="s">
        <v>16</v>
      </c>
      <c r="G242" s="2">
        <v>46251.5625</v>
      </c>
      <c r="H242" s="2">
        <v>46269.739583333336</v>
      </c>
      <c r="I242" s="1">
        <v>46215</v>
      </c>
      <c r="J242" t="s">
        <v>1849</v>
      </c>
      <c r="K242" t="s">
        <v>2712</v>
      </c>
      <c r="L242" t="s">
        <v>2680</v>
      </c>
    </row>
    <row r="243" spans="1:12">
      <c r="A243" t="s">
        <v>2569</v>
      </c>
      <c r="B243" t="s">
        <v>2713</v>
      </c>
      <c r="C243" t="s">
        <v>2714</v>
      </c>
      <c r="D243" t="s">
        <v>16</v>
      </c>
      <c r="G243" s="2">
        <v>46251.5625</v>
      </c>
      <c r="H243" s="2">
        <v>46269.739583333336</v>
      </c>
      <c r="I243" s="1">
        <v>46206</v>
      </c>
      <c r="J243" t="s">
        <v>1849</v>
      </c>
      <c r="K243" t="s">
        <v>2715</v>
      </c>
      <c r="L243" t="s">
        <v>2669</v>
      </c>
    </row>
    <row r="244" spans="1:12">
      <c r="A244" t="s">
        <v>2569</v>
      </c>
      <c r="B244" t="s">
        <v>2716</v>
      </c>
      <c r="C244" t="s">
        <v>2717</v>
      </c>
      <c r="D244" t="s">
        <v>16</v>
      </c>
      <c r="G244" s="2">
        <v>46251.354166666664</v>
      </c>
      <c r="H244" s="2">
        <v>46269.53125</v>
      </c>
      <c r="I244" s="1">
        <v>46212</v>
      </c>
      <c r="J244" t="s">
        <v>1849</v>
      </c>
      <c r="K244" t="s">
        <v>2718</v>
      </c>
      <c r="L244" t="s">
        <v>2669</v>
      </c>
    </row>
    <row r="245" spans="1:12">
      <c r="A245" t="s">
        <v>828</v>
      </c>
      <c r="B245" t="s">
        <v>2719</v>
      </c>
      <c r="C245" t="s">
        <v>2720</v>
      </c>
      <c r="D245" t="s">
        <v>16</v>
      </c>
      <c r="G245" s="2">
        <v>46251.354166666664</v>
      </c>
      <c r="H245" s="2">
        <v>46269.53125</v>
      </c>
      <c r="I245" s="1">
        <v>46205</v>
      </c>
      <c r="J245" t="s">
        <v>1849</v>
      </c>
      <c r="K245" t="s">
        <v>2721</v>
      </c>
      <c r="L245" t="s">
        <v>2645</v>
      </c>
    </row>
    <row r="246" spans="1:12">
      <c r="A246" t="s">
        <v>2569</v>
      </c>
      <c r="B246" t="s">
        <v>2722</v>
      </c>
      <c r="C246" t="s">
        <v>2723</v>
      </c>
      <c r="D246" t="s">
        <v>16</v>
      </c>
      <c r="G246" s="2">
        <v>46251.354166666664</v>
      </c>
      <c r="H246" s="2">
        <v>46269.53125</v>
      </c>
      <c r="I246" s="1">
        <v>46206</v>
      </c>
      <c r="J246" t="s">
        <v>1849</v>
      </c>
      <c r="K246" t="s">
        <v>2721</v>
      </c>
      <c r="L246" t="s">
        <v>2645</v>
      </c>
    </row>
    <row r="247" spans="1:12">
      <c r="A247" t="s">
        <v>2569</v>
      </c>
      <c r="B247" t="s">
        <v>2724</v>
      </c>
      <c r="C247" t="s">
        <v>2725</v>
      </c>
      <c r="D247" t="s">
        <v>16</v>
      </c>
      <c r="G247" s="2">
        <v>46251.5625</v>
      </c>
      <c r="H247" s="2">
        <v>46269.739583333336</v>
      </c>
      <c r="I247" s="1">
        <v>46211</v>
      </c>
      <c r="J247" t="s">
        <v>1849</v>
      </c>
      <c r="K247" t="s">
        <v>2721</v>
      </c>
      <c r="L247" t="s">
        <v>2645</v>
      </c>
    </row>
    <row r="248" spans="1:12">
      <c r="A248" t="s">
        <v>2569</v>
      </c>
      <c r="B248" t="s">
        <v>2726</v>
      </c>
      <c r="C248" t="s">
        <v>2727</v>
      </c>
      <c r="D248" t="s">
        <v>16</v>
      </c>
      <c r="G248" s="2">
        <v>46251.5625</v>
      </c>
      <c r="H248" s="2">
        <v>46269.739583333336</v>
      </c>
      <c r="I248" s="1">
        <v>46212</v>
      </c>
      <c r="J248" t="s">
        <v>1849</v>
      </c>
      <c r="K248" t="s">
        <v>2721</v>
      </c>
      <c r="L248" t="s">
        <v>2645</v>
      </c>
    </row>
    <row r="249" spans="1:12">
      <c r="A249" t="s">
        <v>828</v>
      </c>
      <c r="B249" t="s">
        <v>2728</v>
      </c>
      <c r="C249" t="s">
        <v>2729</v>
      </c>
      <c r="D249" t="s">
        <v>16</v>
      </c>
      <c r="G249" s="2">
        <v>46251.354166666664</v>
      </c>
      <c r="H249" s="2">
        <v>46269.53125</v>
      </c>
      <c r="I249" s="1">
        <v>46205</v>
      </c>
      <c r="J249" t="s">
        <v>1849</v>
      </c>
      <c r="K249" t="s">
        <v>2730</v>
      </c>
      <c r="L249" t="s">
        <v>2645</v>
      </c>
    </row>
    <row r="250" spans="1:12">
      <c r="A250" t="s">
        <v>2569</v>
      </c>
      <c r="B250" t="s">
        <v>2731</v>
      </c>
      <c r="C250" t="s">
        <v>2732</v>
      </c>
      <c r="D250" t="s">
        <v>16</v>
      </c>
      <c r="G250" s="2">
        <v>46251.354166666664</v>
      </c>
      <c r="H250" s="2">
        <v>46269.53125</v>
      </c>
      <c r="I250" s="1">
        <v>46216</v>
      </c>
      <c r="J250" t="s">
        <v>1849</v>
      </c>
      <c r="K250" t="s">
        <v>2730</v>
      </c>
      <c r="L250" t="s">
        <v>2645</v>
      </c>
    </row>
    <row r="251" spans="1:12">
      <c r="A251" t="s">
        <v>2569</v>
      </c>
      <c r="B251" t="s">
        <v>2733</v>
      </c>
      <c r="C251" t="s">
        <v>2734</v>
      </c>
      <c r="D251" t="s">
        <v>16</v>
      </c>
      <c r="G251" s="2">
        <v>46251.354166666664</v>
      </c>
      <c r="H251" s="2">
        <v>46269.53125</v>
      </c>
      <c r="I251" s="1">
        <v>46202</v>
      </c>
      <c r="J251" t="s">
        <v>1849</v>
      </c>
      <c r="K251" t="s">
        <v>2735</v>
      </c>
      <c r="L251" t="s">
        <v>2680</v>
      </c>
    </row>
    <row r="252" spans="1:12">
      <c r="A252" t="s">
        <v>2569</v>
      </c>
      <c r="B252" t="s">
        <v>2736</v>
      </c>
      <c r="C252" t="s">
        <v>2737</v>
      </c>
      <c r="D252" t="s">
        <v>16</v>
      </c>
      <c r="G252" s="2">
        <v>46251.5625</v>
      </c>
      <c r="H252" s="2">
        <v>46269.739583333336</v>
      </c>
      <c r="I252" s="1">
        <v>46209</v>
      </c>
      <c r="J252" t="s">
        <v>1849</v>
      </c>
      <c r="K252" t="s">
        <v>2735</v>
      </c>
      <c r="L252" t="s">
        <v>2680</v>
      </c>
    </row>
    <row r="253" spans="1:12">
      <c r="A253" t="s">
        <v>2569</v>
      </c>
      <c r="B253" t="s">
        <v>2738</v>
      </c>
      <c r="C253" t="s">
        <v>2739</v>
      </c>
      <c r="D253" t="s">
        <v>16</v>
      </c>
      <c r="G253" s="2">
        <v>46251.5625</v>
      </c>
      <c r="H253" s="2">
        <v>46269.739583333336</v>
      </c>
      <c r="I253" s="1">
        <v>46212</v>
      </c>
      <c r="J253" t="s">
        <v>1849</v>
      </c>
      <c r="K253" t="s">
        <v>2740</v>
      </c>
      <c r="L253" t="s">
        <v>2669</v>
      </c>
    </row>
    <row r="254" spans="1:12">
      <c r="A254" t="s">
        <v>2569</v>
      </c>
      <c r="B254" t="s">
        <v>2741</v>
      </c>
      <c r="C254" t="s">
        <v>2742</v>
      </c>
      <c r="D254" t="s">
        <v>16</v>
      </c>
      <c r="G254" s="2">
        <v>46251.354166666664</v>
      </c>
      <c r="H254" s="2">
        <v>46269.53125</v>
      </c>
      <c r="I254" s="1">
        <v>46210</v>
      </c>
      <c r="J254" t="s">
        <v>1849</v>
      </c>
      <c r="K254" t="s">
        <v>2743</v>
      </c>
      <c r="L254" t="s">
        <v>2669</v>
      </c>
    </row>
    <row r="255" spans="1:12">
      <c r="A255" t="s">
        <v>828</v>
      </c>
      <c r="B255" t="s">
        <v>2744</v>
      </c>
      <c r="C255" t="s">
        <v>2745</v>
      </c>
      <c r="D255" t="s">
        <v>16</v>
      </c>
      <c r="G255" s="2">
        <v>46251.354166666664</v>
      </c>
      <c r="H255" s="2">
        <v>46269.53125</v>
      </c>
      <c r="I255" s="1">
        <v>46198</v>
      </c>
      <c r="J255" t="s">
        <v>1849</v>
      </c>
      <c r="K255" t="s">
        <v>2746</v>
      </c>
      <c r="L255" t="s">
        <v>2645</v>
      </c>
    </row>
    <row r="256" spans="1:12">
      <c r="A256" t="s">
        <v>2569</v>
      </c>
      <c r="B256" t="s">
        <v>2747</v>
      </c>
      <c r="C256" t="s">
        <v>2748</v>
      </c>
      <c r="D256" t="s">
        <v>16</v>
      </c>
      <c r="G256" s="2">
        <v>46251.354166666664</v>
      </c>
      <c r="H256" s="2">
        <v>46269.53125</v>
      </c>
      <c r="I256" s="1">
        <v>46211</v>
      </c>
      <c r="J256" t="s">
        <v>1849</v>
      </c>
      <c r="K256" t="s">
        <v>2746</v>
      </c>
      <c r="L256" t="s">
        <v>2645</v>
      </c>
    </row>
    <row r="257" spans="1:12">
      <c r="A257" t="s">
        <v>2569</v>
      </c>
      <c r="B257" t="s">
        <v>2749</v>
      </c>
      <c r="C257" t="s">
        <v>2750</v>
      </c>
      <c r="D257" t="s">
        <v>16</v>
      </c>
      <c r="G257" s="2">
        <v>46251.354166666664</v>
      </c>
      <c r="H257" s="2">
        <v>46269.53125</v>
      </c>
      <c r="I257" s="1">
        <v>46209</v>
      </c>
      <c r="J257" t="s">
        <v>1849</v>
      </c>
      <c r="K257" t="s">
        <v>2746</v>
      </c>
      <c r="L257" t="s">
        <v>2645</v>
      </c>
    </row>
    <row r="258" spans="1:12">
      <c r="A258" t="s">
        <v>2569</v>
      </c>
      <c r="B258" t="s">
        <v>2751</v>
      </c>
      <c r="C258" t="s">
        <v>2752</v>
      </c>
      <c r="D258" t="s">
        <v>16</v>
      </c>
      <c r="G258" s="2">
        <v>46251.5625</v>
      </c>
      <c r="H258" s="2">
        <v>46269.739583333336</v>
      </c>
      <c r="I258" s="1">
        <v>46192</v>
      </c>
      <c r="J258" t="s">
        <v>1849</v>
      </c>
      <c r="K258" t="s">
        <v>2746</v>
      </c>
      <c r="L258" t="s">
        <v>2645</v>
      </c>
    </row>
    <row r="259" spans="1:12">
      <c r="A259" t="s">
        <v>828</v>
      </c>
      <c r="B259" t="s">
        <v>2753</v>
      </c>
      <c r="C259" t="s">
        <v>2754</v>
      </c>
      <c r="D259" t="s">
        <v>16</v>
      </c>
      <c r="G259" s="2">
        <v>46251.5625</v>
      </c>
      <c r="H259" s="2">
        <v>46269.739583333336</v>
      </c>
      <c r="I259" s="1">
        <v>46210</v>
      </c>
      <c r="J259" t="s">
        <v>1849</v>
      </c>
      <c r="K259" t="s">
        <v>2746</v>
      </c>
      <c r="L259" t="s">
        <v>2645</v>
      </c>
    </row>
    <row r="260" spans="1:12">
      <c r="A260" t="s">
        <v>828</v>
      </c>
      <c r="B260" t="s">
        <v>2755</v>
      </c>
      <c r="C260" t="s">
        <v>2756</v>
      </c>
      <c r="D260" t="s">
        <v>16</v>
      </c>
      <c r="G260" s="2">
        <v>46251.354166666664</v>
      </c>
      <c r="H260" s="2">
        <v>46269.53125</v>
      </c>
      <c r="I260" s="1">
        <v>46195</v>
      </c>
      <c r="J260" t="s">
        <v>1849</v>
      </c>
      <c r="K260" t="s">
        <v>2757</v>
      </c>
      <c r="L260" t="s">
        <v>2645</v>
      </c>
    </row>
    <row r="261" spans="1:12">
      <c r="A261" t="s">
        <v>2569</v>
      </c>
      <c r="B261" t="s">
        <v>2758</v>
      </c>
      <c r="C261" t="s">
        <v>2759</v>
      </c>
      <c r="D261" t="s">
        <v>16</v>
      </c>
      <c r="G261" s="2">
        <v>46251.354166666664</v>
      </c>
      <c r="H261" s="2">
        <v>46269.53125</v>
      </c>
      <c r="I261" s="1">
        <v>46204</v>
      </c>
      <c r="J261" t="s">
        <v>1849</v>
      </c>
      <c r="K261" t="s">
        <v>2757</v>
      </c>
      <c r="L261" t="s">
        <v>2645</v>
      </c>
    </row>
    <row r="262" spans="1:12">
      <c r="A262" t="s">
        <v>2569</v>
      </c>
      <c r="B262" t="s">
        <v>2760</v>
      </c>
      <c r="C262" t="s">
        <v>2761</v>
      </c>
      <c r="D262" t="s">
        <v>16</v>
      </c>
      <c r="G262" s="2">
        <v>46251.354166666664</v>
      </c>
      <c r="H262" s="2">
        <v>46269.53125</v>
      </c>
      <c r="I262" s="1">
        <v>46212</v>
      </c>
      <c r="J262" t="s">
        <v>1849</v>
      </c>
      <c r="K262" t="s">
        <v>2757</v>
      </c>
      <c r="L262" t="s">
        <v>2645</v>
      </c>
    </row>
    <row r="263" spans="1:12">
      <c r="A263" t="s">
        <v>2569</v>
      </c>
      <c r="B263" t="s">
        <v>2762</v>
      </c>
      <c r="C263" t="s">
        <v>2763</v>
      </c>
      <c r="D263" t="s">
        <v>16</v>
      </c>
      <c r="G263" s="2">
        <v>46251.5625</v>
      </c>
      <c r="H263" s="2">
        <v>46269.739583333336</v>
      </c>
      <c r="I263" s="1">
        <v>46217</v>
      </c>
      <c r="J263" t="s">
        <v>1849</v>
      </c>
      <c r="K263" t="s">
        <v>2757</v>
      </c>
      <c r="L263" t="s">
        <v>2645</v>
      </c>
    </row>
    <row r="264" spans="1:12">
      <c r="A264" t="s">
        <v>828</v>
      </c>
      <c r="B264" t="s">
        <v>2764</v>
      </c>
      <c r="C264" t="s">
        <v>2765</v>
      </c>
      <c r="D264" t="s">
        <v>16</v>
      </c>
      <c r="G264" s="2">
        <v>46251.5625</v>
      </c>
      <c r="H264" s="2">
        <v>46269.739583333336</v>
      </c>
      <c r="I264" s="1">
        <v>46217</v>
      </c>
      <c r="J264" t="s">
        <v>1849</v>
      </c>
      <c r="K264" t="s">
        <v>2757</v>
      </c>
      <c r="L264" t="s">
        <v>2645</v>
      </c>
    </row>
    <row r="265" spans="1:12">
      <c r="A265" t="s">
        <v>828</v>
      </c>
      <c r="B265" t="s">
        <v>2766</v>
      </c>
      <c r="C265" t="s">
        <v>2767</v>
      </c>
      <c r="D265" t="s">
        <v>16</v>
      </c>
      <c r="G265" s="2">
        <v>46251.5625</v>
      </c>
      <c r="H265" s="2">
        <v>46269.739583333336</v>
      </c>
      <c r="I265" s="1">
        <v>46210</v>
      </c>
      <c r="J265" t="s">
        <v>1849</v>
      </c>
      <c r="K265" t="s">
        <v>2768</v>
      </c>
      <c r="L265" t="s">
        <v>2645</v>
      </c>
    </row>
    <row r="266" spans="1:12">
      <c r="A266" t="s">
        <v>2569</v>
      </c>
      <c r="B266" t="s">
        <v>2769</v>
      </c>
      <c r="C266" t="s">
        <v>2770</v>
      </c>
      <c r="D266" t="s">
        <v>16</v>
      </c>
      <c r="G266" s="2">
        <v>46251.354166666664</v>
      </c>
      <c r="H266" s="2">
        <v>46269.53125</v>
      </c>
      <c r="I266" s="1">
        <v>46217</v>
      </c>
      <c r="J266" t="s">
        <v>1849</v>
      </c>
      <c r="K266" t="s">
        <v>2768</v>
      </c>
      <c r="L266" t="s">
        <v>2645</v>
      </c>
    </row>
    <row r="267" spans="1:12">
      <c r="A267" t="s">
        <v>2569</v>
      </c>
      <c r="B267" t="s">
        <v>2771</v>
      </c>
      <c r="C267" t="s">
        <v>2772</v>
      </c>
      <c r="D267" t="s">
        <v>16</v>
      </c>
      <c r="G267" s="2">
        <v>46251.5625</v>
      </c>
      <c r="H267" s="2">
        <v>46269.739583333336</v>
      </c>
      <c r="I267" s="1">
        <v>46209</v>
      </c>
      <c r="J267" t="s">
        <v>1849</v>
      </c>
      <c r="K267" t="s">
        <v>2768</v>
      </c>
      <c r="L267" t="s">
        <v>2645</v>
      </c>
    </row>
    <row r="268" spans="1:12">
      <c r="A268" t="s">
        <v>2569</v>
      </c>
      <c r="B268" t="s">
        <v>2773</v>
      </c>
      <c r="C268" t="s">
        <v>2774</v>
      </c>
      <c r="D268" t="s">
        <v>16</v>
      </c>
      <c r="G268" s="2">
        <v>46251.354166666664</v>
      </c>
      <c r="H268" s="2">
        <v>46269.53125</v>
      </c>
      <c r="I268" s="1">
        <v>46197</v>
      </c>
      <c r="J268" t="s">
        <v>1849</v>
      </c>
      <c r="K268" t="s">
        <v>2775</v>
      </c>
      <c r="L268" t="s">
        <v>2680</v>
      </c>
    </row>
    <row r="269" spans="1:12">
      <c r="A269" t="s">
        <v>2569</v>
      </c>
      <c r="B269" t="s">
        <v>2776</v>
      </c>
      <c r="C269" t="s">
        <v>2777</v>
      </c>
      <c r="D269" t="s">
        <v>16</v>
      </c>
      <c r="G269" s="2">
        <v>46251.354166666664</v>
      </c>
      <c r="H269" s="2">
        <v>46269.53125</v>
      </c>
      <c r="I269" s="1">
        <v>46216</v>
      </c>
      <c r="J269" t="s">
        <v>1849</v>
      </c>
      <c r="K269" t="s">
        <v>2775</v>
      </c>
      <c r="L269" t="s">
        <v>2680</v>
      </c>
    </row>
    <row r="270" spans="1:12">
      <c r="A270" t="s">
        <v>2569</v>
      </c>
      <c r="B270" t="s">
        <v>2778</v>
      </c>
      <c r="C270" t="s">
        <v>2779</v>
      </c>
      <c r="D270" t="s">
        <v>16</v>
      </c>
      <c r="G270" s="2">
        <v>46251.5625</v>
      </c>
      <c r="H270" s="2">
        <v>46269.739583333336</v>
      </c>
      <c r="I270" s="1">
        <v>46217</v>
      </c>
      <c r="J270" t="s">
        <v>1849</v>
      </c>
      <c r="K270" t="s">
        <v>2775</v>
      </c>
      <c r="L270" t="s">
        <v>2680</v>
      </c>
    </row>
    <row r="271" spans="1:12">
      <c r="A271" t="s">
        <v>828</v>
      </c>
      <c r="B271" t="s">
        <v>2780</v>
      </c>
      <c r="C271" t="s">
        <v>2781</v>
      </c>
      <c r="D271" t="s">
        <v>16</v>
      </c>
      <c r="G271" s="2">
        <v>46251.354166666664</v>
      </c>
      <c r="H271" s="2">
        <v>46269.53125</v>
      </c>
      <c r="I271" s="1">
        <v>46206</v>
      </c>
      <c r="J271" t="s">
        <v>1849</v>
      </c>
      <c r="K271" t="s">
        <v>2775</v>
      </c>
      <c r="L271" t="s">
        <v>2680</v>
      </c>
    </row>
    <row r="272" spans="1:12">
      <c r="A272" t="s">
        <v>2569</v>
      </c>
      <c r="B272" t="s">
        <v>2782</v>
      </c>
      <c r="C272" t="s">
        <v>2783</v>
      </c>
      <c r="D272" t="s">
        <v>16</v>
      </c>
      <c r="G272" s="2">
        <v>46251.354166666664</v>
      </c>
      <c r="H272" s="2">
        <v>46269.53125</v>
      </c>
      <c r="I272" s="1">
        <v>46203</v>
      </c>
      <c r="J272" t="s">
        <v>1849</v>
      </c>
      <c r="K272" t="s">
        <v>2784</v>
      </c>
      <c r="L272" t="s">
        <v>2680</v>
      </c>
    </row>
    <row r="273" spans="1:12">
      <c r="A273" t="s">
        <v>2569</v>
      </c>
      <c r="B273" t="s">
        <v>2785</v>
      </c>
      <c r="C273" t="s">
        <v>2786</v>
      </c>
      <c r="D273" t="s">
        <v>16</v>
      </c>
      <c r="G273" s="2">
        <v>46251.5625</v>
      </c>
      <c r="H273" s="2">
        <v>46269.739583333336</v>
      </c>
      <c r="I273" s="1">
        <v>46205</v>
      </c>
      <c r="J273" t="s">
        <v>1849</v>
      </c>
      <c r="K273" t="s">
        <v>2784</v>
      </c>
      <c r="L273" t="s">
        <v>2680</v>
      </c>
    </row>
    <row r="274" spans="1:12">
      <c r="A274" t="s">
        <v>2569</v>
      </c>
      <c r="B274" t="s">
        <v>2787</v>
      </c>
      <c r="C274" t="s">
        <v>2788</v>
      </c>
      <c r="D274" t="s">
        <v>16</v>
      </c>
      <c r="G274" s="2">
        <v>46251.354166666664</v>
      </c>
      <c r="H274" s="2">
        <v>46269.53125</v>
      </c>
      <c r="I274" s="1">
        <v>46205</v>
      </c>
      <c r="J274" t="s">
        <v>1849</v>
      </c>
      <c r="K274" t="s">
        <v>2789</v>
      </c>
      <c r="L274" t="s">
        <v>2680</v>
      </c>
    </row>
    <row r="275" spans="1:12">
      <c r="A275" t="s">
        <v>2569</v>
      </c>
      <c r="B275" t="s">
        <v>2790</v>
      </c>
      <c r="C275" t="s">
        <v>2791</v>
      </c>
      <c r="D275" t="s">
        <v>16</v>
      </c>
      <c r="G275" s="2">
        <v>46251.5625</v>
      </c>
      <c r="H275" s="2">
        <v>46269.739583333336</v>
      </c>
      <c r="I275" s="1">
        <v>46208</v>
      </c>
      <c r="J275" t="s">
        <v>1849</v>
      </c>
      <c r="K275" t="s">
        <v>2789</v>
      </c>
      <c r="L275" t="s">
        <v>2680</v>
      </c>
    </row>
    <row r="276" spans="1:12">
      <c r="A276" t="s">
        <v>2569</v>
      </c>
      <c r="B276" t="s">
        <v>2792</v>
      </c>
      <c r="C276" t="s">
        <v>2793</v>
      </c>
      <c r="D276" t="s">
        <v>16</v>
      </c>
      <c r="G276" s="2">
        <v>46251.354166666664</v>
      </c>
      <c r="H276" s="2">
        <v>46269.53125</v>
      </c>
      <c r="I276" s="1">
        <v>46203</v>
      </c>
      <c r="J276" t="s">
        <v>1849</v>
      </c>
      <c r="K276" t="s">
        <v>2794</v>
      </c>
      <c r="L276" t="s">
        <v>2680</v>
      </c>
    </row>
    <row r="277" spans="1:12">
      <c r="A277" t="s">
        <v>2569</v>
      </c>
      <c r="B277" t="s">
        <v>2795</v>
      </c>
      <c r="C277" t="s">
        <v>2796</v>
      </c>
      <c r="D277" t="s">
        <v>16</v>
      </c>
      <c r="G277" s="2">
        <v>46251.5625</v>
      </c>
      <c r="H277" s="2">
        <v>46269.739583333336</v>
      </c>
      <c r="I277" s="1">
        <v>46216</v>
      </c>
      <c r="J277" t="s">
        <v>1849</v>
      </c>
      <c r="K277" t="s">
        <v>2794</v>
      </c>
      <c r="L277" t="s">
        <v>2680</v>
      </c>
    </row>
    <row r="278" spans="1:12">
      <c r="A278" t="s">
        <v>2569</v>
      </c>
      <c r="B278" t="s">
        <v>2797</v>
      </c>
      <c r="C278" t="s">
        <v>2798</v>
      </c>
      <c r="D278" t="s">
        <v>16</v>
      </c>
      <c r="G278" s="2">
        <v>46251.354166666664</v>
      </c>
      <c r="H278" s="2">
        <v>46269.53125</v>
      </c>
      <c r="I278" s="1">
        <v>46206</v>
      </c>
      <c r="J278" t="s">
        <v>1849</v>
      </c>
      <c r="K278" t="s">
        <v>2799</v>
      </c>
      <c r="L278" t="s">
        <v>2680</v>
      </c>
    </row>
    <row r="279" spans="1:12">
      <c r="A279" t="s">
        <v>2569</v>
      </c>
      <c r="B279" t="s">
        <v>2800</v>
      </c>
      <c r="C279" t="s">
        <v>2801</v>
      </c>
      <c r="D279" t="s">
        <v>16</v>
      </c>
      <c r="G279" s="2">
        <v>46251.5625</v>
      </c>
      <c r="H279" s="2">
        <v>46269.739583333336</v>
      </c>
      <c r="I279" s="1">
        <v>46209</v>
      </c>
      <c r="J279" t="s">
        <v>1849</v>
      </c>
      <c r="K279" t="s">
        <v>2799</v>
      </c>
      <c r="L279" t="s">
        <v>2680</v>
      </c>
    </row>
    <row r="280" spans="1:12">
      <c r="A280" t="s">
        <v>2569</v>
      </c>
      <c r="B280" t="s">
        <v>2802</v>
      </c>
      <c r="C280" t="s">
        <v>2803</v>
      </c>
      <c r="D280" t="s">
        <v>16</v>
      </c>
      <c r="G280" s="2">
        <v>46251.354166666664</v>
      </c>
      <c r="H280" s="2">
        <v>46269.53125</v>
      </c>
      <c r="I280" s="1">
        <v>46196</v>
      </c>
      <c r="J280" t="s">
        <v>1849</v>
      </c>
      <c r="K280" t="s">
        <v>2804</v>
      </c>
      <c r="L280" t="s">
        <v>2680</v>
      </c>
    </row>
    <row r="281" spans="1:12">
      <c r="A281" t="s">
        <v>2569</v>
      </c>
      <c r="B281" t="s">
        <v>2805</v>
      </c>
      <c r="C281" t="s">
        <v>2806</v>
      </c>
      <c r="D281" t="s">
        <v>16</v>
      </c>
      <c r="G281" s="2">
        <v>46251.5625</v>
      </c>
      <c r="H281" s="2">
        <v>46269.739583333336</v>
      </c>
      <c r="I281" s="1">
        <v>46203</v>
      </c>
      <c r="J281" t="s">
        <v>1849</v>
      </c>
      <c r="K281" t="s">
        <v>2804</v>
      </c>
      <c r="L281" t="s">
        <v>2680</v>
      </c>
    </row>
    <row r="282" spans="1:12">
      <c r="A282" t="s">
        <v>2569</v>
      </c>
      <c r="B282" t="s">
        <v>2807</v>
      </c>
      <c r="C282" t="s">
        <v>2808</v>
      </c>
      <c r="D282" t="s">
        <v>16</v>
      </c>
      <c r="G282" s="2">
        <v>46251.354166666664</v>
      </c>
      <c r="H282" s="2">
        <v>46269.53125</v>
      </c>
      <c r="I282" s="1">
        <v>46197</v>
      </c>
      <c r="J282" t="s">
        <v>1849</v>
      </c>
      <c r="K282" t="s">
        <v>2809</v>
      </c>
      <c r="L282" t="s">
        <v>2680</v>
      </c>
    </row>
    <row r="283" spans="1:12">
      <c r="A283" t="s">
        <v>2569</v>
      </c>
      <c r="B283" t="s">
        <v>2810</v>
      </c>
      <c r="C283" t="s">
        <v>2811</v>
      </c>
      <c r="D283" t="s">
        <v>16</v>
      </c>
      <c r="G283" s="2">
        <v>46251.5625</v>
      </c>
      <c r="H283" s="2">
        <v>46269.739583333336</v>
      </c>
      <c r="I283" s="1">
        <v>46216</v>
      </c>
      <c r="J283" t="s">
        <v>1849</v>
      </c>
      <c r="K283" t="s">
        <v>2812</v>
      </c>
      <c r="L283" t="s">
        <v>2813</v>
      </c>
    </row>
    <row r="284" spans="1:12">
      <c r="A284" t="s">
        <v>2569</v>
      </c>
      <c r="B284" t="s">
        <v>2814</v>
      </c>
      <c r="C284" t="s">
        <v>2815</v>
      </c>
      <c r="D284" t="s">
        <v>16</v>
      </c>
      <c r="G284" s="2">
        <v>46251.354166666664</v>
      </c>
      <c r="H284" s="2">
        <v>46269.53125</v>
      </c>
      <c r="I284" s="1">
        <v>46212</v>
      </c>
      <c r="J284" t="s">
        <v>1849</v>
      </c>
      <c r="K284" t="s">
        <v>2816</v>
      </c>
      <c r="L284" t="s">
        <v>2573</v>
      </c>
    </row>
    <row r="285" spans="1:12">
      <c r="A285" t="s">
        <v>2569</v>
      </c>
      <c r="B285" t="s">
        <v>2817</v>
      </c>
      <c r="C285" t="s">
        <v>2818</v>
      </c>
      <c r="D285" t="s">
        <v>16</v>
      </c>
      <c r="G285" s="2">
        <v>46251.5625</v>
      </c>
      <c r="H285" s="2">
        <v>46269.739583333336</v>
      </c>
      <c r="I285" s="1">
        <v>46211</v>
      </c>
      <c r="J285" t="s">
        <v>1849</v>
      </c>
      <c r="K285" t="s">
        <v>2819</v>
      </c>
      <c r="L285" t="s">
        <v>2573</v>
      </c>
    </row>
    <row r="286" spans="1:12">
      <c r="A286" t="s">
        <v>2569</v>
      </c>
      <c r="B286" t="s">
        <v>2820</v>
      </c>
      <c r="C286" t="s">
        <v>2821</v>
      </c>
      <c r="D286" t="s">
        <v>16</v>
      </c>
      <c r="G286" s="2">
        <v>46251.5625</v>
      </c>
      <c r="H286" s="2">
        <v>46269.739583333336</v>
      </c>
      <c r="I286" s="1">
        <v>46205</v>
      </c>
      <c r="J286" t="s">
        <v>1849</v>
      </c>
      <c r="K286" t="s">
        <v>2822</v>
      </c>
      <c r="L286" t="s">
        <v>2573</v>
      </c>
    </row>
    <row r="287" spans="1:12">
      <c r="A287" t="s">
        <v>2569</v>
      </c>
      <c r="B287" t="s">
        <v>2823</v>
      </c>
      <c r="C287" t="s">
        <v>2824</v>
      </c>
      <c r="D287" t="s">
        <v>16</v>
      </c>
      <c r="G287" s="2">
        <v>46251.354166666664</v>
      </c>
      <c r="H287" s="2">
        <v>46269.53125</v>
      </c>
      <c r="I287" s="1">
        <v>46213</v>
      </c>
      <c r="J287" t="s">
        <v>1849</v>
      </c>
      <c r="K287" t="s">
        <v>2825</v>
      </c>
      <c r="L287" t="s">
        <v>2573</v>
      </c>
    </row>
    <row r="288" spans="1:12">
      <c r="A288" t="s">
        <v>2569</v>
      </c>
      <c r="B288" t="s">
        <v>2826</v>
      </c>
      <c r="C288" t="s">
        <v>2827</v>
      </c>
      <c r="D288" t="s">
        <v>16</v>
      </c>
      <c r="G288" s="2">
        <v>46251.354166666664</v>
      </c>
      <c r="H288" s="2">
        <v>46269.53125</v>
      </c>
      <c r="I288" s="1">
        <v>46208</v>
      </c>
      <c r="J288" t="s">
        <v>1849</v>
      </c>
      <c r="K288" t="s">
        <v>2828</v>
      </c>
      <c r="L288" t="s">
        <v>2573</v>
      </c>
    </row>
    <row r="289" spans="1:12">
      <c r="A289" t="s">
        <v>2569</v>
      </c>
      <c r="B289" t="s">
        <v>2829</v>
      </c>
      <c r="C289" t="s">
        <v>2830</v>
      </c>
      <c r="D289" t="s">
        <v>16</v>
      </c>
      <c r="G289" s="2">
        <v>46251.5625</v>
      </c>
      <c r="H289" s="2">
        <v>46269.739583333336</v>
      </c>
      <c r="I289" s="1">
        <v>46213</v>
      </c>
      <c r="J289" t="s">
        <v>1849</v>
      </c>
      <c r="K289" t="s">
        <v>2828</v>
      </c>
      <c r="L289" t="s">
        <v>2573</v>
      </c>
    </row>
    <row r="290" spans="1:12">
      <c r="A290" t="s">
        <v>2569</v>
      </c>
      <c r="B290" t="s">
        <v>2831</v>
      </c>
      <c r="C290" t="s">
        <v>2832</v>
      </c>
      <c r="D290" t="s">
        <v>16</v>
      </c>
      <c r="G290" s="2">
        <v>46251.354166666664</v>
      </c>
      <c r="H290" s="2">
        <v>46269.53125</v>
      </c>
      <c r="I290" s="1">
        <v>46211</v>
      </c>
      <c r="J290" t="s">
        <v>1849</v>
      </c>
      <c r="K290" t="s">
        <v>2833</v>
      </c>
      <c r="L290" t="s">
        <v>2573</v>
      </c>
    </row>
    <row r="291" spans="1:12">
      <c r="A291" t="s">
        <v>828</v>
      </c>
      <c r="B291" t="s">
        <v>2834</v>
      </c>
      <c r="C291" t="s">
        <v>2835</v>
      </c>
      <c r="D291" t="s">
        <v>16</v>
      </c>
      <c r="G291" s="2">
        <v>46251.354166666664</v>
      </c>
      <c r="H291" s="2">
        <v>46269.53125</v>
      </c>
      <c r="I291" s="1">
        <v>46202</v>
      </c>
      <c r="J291" t="s">
        <v>1849</v>
      </c>
      <c r="K291" t="s">
        <v>2833</v>
      </c>
      <c r="L291" t="s">
        <v>2573</v>
      </c>
    </row>
    <row r="292" spans="1:12">
      <c r="A292" t="s">
        <v>2569</v>
      </c>
      <c r="B292" t="s">
        <v>2836</v>
      </c>
      <c r="C292" t="s">
        <v>2837</v>
      </c>
      <c r="D292" t="s">
        <v>16</v>
      </c>
      <c r="G292" s="2">
        <v>46251.5625</v>
      </c>
      <c r="H292" s="2">
        <v>46269.739583333336</v>
      </c>
      <c r="I292" s="1">
        <v>46206</v>
      </c>
      <c r="J292" t="s">
        <v>1849</v>
      </c>
      <c r="K292" t="s">
        <v>2838</v>
      </c>
      <c r="L292" t="s">
        <v>2573</v>
      </c>
    </row>
    <row r="293" spans="1:12">
      <c r="A293" t="s">
        <v>2569</v>
      </c>
      <c r="B293" t="s">
        <v>2839</v>
      </c>
      <c r="C293" t="s">
        <v>2840</v>
      </c>
      <c r="D293" t="s">
        <v>16</v>
      </c>
      <c r="G293" s="2">
        <v>46251.354166666664</v>
      </c>
      <c r="H293" s="2">
        <v>46269.53125</v>
      </c>
      <c r="I293" s="1">
        <v>46212</v>
      </c>
      <c r="J293" t="s">
        <v>1849</v>
      </c>
      <c r="K293" t="s">
        <v>2841</v>
      </c>
      <c r="L293" t="s">
        <v>2573</v>
      </c>
    </row>
    <row r="294" spans="1:12">
      <c r="A294" t="s">
        <v>2569</v>
      </c>
      <c r="B294" t="s">
        <v>2842</v>
      </c>
      <c r="C294" t="s">
        <v>2843</v>
      </c>
      <c r="D294" t="s">
        <v>16</v>
      </c>
      <c r="G294" s="2">
        <v>46251.354166666664</v>
      </c>
      <c r="H294" s="2">
        <v>46269.53125</v>
      </c>
      <c r="I294" s="1">
        <v>46213</v>
      </c>
      <c r="J294" t="s">
        <v>1849</v>
      </c>
      <c r="K294" t="s">
        <v>2844</v>
      </c>
      <c r="L294" t="s">
        <v>2573</v>
      </c>
    </row>
    <row r="295" spans="1:12">
      <c r="A295" t="s">
        <v>545</v>
      </c>
      <c r="B295" t="s">
        <v>548</v>
      </c>
      <c r="C295" t="s">
        <v>547</v>
      </c>
      <c r="D295" t="s">
        <v>21</v>
      </c>
      <c r="E295" t="s">
        <v>22</v>
      </c>
      <c r="F295">
        <v>38</v>
      </c>
      <c r="G295" s="2">
        <v>46289.375</v>
      </c>
      <c r="H295" s="2">
        <v>46289.708333333336</v>
      </c>
      <c r="I295" s="1">
        <v>46206</v>
      </c>
      <c r="J295" t="s">
        <v>1698</v>
      </c>
      <c r="K295" t="s">
        <v>547</v>
      </c>
      <c r="L295" t="s">
        <v>2533</v>
      </c>
    </row>
    <row r="296" spans="1:12">
      <c r="A296" t="s">
        <v>54</v>
      </c>
      <c r="B296" t="s">
        <v>1058</v>
      </c>
      <c r="C296" t="s">
        <v>56</v>
      </c>
      <c r="D296" t="s">
        <v>21</v>
      </c>
      <c r="E296" t="s">
        <v>22</v>
      </c>
      <c r="F296">
        <v>35</v>
      </c>
      <c r="I296" s="1">
        <v>46209</v>
      </c>
      <c r="J296" t="s">
        <v>1698</v>
      </c>
      <c r="K296" t="s">
        <v>56</v>
      </c>
    </row>
    <row r="297" spans="1:12">
      <c r="A297" t="s">
        <v>1766</v>
      </c>
      <c r="B297" t="s">
        <v>611</v>
      </c>
      <c r="C297" t="s">
        <v>612</v>
      </c>
      <c r="D297" t="s">
        <v>21</v>
      </c>
      <c r="E297" t="s">
        <v>22</v>
      </c>
      <c r="F297">
        <v>26</v>
      </c>
      <c r="G297" s="2">
        <v>46168.395833333336</v>
      </c>
      <c r="H297" s="2">
        <v>46168.5</v>
      </c>
      <c r="I297" s="1">
        <v>46212</v>
      </c>
      <c r="J297" t="s">
        <v>1698</v>
      </c>
      <c r="K297" t="s">
        <v>612</v>
      </c>
      <c r="L297" t="s">
        <v>2540</v>
      </c>
    </row>
    <row r="298" spans="1:12">
      <c r="A298" t="s">
        <v>1766</v>
      </c>
      <c r="B298" t="s">
        <v>614</v>
      </c>
      <c r="C298" t="s">
        <v>615</v>
      </c>
      <c r="D298" t="s">
        <v>21</v>
      </c>
      <c r="E298" t="s">
        <v>22</v>
      </c>
      <c r="F298">
        <v>14</v>
      </c>
      <c r="G298" s="2">
        <v>46177.583333333336</v>
      </c>
      <c r="H298" s="2">
        <v>46177.708333333336</v>
      </c>
      <c r="I298" s="1">
        <v>46212</v>
      </c>
      <c r="J298" t="s">
        <v>1698</v>
      </c>
      <c r="K298" t="s">
        <v>615</v>
      </c>
      <c r="L298" t="s">
        <v>2540</v>
      </c>
    </row>
    <row r="299" spans="1:12">
      <c r="A299" t="s">
        <v>388</v>
      </c>
      <c r="B299" t="s">
        <v>1739</v>
      </c>
      <c r="C299" t="s">
        <v>1101</v>
      </c>
      <c r="D299" t="s">
        <v>16</v>
      </c>
      <c r="G299" t="s">
        <v>17</v>
      </c>
      <c r="I299" s="1">
        <v>46217</v>
      </c>
      <c r="J299" t="s">
        <v>1698</v>
      </c>
      <c r="K299" t="s">
        <v>387</v>
      </c>
    </row>
    <row r="300" spans="1:12">
      <c r="A300" t="s">
        <v>1023</v>
      </c>
      <c r="B300" t="s">
        <v>1033</v>
      </c>
      <c r="C300" t="s">
        <v>1032</v>
      </c>
      <c r="D300" t="s">
        <v>21</v>
      </c>
      <c r="E300" t="s">
        <v>22</v>
      </c>
      <c r="F300">
        <v>41</v>
      </c>
      <c r="G300" s="2">
        <v>46359.395833333336</v>
      </c>
      <c r="H300" s="2">
        <v>46359.708333333336</v>
      </c>
      <c r="I300" s="1">
        <v>46213</v>
      </c>
      <c r="J300" t="s">
        <v>1698</v>
      </c>
      <c r="K300" t="s">
        <v>1032</v>
      </c>
      <c r="L300" t="s">
        <v>2537</v>
      </c>
    </row>
    <row r="301" spans="1:12">
      <c r="A301" t="s">
        <v>324</v>
      </c>
      <c r="B301" t="s">
        <v>335</v>
      </c>
      <c r="C301" t="s">
        <v>334</v>
      </c>
      <c r="D301" t="s">
        <v>21</v>
      </c>
      <c r="E301" t="s">
        <v>22</v>
      </c>
      <c r="F301">
        <v>8</v>
      </c>
      <c r="G301" s="2">
        <v>46370.458333333336</v>
      </c>
      <c r="H301" s="2">
        <v>46370.479166666664</v>
      </c>
      <c r="I301" s="1">
        <v>46212</v>
      </c>
      <c r="J301" t="s">
        <v>1698</v>
      </c>
      <c r="K301" t="s">
        <v>334</v>
      </c>
      <c r="L301" t="s">
        <v>2845</v>
      </c>
    </row>
    <row r="302" spans="1:12">
      <c r="A302" t="s">
        <v>190</v>
      </c>
      <c r="B302" t="s">
        <v>218</v>
      </c>
      <c r="C302" t="s">
        <v>217</v>
      </c>
      <c r="D302" t="s">
        <v>21</v>
      </c>
      <c r="E302" t="s">
        <v>22</v>
      </c>
      <c r="F302">
        <v>22</v>
      </c>
      <c r="G302" s="2">
        <v>46366.666666666664</v>
      </c>
      <c r="H302" s="2">
        <v>46366.697916666664</v>
      </c>
      <c r="I302" s="1">
        <v>46213</v>
      </c>
      <c r="J302" t="s">
        <v>1698</v>
      </c>
      <c r="K302" t="s">
        <v>217</v>
      </c>
      <c r="L302" t="s">
        <v>2846</v>
      </c>
    </row>
    <row r="303" spans="1:12">
      <c r="A303" t="s">
        <v>895</v>
      </c>
      <c r="B303" t="s">
        <v>896</v>
      </c>
      <c r="C303" t="s">
        <v>894</v>
      </c>
      <c r="D303" t="s">
        <v>21</v>
      </c>
      <c r="E303" t="s">
        <v>22</v>
      </c>
      <c r="F303">
        <v>39</v>
      </c>
      <c r="G303" s="2">
        <v>46308.395833333336</v>
      </c>
      <c r="H303" s="2">
        <v>46308.708333333336</v>
      </c>
      <c r="I303" s="1">
        <v>46212</v>
      </c>
      <c r="J303" t="s">
        <v>1698</v>
      </c>
      <c r="K303" t="s">
        <v>894</v>
      </c>
      <c r="L303" t="s">
        <v>2538</v>
      </c>
    </row>
    <row r="304" spans="1:12">
      <c r="A304" t="s">
        <v>324</v>
      </c>
      <c r="B304" t="s">
        <v>337</v>
      </c>
      <c r="C304" t="s">
        <v>336</v>
      </c>
      <c r="D304" t="s">
        <v>16</v>
      </c>
      <c r="G304" t="s">
        <v>17</v>
      </c>
      <c r="I304" s="1">
        <v>46205</v>
      </c>
      <c r="J304" t="s">
        <v>1698</v>
      </c>
      <c r="K304" t="s">
        <v>2847</v>
      </c>
    </row>
    <row r="305" spans="1:13">
      <c r="A305" t="s">
        <v>14</v>
      </c>
      <c r="B305" t="s">
        <v>15</v>
      </c>
      <c r="C305" t="s">
        <v>13</v>
      </c>
      <c r="D305" t="s">
        <v>16</v>
      </c>
      <c r="G305" t="s">
        <v>17</v>
      </c>
      <c r="I305" s="1">
        <v>46217</v>
      </c>
      <c r="J305" t="s">
        <v>1698</v>
      </c>
      <c r="K305" t="s">
        <v>2848</v>
      </c>
    </row>
    <row r="306" spans="1:13">
      <c r="A306" t="s">
        <v>944</v>
      </c>
      <c r="B306" t="s">
        <v>15</v>
      </c>
      <c r="C306" t="s">
        <v>13</v>
      </c>
      <c r="D306" t="s">
        <v>16</v>
      </c>
      <c r="G306" t="s">
        <v>17</v>
      </c>
      <c r="I306" s="1">
        <v>46217</v>
      </c>
      <c r="J306" t="s">
        <v>1698</v>
      </c>
      <c r="K306" t="s">
        <v>2848</v>
      </c>
    </row>
    <row r="307" spans="1:13">
      <c r="A307" t="s">
        <v>950</v>
      </c>
      <c r="B307" t="s">
        <v>15</v>
      </c>
      <c r="C307" t="s">
        <v>13</v>
      </c>
      <c r="D307" t="s">
        <v>16</v>
      </c>
      <c r="G307" t="s">
        <v>17</v>
      </c>
      <c r="I307" s="1">
        <v>46217</v>
      </c>
      <c r="J307" t="s">
        <v>1698</v>
      </c>
      <c r="K307" t="s">
        <v>2848</v>
      </c>
    </row>
    <row r="308" spans="1:13">
      <c r="A308" t="s">
        <v>693</v>
      </c>
      <c r="B308" t="s">
        <v>696</v>
      </c>
      <c r="C308" t="s">
        <v>695</v>
      </c>
      <c r="D308" t="s">
        <v>21</v>
      </c>
      <c r="E308" t="s">
        <v>22</v>
      </c>
      <c r="F308">
        <v>42</v>
      </c>
      <c r="G308" s="2">
        <v>46134.5625</v>
      </c>
      <c r="H308" s="2">
        <v>46134.6875</v>
      </c>
      <c r="I308" s="1">
        <v>46204</v>
      </c>
      <c r="J308" t="s">
        <v>1698</v>
      </c>
      <c r="K308" t="s">
        <v>695</v>
      </c>
      <c r="L308" t="s">
        <v>2490</v>
      </c>
    </row>
    <row r="309" spans="1:13">
      <c r="A309" t="s">
        <v>2416</v>
      </c>
      <c r="B309" t="s">
        <v>361</v>
      </c>
      <c r="C309" t="s">
        <v>360</v>
      </c>
      <c r="D309" t="s">
        <v>21</v>
      </c>
      <c r="E309" t="s">
        <v>22</v>
      </c>
      <c r="F309">
        <v>70</v>
      </c>
      <c r="G309" s="2">
        <v>45831.375</v>
      </c>
      <c r="H309" s="2">
        <v>45835.708333333336</v>
      </c>
      <c r="I309" s="1">
        <v>46216</v>
      </c>
      <c r="J309" t="s">
        <v>1698</v>
      </c>
      <c r="K309" t="s">
        <v>2849</v>
      </c>
      <c r="L309" t="s">
        <v>2850</v>
      </c>
      <c r="M309" s="210" t="s">
        <v>2476</v>
      </c>
    </row>
    <row r="310" spans="1:13">
      <c r="A310" t="s">
        <v>1023</v>
      </c>
      <c r="B310" t="s">
        <v>1039</v>
      </c>
      <c r="C310" t="s">
        <v>1038</v>
      </c>
      <c r="D310" t="s">
        <v>21</v>
      </c>
      <c r="E310" t="s">
        <v>22</v>
      </c>
      <c r="F310">
        <v>28</v>
      </c>
      <c r="G310" s="2">
        <v>46336.375</v>
      </c>
      <c r="H310" s="2">
        <v>46352.708333333336</v>
      </c>
      <c r="I310" s="1">
        <v>46199</v>
      </c>
      <c r="J310" t="s">
        <v>1698</v>
      </c>
      <c r="K310" t="s">
        <v>1038</v>
      </c>
      <c r="L310" t="s">
        <v>2537</v>
      </c>
    </row>
    <row r="311" spans="1:13">
      <c r="A311" t="s">
        <v>190</v>
      </c>
      <c r="B311" t="s">
        <v>228</v>
      </c>
      <c r="C311" t="s">
        <v>227</v>
      </c>
      <c r="D311" t="s">
        <v>21</v>
      </c>
      <c r="E311" t="s">
        <v>22</v>
      </c>
      <c r="F311">
        <v>23</v>
      </c>
      <c r="G311" s="2">
        <v>46335.5625</v>
      </c>
      <c r="H311" s="2">
        <v>46335.708333333336</v>
      </c>
      <c r="I311" s="1">
        <v>46211</v>
      </c>
      <c r="J311" t="s">
        <v>1698</v>
      </c>
      <c r="K311" t="s">
        <v>227</v>
      </c>
      <c r="L311" t="s">
        <v>2549</v>
      </c>
    </row>
    <row r="312" spans="1:13">
      <c r="A312" t="s">
        <v>293</v>
      </c>
      <c r="B312" t="s">
        <v>304</v>
      </c>
      <c r="C312" t="s">
        <v>303</v>
      </c>
      <c r="D312" t="s">
        <v>21</v>
      </c>
      <c r="E312" t="s">
        <v>22</v>
      </c>
      <c r="F312">
        <v>128</v>
      </c>
      <c r="G312" s="2">
        <v>46216.5625</v>
      </c>
      <c r="H312" s="2">
        <v>46219.5</v>
      </c>
      <c r="I312" s="1">
        <v>46217</v>
      </c>
      <c r="J312" t="s">
        <v>1698</v>
      </c>
      <c r="K312" t="s">
        <v>303</v>
      </c>
      <c r="L312" t="s">
        <v>2474</v>
      </c>
    </row>
    <row r="313" spans="1:13">
      <c r="A313" t="s">
        <v>324</v>
      </c>
      <c r="B313" t="s">
        <v>327</v>
      </c>
      <c r="C313" t="s">
        <v>326</v>
      </c>
      <c r="D313" t="s">
        <v>21</v>
      </c>
      <c r="E313" t="s">
        <v>22</v>
      </c>
      <c r="F313">
        <v>14</v>
      </c>
      <c r="G313" s="2">
        <v>46211.458333333336</v>
      </c>
      <c r="H313" s="2">
        <v>46211.520833333336</v>
      </c>
      <c r="I313" s="1">
        <v>46211</v>
      </c>
      <c r="J313" t="s">
        <v>1698</v>
      </c>
      <c r="K313" t="s">
        <v>326</v>
      </c>
      <c r="L313" t="s">
        <v>2851</v>
      </c>
    </row>
    <row r="314" spans="1:13">
      <c r="A314" t="s">
        <v>693</v>
      </c>
      <c r="B314" t="s">
        <v>1838</v>
      </c>
      <c r="C314" t="s">
        <v>707</v>
      </c>
      <c r="D314" t="s">
        <v>21</v>
      </c>
      <c r="E314" t="s">
        <v>22</v>
      </c>
      <c r="F314">
        <v>26</v>
      </c>
      <c r="G314" s="2">
        <v>46301.395833333336</v>
      </c>
      <c r="H314" s="2">
        <v>46302.708333333336</v>
      </c>
      <c r="I314" s="1">
        <v>46217</v>
      </c>
      <c r="J314" t="s">
        <v>1698</v>
      </c>
      <c r="K314" t="s">
        <v>707</v>
      </c>
      <c r="L314" t="s">
        <v>2490</v>
      </c>
    </row>
    <row r="315" spans="1:13">
      <c r="A315" t="s">
        <v>533</v>
      </c>
      <c r="B315" t="s">
        <v>52</v>
      </c>
      <c r="C315" t="s">
        <v>51</v>
      </c>
      <c r="D315" t="s">
        <v>21</v>
      </c>
      <c r="E315" t="s">
        <v>22</v>
      </c>
      <c r="F315">
        <v>66</v>
      </c>
      <c r="G315" s="2">
        <v>46360.416666666664</v>
      </c>
      <c r="H315" s="2">
        <v>46360.541666666664</v>
      </c>
      <c r="I315" s="1">
        <v>46217</v>
      </c>
      <c r="J315" t="s">
        <v>1698</v>
      </c>
      <c r="K315" t="s">
        <v>51</v>
      </c>
      <c r="L315" t="s">
        <v>2491</v>
      </c>
    </row>
    <row r="316" spans="1:13">
      <c r="A316" t="s">
        <v>2417</v>
      </c>
      <c r="B316" t="s">
        <v>1742</v>
      </c>
      <c r="C316" t="s">
        <v>409</v>
      </c>
      <c r="D316" t="s">
        <v>21</v>
      </c>
      <c r="E316" t="s">
        <v>22</v>
      </c>
      <c r="F316">
        <v>18</v>
      </c>
      <c r="G316" s="2">
        <v>46294.375</v>
      </c>
      <c r="H316" s="2">
        <v>46294.520833333336</v>
      </c>
      <c r="I316" s="1">
        <v>46209</v>
      </c>
      <c r="J316" t="s">
        <v>1698</v>
      </c>
      <c r="K316" t="s">
        <v>409</v>
      </c>
      <c r="L316" t="s">
        <v>2474</v>
      </c>
    </row>
    <row r="317" spans="1:13">
      <c r="A317" t="s">
        <v>2417</v>
      </c>
      <c r="B317" t="s">
        <v>1743</v>
      </c>
      <c r="C317" t="s">
        <v>411</v>
      </c>
      <c r="D317" t="s">
        <v>21</v>
      </c>
      <c r="E317" t="s">
        <v>22</v>
      </c>
      <c r="F317">
        <v>11</v>
      </c>
      <c r="G317" s="2">
        <v>46294.5625</v>
      </c>
      <c r="H317" s="2">
        <v>46294.708333333336</v>
      </c>
      <c r="I317" s="1">
        <v>46209</v>
      </c>
      <c r="J317" t="s">
        <v>1698</v>
      </c>
      <c r="K317" t="s">
        <v>411</v>
      </c>
      <c r="L317" t="s">
        <v>2474</v>
      </c>
    </row>
    <row r="318" spans="1:13">
      <c r="A318" t="s">
        <v>1023</v>
      </c>
      <c r="B318" t="s">
        <v>1029</v>
      </c>
      <c r="C318" t="s">
        <v>1028</v>
      </c>
      <c r="D318" t="s">
        <v>21</v>
      </c>
      <c r="E318" t="s">
        <v>22</v>
      </c>
      <c r="F318">
        <v>22</v>
      </c>
      <c r="G318" s="2">
        <v>46345.375</v>
      </c>
      <c r="H318" s="2">
        <v>46345.708333333336</v>
      </c>
      <c r="I318" s="1">
        <v>46205</v>
      </c>
      <c r="J318" t="s">
        <v>1698</v>
      </c>
      <c r="K318" t="s">
        <v>1028</v>
      </c>
      <c r="L318" t="s">
        <v>2852</v>
      </c>
    </row>
    <row r="319" spans="1:13">
      <c r="A319" t="s">
        <v>786</v>
      </c>
      <c r="B319" t="s">
        <v>787</v>
      </c>
      <c r="C319" t="s">
        <v>785</v>
      </c>
      <c r="D319" t="s">
        <v>16</v>
      </c>
      <c r="G319" t="s">
        <v>17</v>
      </c>
      <c r="I319" s="1">
        <v>46189</v>
      </c>
      <c r="J319" t="s">
        <v>1698</v>
      </c>
      <c r="K319" t="s">
        <v>2853</v>
      </c>
    </row>
    <row r="320" spans="1:13">
      <c r="A320" t="s">
        <v>898</v>
      </c>
      <c r="B320" t="s">
        <v>915</v>
      </c>
      <c r="C320" t="s">
        <v>914</v>
      </c>
      <c r="D320" t="s">
        <v>21</v>
      </c>
      <c r="E320" t="s">
        <v>22</v>
      </c>
      <c r="F320">
        <v>131</v>
      </c>
      <c r="G320" s="2">
        <v>46359.375</v>
      </c>
      <c r="H320" s="2">
        <v>46360.708333333336</v>
      </c>
      <c r="I320" s="1">
        <v>46217</v>
      </c>
      <c r="J320" t="s">
        <v>2402</v>
      </c>
      <c r="K320" t="s">
        <v>2854</v>
      </c>
      <c r="L320" t="s">
        <v>2855</v>
      </c>
    </row>
    <row r="321" spans="1:13">
      <c r="A321" t="s">
        <v>898</v>
      </c>
      <c r="B321" t="s">
        <v>917</v>
      </c>
      <c r="C321" t="s">
        <v>916</v>
      </c>
      <c r="D321" t="s">
        <v>21</v>
      </c>
      <c r="E321" t="s">
        <v>22</v>
      </c>
      <c r="F321">
        <v>138</v>
      </c>
      <c r="G321" s="2">
        <v>46343.375</v>
      </c>
      <c r="H321" s="2">
        <v>46346.520833333336</v>
      </c>
      <c r="I321" s="1">
        <v>46217</v>
      </c>
      <c r="J321" t="s">
        <v>2402</v>
      </c>
      <c r="K321" t="s">
        <v>2856</v>
      </c>
      <c r="L321" t="s">
        <v>2855</v>
      </c>
    </row>
    <row r="322" spans="1:13">
      <c r="A322" t="s">
        <v>1163</v>
      </c>
      <c r="B322" t="s">
        <v>294</v>
      </c>
      <c r="C322" t="s">
        <v>292</v>
      </c>
      <c r="D322" t="s">
        <v>21</v>
      </c>
      <c r="E322" t="s">
        <v>22</v>
      </c>
      <c r="F322">
        <v>27</v>
      </c>
      <c r="G322" s="2">
        <v>46289.458333333336</v>
      </c>
      <c r="H322" s="2">
        <v>46289.5</v>
      </c>
      <c r="I322" s="1">
        <v>46216</v>
      </c>
      <c r="J322" t="s">
        <v>1698</v>
      </c>
      <c r="K322" t="s">
        <v>2857</v>
      </c>
      <c r="L322" t="s">
        <v>2458</v>
      </c>
      <c r="M322" s="211" t="s">
        <v>2556</v>
      </c>
    </row>
    <row r="323" spans="1:13">
      <c r="A323" t="s">
        <v>293</v>
      </c>
      <c r="B323" t="s">
        <v>294</v>
      </c>
      <c r="C323" t="s">
        <v>292</v>
      </c>
      <c r="D323" t="s">
        <v>21</v>
      </c>
      <c r="E323" t="s">
        <v>22</v>
      </c>
      <c r="F323">
        <v>27</v>
      </c>
      <c r="G323" s="2">
        <v>46289.458333333336</v>
      </c>
      <c r="H323" s="2">
        <v>46289.5</v>
      </c>
      <c r="I323" s="1">
        <v>46216</v>
      </c>
      <c r="J323" t="s">
        <v>1698</v>
      </c>
      <c r="K323" t="s">
        <v>2857</v>
      </c>
      <c r="L323" t="s">
        <v>2858</v>
      </c>
      <c r="M323" s="211" t="s">
        <v>2556</v>
      </c>
    </row>
    <row r="324" spans="1:13">
      <c r="A324" t="s">
        <v>476</v>
      </c>
      <c r="B324" t="s">
        <v>495</v>
      </c>
      <c r="C324" t="s">
        <v>494</v>
      </c>
      <c r="D324" t="s">
        <v>21</v>
      </c>
      <c r="E324" t="s">
        <v>22</v>
      </c>
      <c r="F324">
        <v>19</v>
      </c>
      <c r="G324" s="2">
        <v>45968.395833333336</v>
      </c>
      <c r="H324" s="2">
        <v>45968.520833333336</v>
      </c>
      <c r="I324" s="1">
        <v>46192</v>
      </c>
      <c r="J324" t="s">
        <v>1698</v>
      </c>
      <c r="K324" t="s">
        <v>494</v>
      </c>
      <c r="L324" t="s">
        <v>2527</v>
      </c>
      <c r="M324" s="210" t="s">
        <v>2476</v>
      </c>
    </row>
    <row r="325" spans="1:13">
      <c r="A325" t="s">
        <v>1766</v>
      </c>
      <c r="B325" t="s">
        <v>1769</v>
      </c>
      <c r="C325" t="s">
        <v>1770</v>
      </c>
      <c r="D325" t="s">
        <v>21</v>
      </c>
      <c r="E325" t="s">
        <v>22</v>
      </c>
      <c r="F325">
        <v>16</v>
      </c>
      <c r="G325" s="2">
        <v>46175.395833333336</v>
      </c>
      <c r="H325" s="2">
        <v>46175.5</v>
      </c>
      <c r="I325" s="1">
        <v>46212</v>
      </c>
      <c r="J325" t="s">
        <v>1698</v>
      </c>
      <c r="K325" t="s">
        <v>1770</v>
      </c>
      <c r="L325" t="s">
        <v>2540</v>
      </c>
    </row>
    <row r="326" spans="1:13">
      <c r="A326" t="s">
        <v>786</v>
      </c>
      <c r="B326" t="s">
        <v>795</v>
      </c>
      <c r="C326" t="s">
        <v>794</v>
      </c>
      <c r="D326" t="s">
        <v>16</v>
      </c>
      <c r="G326" t="s">
        <v>17</v>
      </c>
      <c r="I326" s="1">
        <v>46211</v>
      </c>
      <c r="J326" t="s">
        <v>1698</v>
      </c>
      <c r="K326" t="s">
        <v>2859</v>
      </c>
    </row>
    <row r="327" spans="1:13">
      <c r="A327" t="s">
        <v>786</v>
      </c>
      <c r="B327" t="s">
        <v>791</v>
      </c>
      <c r="C327" t="s">
        <v>790</v>
      </c>
      <c r="D327" t="s">
        <v>16</v>
      </c>
      <c r="G327" t="s">
        <v>17</v>
      </c>
      <c r="I327" s="1">
        <v>46216</v>
      </c>
      <c r="J327" t="s">
        <v>1698</v>
      </c>
      <c r="K327" t="s">
        <v>2860</v>
      </c>
    </row>
    <row r="328" spans="1:13">
      <c r="A328" t="s">
        <v>786</v>
      </c>
      <c r="B328" t="s">
        <v>793</v>
      </c>
      <c r="C328" t="s">
        <v>792</v>
      </c>
      <c r="D328" t="s">
        <v>16</v>
      </c>
      <c r="G328" t="s">
        <v>17</v>
      </c>
      <c r="I328" s="1">
        <v>46217</v>
      </c>
      <c r="J328" t="s">
        <v>1698</v>
      </c>
      <c r="K328" t="s">
        <v>2860</v>
      </c>
    </row>
    <row r="329" spans="1:13">
      <c r="A329" t="s">
        <v>693</v>
      </c>
      <c r="B329" t="s">
        <v>2861</v>
      </c>
      <c r="C329" t="s">
        <v>713</v>
      </c>
      <c r="D329" t="s">
        <v>21</v>
      </c>
      <c r="E329" t="s">
        <v>22</v>
      </c>
      <c r="F329">
        <v>20</v>
      </c>
      <c r="G329" s="2">
        <v>46343.4375</v>
      </c>
      <c r="H329" s="2">
        <v>46344.697916666664</v>
      </c>
      <c r="I329" s="1">
        <v>46212</v>
      </c>
      <c r="J329" t="s">
        <v>1698</v>
      </c>
      <c r="K329" t="s">
        <v>713</v>
      </c>
      <c r="L329" t="s">
        <v>2490</v>
      </c>
    </row>
    <row r="330" spans="1:13">
      <c r="A330" t="s">
        <v>190</v>
      </c>
      <c r="B330" t="s">
        <v>246</v>
      </c>
      <c r="C330" t="s">
        <v>245</v>
      </c>
      <c r="D330" t="s">
        <v>21</v>
      </c>
      <c r="E330" t="s">
        <v>22</v>
      </c>
      <c r="F330">
        <v>23</v>
      </c>
      <c r="G330" s="2">
        <v>46202.395833333336</v>
      </c>
      <c r="H330" s="2">
        <v>46202.729166666664</v>
      </c>
      <c r="I330" s="1">
        <v>46205</v>
      </c>
      <c r="J330" t="s">
        <v>1698</v>
      </c>
      <c r="K330" t="s">
        <v>245</v>
      </c>
      <c r="L330" t="s">
        <v>2540</v>
      </c>
    </row>
    <row r="331" spans="1:13">
      <c r="A331" t="s">
        <v>2414</v>
      </c>
      <c r="B331" t="s">
        <v>380</v>
      </c>
      <c r="C331" t="s">
        <v>379</v>
      </c>
      <c r="D331" t="s">
        <v>21</v>
      </c>
      <c r="E331" t="s">
        <v>22</v>
      </c>
      <c r="F331">
        <v>18</v>
      </c>
      <c r="G331" s="2">
        <v>46356.375</v>
      </c>
      <c r="H331" s="2">
        <v>46356.520833333336</v>
      </c>
      <c r="I331" s="1">
        <v>46212</v>
      </c>
      <c r="J331" t="s">
        <v>1698</v>
      </c>
      <c r="K331" t="s">
        <v>379</v>
      </c>
      <c r="L331" t="s">
        <v>2473</v>
      </c>
    </row>
    <row r="332" spans="1:13">
      <c r="A332" t="s">
        <v>1163</v>
      </c>
      <c r="B332" t="s">
        <v>1808</v>
      </c>
      <c r="C332" t="s">
        <v>1809</v>
      </c>
      <c r="D332" t="s">
        <v>21</v>
      </c>
      <c r="E332" t="s">
        <v>22</v>
      </c>
      <c r="F332">
        <v>16</v>
      </c>
      <c r="G332" s="2">
        <v>46063.395833333336</v>
      </c>
      <c r="H332" s="2">
        <v>46063.708333333336</v>
      </c>
      <c r="I332" s="1">
        <v>46210</v>
      </c>
      <c r="J332" t="s">
        <v>1746</v>
      </c>
      <c r="K332" t="s">
        <v>2862</v>
      </c>
      <c r="L332" t="s">
        <v>2458</v>
      </c>
      <c r="M332" s="210" t="s">
        <v>2476</v>
      </c>
    </row>
    <row r="333" spans="1:13">
      <c r="A333" t="s">
        <v>1163</v>
      </c>
      <c r="B333" t="s">
        <v>296</v>
      </c>
      <c r="C333" t="s">
        <v>295</v>
      </c>
      <c r="D333" t="s">
        <v>21</v>
      </c>
      <c r="E333" t="s">
        <v>25</v>
      </c>
      <c r="I333" s="1">
        <v>46216</v>
      </c>
      <c r="J333" t="s">
        <v>1698</v>
      </c>
      <c r="K333" t="s">
        <v>2863</v>
      </c>
      <c r="M333" s="211" t="s">
        <v>2556</v>
      </c>
    </row>
    <row r="334" spans="1:13">
      <c r="A334" t="s">
        <v>293</v>
      </c>
      <c r="B334" t="s">
        <v>296</v>
      </c>
      <c r="C334" t="s">
        <v>295</v>
      </c>
      <c r="D334" t="s">
        <v>21</v>
      </c>
      <c r="E334" t="s">
        <v>25</v>
      </c>
      <c r="I334" s="1">
        <v>46216</v>
      </c>
      <c r="J334" t="s">
        <v>1698</v>
      </c>
      <c r="K334" t="s">
        <v>2863</v>
      </c>
      <c r="L334" t="s">
        <v>2858</v>
      </c>
      <c r="M334" s="211" t="s">
        <v>2556</v>
      </c>
    </row>
    <row r="335" spans="1:13">
      <c r="A335" t="s">
        <v>501</v>
      </c>
      <c r="B335" t="s">
        <v>2420</v>
      </c>
      <c r="C335" t="s">
        <v>2421</v>
      </c>
      <c r="D335" t="s">
        <v>21</v>
      </c>
      <c r="E335" t="s">
        <v>22</v>
      </c>
      <c r="F335">
        <v>1</v>
      </c>
      <c r="G335" s="2">
        <v>45658.333333333336</v>
      </c>
      <c r="H335" s="2">
        <v>47330.333333333336</v>
      </c>
      <c r="I335" s="1">
        <v>45673</v>
      </c>
      <c r="J335" t="s">
        <v>1698</v>
      </c>
      <c r="K335" t="s">
        <v>2421</v>
      </c>
    </row>
    <row r="336" spans="1:13">
      <c r="A336" t="s">
        <v>623</v>
      </c>
      <c r="B336" t="s">
        <v>630</v>
      </c>
      <c r="C336" t="s">
        <v>629</v>
      </c>
      <c r="D336" t="s">
        <v>21</v>
      </c>
      <c r="E336" t="s">
        <v>25</v>
      </c>
      <c r="G336" s="2">
        <v>45628.333333333336</v>
      </c>
      <c r="H336" s="2">
        <v>47301.333333333336</v>
      </c>
      <c r="I336" t="s">
        <v>198</v>
      </c>
      <c r="J336" t="s">
        <v>1698</v>
      </c>
      <c r="K336" t="s">
        <v>629</v>
      </c>
    </row>
    <row r="337" spans="1:13">
      <c r="A337" t="s">
        <v>476</v>
      </c>
      <c r="B337" t="s">
        <v>483</v>
      </c>
      <c r="C337" t="s">
        <v>482</v>
      </c>
      <c r="D337" t="s">
        <v>21</v>
      </c>
      <c r="E337" t="s">
        <v>25</v>
      </c>
      <c r="G337" s="2">
        <v>45719.333333333336</v>
      </c>
      <c r="H337" s="2">
        <v>49419.333333333336</v>
      </c>
      <c r="I337" t="s">
        <v>198</v>
      </c>
      <c r="J337" t="s">
        <v>1698</v>
      </c>
      <c r="K337" t="s">
        <v>482</v>
      </c>
    </row>
    <row r="338" spans="1:13">
      <c r="A338" t="s">
        <v>786</v>
      </c>
      <c r="B338" t="s">
        <v>807</v>
      </c>
      <c r="C338" t="s">
        <v>806</v>
      </c>
      <c r="D338" t="s">
        <v>16</v>
      </c>
      <c r="G338" t="s">
        <v>17</v>
      </c>
      <c r="I338" s="1">
        <v>46209</v>
      </c>
      <c r="J338" t="s">
        <v>1698</v>
      </c>
      <c r="K338" t="s">
        <v>2864</v>
      </c>
    </row>
    <row r="339" spans="1:13">
      <c r="A339" t="s">
        <v>623</v>
      </c>
      <c r="B339" t="s">
        <v>628</v>
      </c>
      <c r="C339" t="s">
        <v>627</v>
      </c>
      <c r="D339" t="s">
        <v>16</v>
      </c>
      <c r="G339" t="s">
        <v>17</v>
      </c>
      <c r="J339" t="s">
        <v>1698</v>
      </c>
      <c r="K339" t="s">
        <v>2865</v>
      </c>
    </row>
    <row r="340" spans="1:13">
      <c r="A340" t="s">
        <v>693</v>
      </c>
      <c r="B340" t="s">
        <v>742</v>
      </c>
      <c r="C340" t="s">
        <v>741</v>
      </c>
      <c r="D340" t="s">
        <v>21</v>
      </c>
      <c r="E340" t="s">
        <v>25</v>
      </c>
      <c r="G340" s="2">
        <v>46364.395833333336</v>
      </c>
      <c r="H340" s="2">
        <v>46364.666666666664</v>
      </c>
      <c r="I340" s="1">
        <v>46211</v>
      </c>
      <c r="J340" t="s">
        <v>1698</v>
      </c>
      <c r="K340" t="s">
        <v>2866</v>
      </c>
      <c r="L340" t="s">
        <v>2867</v>
      </c>
    </row>
    <row r="341" spans="1:13">
      <c r="A341" t="s">
        <v>693</v>
      </c>
      <c r="B341" t="s">
        <v>736</v>
      </c>
      <c r="C341" t="s">
        <v>735</v>
      </c>
      <c r="D341" t="s">
        <v>21</v>
      </c>
      <c r="E341" t="s">
        <v>22</v>
      </c>
      <c r="F341">
        <v>8</v>
      </c>
      <c r="G341" s="2">
        <v>46295.416666666664</v>
      </c>
      <c r="H341" s="2">
        <v>46295.458333333336</v>
      </c>
      <c r="I341" s="1">
        <v>46216</v>
      </c>
      <c r="J341" t="s">
        <v>1698</v>
      </c>
      <c r="K341" t="s">
        <v>2868</v>
      </c>
      <c r="L341" t="s">
        <v>2489</v>
      </c>
    </row>
    <row r="342" spans="1:13">
      <c r="A342" t="s">
        <v>190</v>
      </c>
      <c r="B342" t="s">
        <v>197</v>
      </c>
      <c r="C342" t="s">
        <v>196</v>
      </c>
      <c r="D342" t="s">
        <v>21</v>
      </c>
      <c r="E342" t="s">
        <v>25</v>
      </c>
      <c r="G342" s="2">
        <v>45686.333333333336</v>
      </c>
      <c r="H342" s="2">
        <v>47330.333333333336</v>
      </c>
      <c r="I342" t="s">
        <v>198</v>
      </c>
      <c r="J342" t="s">
        <v>1698</v>
      </c>
      <c r="K342" t="s">
        <v>196</v>
      </c>
    </row>
    <row r="343" spans="1:13">
      <c r="A343" t="s">
        <v>2415</v>
      </c>
      <c r="B343" t="s">
        <v>1741</v>
      </c>
      <c r="C343" t="s">
        <v>405</v>
      </c>
      <c r="D343" t="s">
        <v>21</v>
      </c>
      <c r="E343" t="s">
        <v>22</v>
      </c>
      <c r="F343">
        <v>33</v>
      </c>
      <c r="G343" s="2">
        <v>46281.375</v>
      </c>
      <c r="H343" s="2">
        <v>46281.708333333336</v>
      </c>
      <c r="I343" s="1">
        <v>46216</v>
      </c>
      <c r="J343" t="s">
        <v>1698</v>
      </c>
      <c r="K343" t="s">
        <v>405</v>
      </c>
      <c r="L343" t="s">
        <v>2474</v>
      </c>
    </row>
    <row r="344" spans="1:13">
      <c r="A344" t="s">
        <v>2415</v>
      </c>
      <c r="B344" t="s">
        <v>1740</v>
      </c>
      <c r="C344" t="s">
        <v>403</v>
      </c>
      <c r="D344" t="s">
        <v>21</v>
      </c>
      <c r="E344" t="s">
        <v>22</v>
      </c>
      <c r="F344">
        <v>14</v>
      </c>
      <c r="G344" s="2">
        <v>46308.375</v>
      </c>
      <c r="H344" s="2">
        <v>46314.708333333336</v>
      </c>
      <c r="I344" s="1">
        <v>46209</v>
      </c>
      <c r="J344" t="s">
        <v>1698</v>
      </c>
      <c r="K344" t="s">
        <v>403</v>
      </c>
      <c r="L344" t="s">
        <v>2474</v>
      </c>
    </row>
    <row r="345" spans="1:13">
      <c r="A345" t="s">
        <v>560</v>
      </c>
      <c r="B345" t="s">
        <v>582</v>
      </c>
      <c r="C345" t="s">
        <v>581</v>
      </c>
      <c r="D345" t="s">
        <v>21</v>
      </c>
      <c r="E345" t="s">
        <v>25</v>
      </c>
      <c r="G345" s="2">
        <v>45696.333333333336</v>
      </c>
      <c r="H345" s="2">
        <v>47330.333333333336</v>
      </c>
      <c r="I345" t="s">
        <v>198</v>
      </c>
      <c r="J345" t="s">
        <v>1698</v>
      </c>
      <c r="K345" t="s">
        <v>581</v>
      </c>
    </row>
    <row r="346" spans="1:13">
      <c r="A346" t="s">
        <v>584</v>
      </c>
      <c r="B346" t="s">
        <v>585</v>
      </c>
      <c r="C346" t="s">
        <v>583</v>
      </c>
      <c r="D346" t="s">
        <v>21</v>
      </c>
      <c r="E346" t="s">
        <v>25</v>
      </c>
      <c r="G346" s="2">
        <v>45689.333333333336</v>
      </c>
      <c r="H346" s="2">
        <v>47325.333333333336</v>
      </c>
      <c r="I346" t="s">
        <v>198</v>
      </c>
      <c r="J346" t="s">
        <v>1698</v>
      </c>
      <c r="K346" t="s">
        <v>583</v>
      </c>
    </row>
    <row r="347" spans="1:13">
      <c r="A347" t="s">
        <v>545</v>
      </c>
      <c r="B347" t="s">
        <v>546</v>
      </c>
      <c r="C347" t="s">
        <v>544</v>
      </c>
      <c r="D347" t="s">
        <v>21</v>
      </c>
      <c r="E347" t="s">
        <v>25</v>
      </c>
      <c r="G347" s="2">
        <v>45699.333333333336</v>
      </c>
      <c r="H347" s="2">
        <v>47326.333333333336</v>
      </c>
      <c r="I347" t="s">
        <v>198</v>
      </c>
      <c r="J347" t="s">
        <v>1698</v>
      </c>
      <c r="K347" t="s">
        <v>544</v>
      </c>
    </row>
    <row r="348" spans="1:13">
      <c r="A348" t="s">
        <v>693</v>
      </c>
      <c r="B348" t="s">
        <v>744</v>
      </c>
      <c r="C348" t="s">
        <v>743</v>
      </c>
      <c r="D348" t="s">
        <v>21</v>
      </c>
      <c r="E348" t="s">
        <v>25</v>
      </c>
      <c r="G348" s="2">
        <v>46357.416666666664</v>
      </c>
      <c r="H348" s="2">
        <v>46357.5</v>
      </c>
      <c r="I348" s="1">
        <v>46209</v>
      </c>
      <c r="J348" t="s">
        <v>1698</v>
      </c>
      <c r="K348" t="s">
        <v>2869</v>
      </c>
      <c r="L348" t="s">
        <v>2867</v>
      </c>
    </row>
    <row r="349" spans="1:13">
      <c r="A349" t="s">
        <v>786</v>
      </c>
      <c r="B349" t="s">
        <v>803</v>
      </c>
      <c r="C349" t="s">
        <v>802</v>
      </c>
      <c r="D349" t="s">
        <v>16</v>
      </c>
      <c r="G349" t="s">
        <v>17</v>
      </c>
      <c r="I349" s="1">
        <v>46211</v>
      </c>
      <c r="J349" t="s">
        <v>1698</v>
      </c>
      <c r="K349" t="s">
        <v>2870</v>
      </c>
    </row>
    <row r="350" spans="1:13">
      <c r="A350" t="s">
        <v>623</v>
      </c>
      <c r="B350" t="s">
        <v>645</v>
      </c>
      <c r="C350" t="s">
        <v>644</v>
      </c>
      <c r="D350" t="s">
        <v>21</v>
      </c>
      <c r="E350" t="s">
        <v>22</v>
      </c>
      <c r="F350">
        <v>6</v>
      </c>
      <c r="G350" s="2">
        <v>45832.395833333336</v>
      </c>
      <c r="H350" s="2">
        <v>45832.520833333336</v>
      </c>
      <c r="I350" s="1">
        <v>46029</v>
      </c>
      <c r="J350" t="s">
        <v>1698</v>
      </c>
      <c r="K350" t="s">
        <v>644</v>
      </c>
      <c r="L350" t="s">
        <v>2519</v>
      </c>
      <c r="M350" s="210" t="s">
        <v>2476</v>
      </c>
    </row>
    <row r="351" spans="1:13">
      <c r="A351" t="s">
        <v>1023</v>
      </c>
      <c r="B351" t="s">
        <v>1037</v>
      </c>
      <c r="C351" t="s">
        <v>1036</v>
      </c>
      <c r="D351" t="s">
        <v>21</v>
      </c>
      <c r="E351" t="s">
        <v>22</v>
      </c>
      <c r="F351">
        <v>34</v>
      </c>
      <c r="G351" s="2">
        <v>45757.520833333336</v>
      </c>
      <c r="H351" s="2">
        <v>45757.583333333336</v>
      </c>
      <c r="I351" s="1">
        <v>46197</v>
      </c>
      <c r="J351" t="s">
        <v>1698</v>
      </c>
      <c r="K351" t="s">
        <v>1036</v>
      </c>
      <c r="L351" t="s">
        <v>2537</v>
      </c>
      <c r="M351" s="210" t="s">
        <v>2476</v>
      </c>
    </row>
    <row r="352" spans="1:13">
      <c r="A352" t="s">
        <v>944</v>
      </c>
      <c r="B352" t="s">
        <v>2871</v>
      </c>
      <c r="C352" t="s">
        <v>2872</v>
      </c>
      <c r="D352" t="s">
        <v>21</v>
      </c>
      <c r="E352" t="s">
        <v>22</v>
      </c>
      <c r="F352">
        <v>0</v>
      </c>
      <c r="G352" s="2">
        <v>46360.40625</v>
      </c>
      <c r="H352" s="2">
        <v>46360.489583333336</v>
      </c>
      <c r="I352" s="1">
        <v>46217</v>
      </c>
      <c r="J352" t="s">
        <v>1698</v>
      </c>
      <c r="K352" t="s">
        <v>2872</v>
      </c>
      <c r="L352" t="s">
        <v>2873</v>
      </c>
    </row>
    <row r="353" spans="1:13">
      <c r="A353" t="s">
        <v>786</v>
      </c>
      <c r="B353" t="s">
        <v>801</v>
      </c>
      <c r="C353" t="s">
        <v>800</v>
      </c>
      <c r="D353" t="s">
        <v>16</v>
      </c>
      <c r="G353" t="s">
        <v>17</v>
      </c>
      <c r="I353" s="1">
        <v>46197</v>
      </c>
      <c r="J353" t="s">
        <v>1698</v>
      </c>
      <c r="K353" t="s">
        <v>2874</v>
      </c>
    </row>
    <row r="354" spans="1:13">
      <c r="A354" t="s">
        <v>501</v>
      </c>
      <c r="B354" t="s">
        <v>531</v>
      </c>
      <c r="C354" t="s">
        <v>530</v>
      </c>
      <c r="D354" t="s">
        <v>21</v>
      </c>
      <c r="E354" t="s">
        <v>22</v>
      </c>
      <c r="F354">
        <v>3</v>
      </c>
      <c r="G354" s="2">
        <v>46286.395833333336</v>
      </c>
      <c r="H354" s="2">
        <v>46286.479166666664</v>
      </c>
      <c r="I354" s="1">
        <v>46205</v>
      </c>
      <c r="J354" t="s">
        <v>1698</v>
      </c>
      <c r="K354" t="s">
        <v>530</v>
      </c>
      <c r="L354" t="s">
        <v>2875</v>
      </c>
    </row>
    <row r="355" spans="1:13">
      <c r="A355" t="s">
        <v>501</v>
      </c>
      <c r="B355" t="s">
        <v>508</v>
      </c>
      <c r="C355" t="s">
        <v>507</v>
      </c>
      <c r="D355" t="s">
        <v>21</v>
      </c>
      <c r="E355" t="s">
        <v>22</v>
      </c>
      <c r="F355">
        <v>1</v>
      </c>
      <c r="G355" s="2">
        <v>46304.375</v>
      </c>
      <c r="H355" s="2">
        <v>46304.4375</v>
      </c>
      <c r="I355" s="1">
        <v>46121</v>
      </c>
      <c r="J355" t="s">
        <v>1698</v>
      </c>
      <c r="K355" t="s">
        <v>507</v>
      </c>
      <c r="L355" t="s">
        <v>2875</v>
      </c>
    </row>
    <row r="356" spans="1:13">
      <c r="A356" t="s">
        <v>190</v>
      </c>
      <c r="B356" t="s">
        <v>195</v>
      </c>
      <c r="C356" t="s">
        <v>194</v>
      </c>
      <c r="D356" t="s">
        <v>21</v>
      </c>
      <c r="E356" t="s">
        <v>25</v>
      </c>
      <c r="G356" s="2">
        <v>45667.333333333336</v>
      </c>
      <c r="H356" s="2">
        <v>47312.333333333336</v>
      </c>
      <c r="I356" s="1">
        <v>46052</v>
      </c>
      <c r="J356" t="s">
        <v>1698</v>
      </c>
      <c r="K356" t="s">
        <v>194</v>
      </c>
    </row>
    <row r="357" spans="1:13">
      <c r="A357" t="s">
        <v>2414</v>
      </c>
      <c r="B357" t="s">
        <v>1738</v>
      </c>
      <c r="C357" t="s">
        <v>381</v>
      </c>
      <c r="D357" t="s">
        <v>21</v>
      </c>
      <c r="E357" t="s">
        <v>22</v>
      </c>
      <c r="F357">
        <v>36</v>
      </c>
      <c r="G357" s="2">
        <v>45952.624305555553</v>
      </c>
      <c r="H357" s="2">
        <v>45952.6875</v>
      </c>
      <c r="I357" s="1">
        <v>46161</v>
      </c>
      <c r="J357" t="s">
        <v>1698</v>
      </c>
      <c r="K357" t="s">
        <v>381</v>
      </c>
      <c r="L357" t="s">
        <v>2876</v>
      </c>
      <c r="M357" s="210" t="s">
        <v>2476</v>
      </c>
    </row>
    <row r="358" spans="1:13">
      <c r="A358" t="s">
        <v>2414</v>
      </c>
      <c r="B358" t="s">
        <v>374</v>
      </c>
      <c r="C358" t="s">
        <v>373</v>
      </c>
      <c r="D358" t="s">
        <v>21</v>
      </c>
      <c r="E358" t="s">
        <v>22</v>
      </c>
      <c r="F358">
        <v>48</v>
      </c>
      <c r="G358" s="2">
        <v>45946.708333333336</v>
      </c>
      <c r="H358" s="2">
        <v>45946.739583333336</v>
      </c>
      <c r="I358" s="1">
        <v>46161</v>
      </c>
      <c r="J358" t="s">
        <v>1698</v>
      </c>
      <c r="K358" t="s">
        <v>373</v>
      </c>
      <c r="L358" t="s">
        <v>2876</v>
      </c>
      <c r="M358" s="210" t="s">
        <v>2476</v>
      </c>
    </row>
    <row r="359" spans="1:13">
      <c r="A359" t="s">
        <v>1163</v>
      </c>
      <c r="B359" t="s">
        <v>1184</v>
      </c>
      <c r="C359" t="s">
        <v>1185</v>
      </c>
      <c r="D359" t="s">
        <v>21</v>
      </c>
      <c r="E359" t="s">
        <v>22</v>
      </c>
      <c r="F359">
        <v>6</v>
      </c>
      <c r="G359" s="2">
        <v>46199.458333333336</v>
      </c>
      <c r="H359" s="2">
        <v>46199.5</v>
      </c>
      <c r="I359" s="1">
        <v>46213</v>
      </c>
      <c r="J359" t="s">
        <v>1698</v>
      </c>
      <c r="K359" t="s">
        <v>2877</v>
      </c>
      <c r="L359" t="s">
        <v>2458</v>
      </c>
    </row>
    <row r="360" spans="1:13">
      <c r="A360" t="s">
        <v>950</v>
      </c>
      <c r="B360" t="s">
        <v>951</v>
      </c>
      <c r="C360" t="s">
        <v>949</v>
      </c>
      <c r="D360" t="s">
        <v>16</v>
      </c>
      <c r="G360" t="s">
        <v>17</v>
      </c>
      <c r="I360" s="1">
        <v>46192</v>
      </c>
      <c r="J360" t="s">
        <v>1698</v>
      </c>
      <c r="K360" t="s">
        <v>2878</v>
      </c>
    </row>
    <row r="361" spans="1:13">
      <c r="A361" t="s">
        <v>255</v>
      </c>
      <c r="B361" t="s">
        <v>260</v>
      </c>
      <c r="C361" t="s">
        <v>259</v>
      </c>
      <c r="D361" t="s">
        <v>21</v>
      </c>
      <c r="E361" t="s">
        <v>22</v>
      </c>
      <c r="F361">
        <v>13</v>
      </c>
      <c r="G361" s="2">
        <v>45915.375</v>
      </c>
      <c r="H361" s="2">
        <v>45915.520833333336</v>
      </c>
      <c r="I361" s="1">
        <v>46205</v>
      </c>
      <c r="J361" t="s">
        <v>1698</v>
      </c>
      <c r="K361" t="s">
        <v>259</v>
      </c>
      <c r="L361" t="s">
        <v>2474</v>
      </c>
      <c r="M361" s="210" t="s">
        <v>2476</v>
      </c>
    </row>
    <row r="362" spans="1:13">
      <c r="A362" t="s">
        <v>255</v>
      </c>
      <c r="B362" t="s">
        <v>256</v>
      </c>
      <c r="C362" t="s">
        <v>254</v>
      </c>
      <c r="D362" t="s">
        <v>21</v>
      </c>
      <c r="E362" t="s">
        <v>22</v>
      </c>
      <c r="F362">
        <v>10</v>
      </c>
      <c r="G362" s="2">
        <v>45826.375</v>
      </c>
      <c r="H362" s="2">
        <v>45826.520833333336</v>
      </c>
      <c r="I362" s="1">
        <v>46215</v>
      </c>
      <c r="J362" t="s">
        <v>1698</v>
      </c>
      <c r="K362" t="s">
        <v>254</v>
      </c>
      <c r="L362" t="s">
        <v>2474</v>
      </c>
      <c r="M362" s="210" t="s">
        <v>2476</v>
      </c>
    </row>
    <row r="363" spans="1:13">
      <c r="A363" t="s">
        <v>255</v>
      </c>
      <c r="B363" t="s">
        <v>258</v>
      </c>
      <c r="C363" t="s">
        <v>257</v>
      </c>
      <c r="D363" t="s">
        <v>21</v>
      </c>
      <c r="E363" t="s">
        <v>22</v>
      </c>
      <c r="F363">
        <v>6</v>
      </c>
      <c r="G363" s="2">
        <v>45912.375</v>
      </c>
      <c r="H363" s="2">
        <v>45912.520833333336</v>
      </c>
      <c r="I363" s="1">
        <v>46190</v>
      </c>
      <c r="J363" t="s">
        <v>1698</v>
      </c>
      <c r="K363" t="s">
        <v>257</v>
      </c>
      <c r="L363" t="s">
        <v>2474</v>
      </c>
      <c r="M363" s="210" t="s">
        <v>2476</v>
      </c>
    </row>
    <row r="364" spans="1:13">
      <c r="A364" t="s">
        <v>190</v>
      </c>
      <c r="B364" t="s">
        <v>1298</v>
      </c>
      <c r="C364" t="s">
        <v>215</v>
      </c>
      <c r="D364" t="s">
        <v>21</v>
      </c>
      <c r="E364" t="s">
        <v>25</v>
      </c>
      <c r="G364" s="2">
        <v>45729.333333333336</v>
      </c>
      <c r="H364" s="2">
        <v>47330.333333333336</v>
      </c>
      <c r="I364" t="s">
        <v>198</v>
      </c>
      <c r="J364" t="s">
        <v>1698</v>
      </c>
      <c r="K364" t="s">
        <v>215</v>
      </c>
    </row>
    <row r="365" spans="1:13">
      <c r="A365" t="s">
        <v>936</v>
      </c>
      <c r="B365" t="s">
        <v>937</v>
      </c>
      <c r="C365" t="s">
        <v>935</v>
      </c>
      <c r="D365" t="s">
        <v>21</v>
      </c>
      <c r="E365" t="s">
        <v>22</v>
      </c>
      <c r="F365">
        <v>18</v>
      </c>
      <c r="G365" s="2">
        <v>45992.395833333336</v>
      </c>
      <c r="H365" s="2">
        <v>45993.708333333336</v>
      </c>
      <c r="I365" s="1">
        <v>46198</v>
      </c>
      <c r="J365" t="s">
        <v>1698</v>
      </c>
      <c r="K365" t="s">
        <v>935</v>
      </c>
      <c r="L365" t="s">
        <v>2538</v>
      </c>
      <c r="M365" s="210" t="s">
        <v>2476</v>
      </c>
    </row>
    <row r="366" spans="1:13">
      <c r="A366" t="s">
        <v>1774</v>
      </c>
      <c r="B366" t="s">
        <v>609</v>
      </c>
      <c r="C366" t="s">
        <v>608</v>
      </c>
      <c r="D366" t="s">
        <v>21</v>
      </c>
      <c r="E366" t="s">
        <v>25</v>
      </c>
      <c r="G366" s="2">
        <v>45708.333333333336</v>
      </c>
      <c r="H366" s="2">
        <v>47330.333333333336</v>
      </c>
      <c r="I366" t="s">
        <v>198</v>
      </c>
      <c r="J366" t="s">
        <v>1698</v>
      </c>
      <c r="K366" t="s">
        <v>608</v>
      </c>
    </row>
    <row r="367" spans="1:13">
      <c r="A367" t="s">
        <v>950</v>
      </c>
      <c r="B367" t="s">
        <v>955</v>
      </c>
      <c r="C367" t="s">
        <v>954</v>
      </c>
      <c r="D367" t="s">
        <v>21</v>
      </c>
      <c r="E367" t="s">
        <v>22</v>
      </c>
      <c r="F367">
        <v>51</v>
      </c>
      <c r="G367" s="2">
        <v>46136.479166666664</v>
      </c>
      <c r="H367" s="2">
        <v>46136.541666666664</v>
      </c>
      <c r="I367" s="1">
        <v>46210</v>
      </c>
      <c r="J367" t="s">
        <v>1698</v>
      </c>
      <c r="K367" t="s">
        <v>954</v>
      </c>
      <c r="L367" t="s">
        <v>2879</v>
      </c>
    </row>
    <row r="368" spans="1:13">
      <c r="A368" t="s">
        <v>1023</v>
      </c>
      <c r="B368" t="s">
        <v>2406</v>
      </c>
      <c r="C368" t="s">
        <v>2407</v>
      </c>
      <c r="D368" t="s">
        <v>21</v>
      </c>
      <c r="E368" t="s">
        <v>25</v>
      </c>
      <c r="G368" s="2">
        <v>46280.6875</v>
      </c>
      <c r="H368" s="2">
        <v>46280.770833333336</v>
      </c>
      <c r="I368" s="1">
        <v>46204</v>
      </c>
      <c r="J368" t="s">
        <v>1698</v>
      </c>
      <c r="K368" t="s">
        <v>2880</v>
      </c>
      <c r="L368" t="s">
        <v>2881</v>
      </c>
    </row>
    <row r="369" spans="1:12">
      <c r="A369" t="s">
        <v>1023</v>
      </c>
      <c r="B369" t="s">
        <v>1035</v>
      </c>
      <c r="C369" t="s">
        <v>1034</v>
      </c>
      <c r="D369" t="s">
        <v>21</v>
      </c>
      <c r="E369" t="s">
        <v>25</v>
      </c>
      <c r="G369" s="2">
        <v>45727.333333333336</v>
      </c>
      <c r="H369" s="2">
        <v>47330.333333333336</v>
      </c>
      <c r="I369" t="s">
        <v>198</v>
      </c>
      <c r="J369" t="s">
        <v>1698</v>
      </c>
      <c r="K369" t="s">
        <v>1034</v>
      </c>
    </row>
    <row r="370" spans="1:12">
      <c r="A370" t="s">
        <v>1766</v>
      </c>
      <c r="B370" t="s">
        <v>596</v>
      </c>
      <c r="C370" t="s">
        <v>594</v>
      </c>
      <c r="D370" t="s">
        <v>21</v>
      </c>
      <c r="E370" t="s">
        <v>22</v>
      </c>
      <c r="F370">
        <v>6</v>
      </c>
      <c r="G370" s="2">
        <v>46323.416666666664</v>
      </c>
      <c r="H370" s="2">
        <v>46323.520833333336</v>
      </c>
      <c r="I370" s="1">
        <v>46217</v>
      </c>
      <c r="J370" t="s">
        <v>1698</v>
      </c>
      <c r="K370" t="s">
        <v>594</v>
      </c>
      <c r="L370" t="s">
        <v>2540</v>
      </c>
    </row>
    <row r="371" spans="1:12">
      <c r="A371" t="s">
        <v>190</v>
      </c>
      <c r="B371" t="s">
        <v>236</v>
      </c>
      <c r="C371" t="s">
        <v>235</v>
      </c>
      <c r="D371" t="s">
        <v>21</v>
      </c>
      <c r="E371" t="s">
        <v>25</v>
      </c>
      <c r="G371" s="2">
        <v>45729.333333333336</v>
      </c>
      <c r="H371" s="2">
        <v>47330.333333333336</v>
      </c>
      <c r="I371" t="s">
        <v>198</v>
      </c>
      <c r="J371" t="s">
        <v>1698</v>
      </c>
      <c r="K371" t="s">
        <v>235</v>
      </c>
    </row>
    <row r="372" spans="1:12">
      <c r="A372" t="s">
        <v>1163</v>
      </c>
      <c r="B372" t="s">
        <v>1178</v>
      </c>
      <c r="C372" t="s">
        <v>1179</v>
      </c>
      <c r="D372" t="s">
        <v>21</v>
      </c>
      <c r="E372" t="s">
        <v>22</v>
      </c>
      <c r="F372">
        <v>1</v>
      </c>
      <c r="G372" s="2">
        <v>46282.458333333336</v>
      </c>
      <c r="H372" s="2">
        <v>46282.5</v>
      </c>
      <c r="I372" s="1">
        <v>46217</v>
      </c>
      <c r="J372" t="s">
        <v>1698</v>
      </c>
      <c r="K372" t="s">
        <v>2882</v>
      </c>
      <c r="L372" t="s">
        <v>2458</v>
      </c>
    </row>
    <row r="373" spans="1:12">
      <c r="A373" t="s">
        <v>693</v>
      </c>
      <c r="B373" t="s">
        <v>754</v>
      </c>
      <c r="C373" t="s">
        <v>753</v>
      </c>
      <c r="D373" t="s">
        <v>21</v>
      </c>
      <c r="E373" t="s">
        <v>22</v>
      </c>
      <c r="F373">
        <v>13</v>
      </c>
      <c r="G373" s="2">
        <v>46364.583333333336</v>
      </c>
      <c r="H373" s="2">
        <v>46364.6875</v>
      </c>
      <c r="I373" s="1">
        <v>46213</v>
      </c>
      <c r="J373" t="s">
        <v>1698</v>
      </c>
      <c r="K373" t="s">
        <v>2883</v>
      </c>
    </row>
    <row r="374" spans="1:12">
      <c r="A374" t="s">
        <v>501</v>
      </c>
      <c r="B374" t="s">
        <v>504</v>
      </c>
      <c r="C374" t="s">
        <v>503</v>
      </c>
      <c r="D374" t="s">
        <v>16</v>
      </c>
      <c r="G374" t="s">
        <v>17</v>
      </c>
      <c r="I374" s="1">
        <v>46216</v>
      </c>
      <c r="J374" t="s">
        <v>1698</v>
      </c>
      <c r="K374" t="s">
        <v>2884</v>
      </c>
    </row>
    <row r="375" spans="1:12">
      <c r="A375" t="s">
        <v>501</v>
      </c>
      <c r="B375" t="s">
        <v>502</v>
      </c>
      <c r="C375" t="s">
        <v>500</v>
      </c>
      <c r="D375" t="s">
        <v>16</v>
      </c>
      <c r="G375" t="s">
        <v>17</v>
      </c>
      <c r="I375" s="1">
        <v>46217</v>
      </c>
      <c r="J375" t="s">
        <v>1698</v>
      </c>
      <c r="K375" t="s">
        <v>2884</v>
      </c>
    </row>
    <row r="376" spans="1:12">
      <c r="A376" t="s">
        <v>950</v>
      </c>
      <c r="B376" t="s">
        <v>957</v>
      </c>
      <c r="C376" t="s">
        <v>956</v>
      </c>
      <c r="D376" t="s">
        <v>21</v>
      </c>
      <c r="E376" t="s">
        <v>22</v>
      </c>
      <c r="F376">
        <v>8</v>
      </c>
      <c r="G376" s="2">
        <v>46218.666666666664</v>
      </c>
      <c r="H376" s="2">
        <v>46218.729166666664</v>
      </c>
      <c r="I376" s="1">
        <v>46217</v>
      </c>
      <c r="J376" t="s">
        <v>1698</v>
      </c>
      <c r="K376" t="s">
        <v>956</v>
      </c>
      <c r="L376" t="s">
        <v>2545</v>
      </c>
    </row>
    <row r="377" spans="1:12">
      <c r="A377" t="s">
        <v>898</v>
      </c>
      <c r="B377" t="s">
        <v>911</v>
      </c>
      <c r="C377" t="s">
        <v>910</v>
      </c>
      <c r="D377" t="s">
        <v>21</v>
      </c>
      <c r="E377" t="s">
        <v>22</v>
      </c>
      <c r="F377">
        <v>10</v>
      </c>
      <c r="G377" s="2">
        <v>46183.375</v>
      </c>
      <c r="H377" s="2">
        <v>46183.708333333336</v>
      </c>
      <c r="I377" s="1">
        <v>46191</v>
      </c>
      <c r="J377" t="s">
        <v>1698</v>
      </c>
      <c r="K377" t="s">
        <v>910</v>
      </c>
      <c r="L377" t="s">
        <v>2538</v>
      </c>
    </row>
    <row r="378" spans="1:12">
      <c r="A378" t="s">
        <v>786</v>
      </c>
      <c r="B378" t="s">
        <v>797</v>
      </c>
      <c r="C378" t="s">
        <v>796</v>
      </c>
      <c r="D378" t="s">
        <v>16</v>
      </c>
      <c r="G378" t="s">
        <v>17</v>
      </c>
      <c r="I378" s="1">
        <v>46190</v>
      </c>
      <c r="J378" t="s">
        <v>1698</v>
      </c>
      <c r="K378" t="s">
        <v>2885</v>
      </c>
    </row>
    <row r="379" spans="1:12">
      <c r="A379" t="s">
        <v>786</v>
      </c>
      <c r="B379" t="s">
        <v>799</v>
      </c>
      <c r="C379" t="s">
        <v>798</v>
      </c>
      <c r="D379" t="s">
        <v>16</v>
      </c>
      <c r="G379" t="s">
        <v>17</v>
      </c>
      <c r="I379" s="1">
        <v>46204</v>
      </c>
      <c r="J379" t="s">
        <v>1698</v>
      </c>
      <c r="K379" t="s">
        <v>2886</v>
      </c>
    </row>
    <row r="380" spans="1:12">
      <c r="A380" t="s">
        <v>501</v>
      </c>
      <c r="B380" t="s">
        <v>2424</v>
      </c>
      <c r="C380" t="s">
        <v>2425</v>
      </c>
      <c r="D380" t="s">
        <v>21</v>
      </c>
      <c r="E380" t="s">
        <v>25</v>
      </c>
      <c r="G380" s="2">
        <v>46352.375</v>
      </c>
      <c r="H380" s="2">
        <v>46352.458333333336</v>
      </c>
      <c r="I380" s="1">
        <v>46211</v>
      </c>
      <c r="J380" t="s">
        <v>1698</v>
      </c>
      <c r="K380" t="s">
        <v>2425</v>
      </c>
      <c r="L380" t="s">
        <v>2491</v>
      </c>
    </row>
    <row r="381" spans="1:12">
      <c r="A381" t="s">
        <v>2414</v>
      </c>
      <c r="B381" t="s">
        <v>376</v>
      </c>
      <c r="C381" t="s">
        <v>375</v>
      </c>
      <c r="D381" t="s">
        <v>21</v>
      </c>
      <c r="E381" t="s">
        <v>22</v>
      </c>
      <c r="F381">
        <v>32</v>
      </c>
      <c r="G381" s="2">
        <v>46205.416666666664</v>
      </c>
      <c r="H381" s="2">
        <v>46205.458333333336</v>
      </c>
      <c r="I381" s="1">
        <v>46204</v>
      </c>
      <c r="J381" t="s">
        <v>1698</v>
      </c>
      <c r="K381" t="s">
        <v>375</v>
      </c>
      <c r="L381" t="s">
        <v>2876</v>
      </c>
    </row>
    <row r="382" spans="1:12">
      <c r="A382" t="s">
        <v>190</v>
      </c>
      <c r="B382" t="s">
        <v>1088</v>
      </c>
      <c r="C382" t="s">
        <v>237</v>
      </c>
      <c r="D382" t="s">
        <v>21</v>
      </c>
      <c r="E382" t="s">
        <v>22</v>
      </c>
      <c r="F382">
        <v>4</v>
      </c>
      <c r="G382" s="2">
        <v>46372.395833333336</v>
      </c>
      <c r="H382" s="2">
        <v>46372.479166666664</v>
      </c>
      <c r="I382" s="1">
        <v>46217</v>
      </c>
      <c r="J382" t="s">
        <v>1698</v>
      </c>
      <c r="K382" t="s">
        <v>237</v>
      </c>
      <c r="L382" t="s">
        <v>2845</v>
      </c>
    </row>
    <row r="383" spans="1:12">
      <c r="A383" t="s">
        <v>1023</v>
      </c>
      <c r="B383" t="s">
        <v>1031</v>
      </c>
      <c r="C383" t="s">
        <v>1030</v>
      </c>
      <c r="D383" t="s">
        <v>21</v>
      </c>
      <c r="E383" t="s">
        <v>25</v>
      </c>
      <c r="G383" s="2">
        <v>45770.333333333336</v>
      </c>
      <c r="H383" s="2">
        <v>47330.333333333336</v>
      </c>
      <c r="I383" t="s">
        <v>198</v>
      </c>
      <c r="J383" t="s">
        <v>1698</v>
      </c>
      <c r="K383" t="s">
        <v>1030</v>
      </c>
    </row>
    <row r="384" spans="1:12">
      <c r="A384" t="s">
        <v>786</v>
      </c>
      <c r="B384" t="s">
        <v>805</v>
      </c>
      <c r="C384" t="s">
        <v>804</v>
      </c>
      <c r="D384" t="s">
        <v>16</v>
      </c>
      <c r="G384" t="s">
        <v>17</v>
      </c>
      <c r="I384" s="1">
        <v>46209</v>
      </c>
      <c r="J384" t="s">
        <v>1698</v>
      </c>
      <c r="K384" t="s">
        <v>2887</v>
      </c>
    </row>
    <row r="385" spans="1:13">
      <c r="A385" t="s">
        <v>944</v>
      </c>
      <c r="B385" t="s">
        <v>2403</v>
      </c>
      <c r="C385" t="s">
        <v>947</v>
      </c>
      <c r="D385" t="s">
        <v>21</v>
      </c>
      <c r="E385" t="s">
        <v>22</v>
      </c>
      <c r="F385">
        <v>20</v>
      </c>
      <c r="G385" s="2">
        <v>46178.416666666664</v>
      </c>
      <c r="H385" s="2">
        <v>46178.5</v>
      </c>
      <c r="I385" s="1">
        <v>46181</v>
      </c>
      <c r="J385" t="s">
        <v>1698</v>
      </c>
      <c r="K385" t="s">
        <v>947</v>
      </c>
      <c r="L385" t="s">
        <v>2537</v>
      </c>
    </row>
    <row r="386" spans="1:13">
      <c r="A386" t="s">
        <v>1023</v>
      </c>
      <c r="B386" t="s">
        <v>2404</v>
      </c>
      <c r="C386" t="s">
        <v>2405</v>
      </c>
      <c r="D386" t="s">
        <v>21</v>
      </c>
      <c r="E386" t="s">
        <v>22</v>
      </c>
      <c r="F386">
        <v>5</v>
      </c>
      <c r="G386" s="2">
        <v>46150.385416666664</v>
      </c>
      <c r="H386" s="2">
        <v>46150.541666666664</v>
      </c>
      <c r="I386" s="1">
        <v>46212</v>
      </c>
      <c r="J386" t="s">
        <v>1698</v>
      </c>
      <c r="K386" t="s">
        <v>2405</v>
      </c>
      <c r="L386" t="s">
        <v>2852</v>
      </c>
    </row>
    <row r="387" spans="1:13">
      <c r="A387" t="s">
        <v>1163</v>
      </c>
      <c r="B387" t="s">
        <v>1176</v>
      </c>
      <c r="C387" t="s">
        <v>1177</v>
      </c>
      <c r="D387" t="s">
        <v>21</v>
      </c>
      <c r="E387" t="s">
        <v>25</v>
      </c>
      <c r="I387" s="1">
        <v>46213</v>
      </c>
      <c r="J387" t="s">
        <v>1698</v>
      </c>
      <c r="K387" t="s">
        <v>2888</v>
      </c>
    </row>
    <row r="388" spans="1:13">
      <c r="A388" t="s">
        <v>501</v>
      </c>
      <c r="B388" t="s">
        <v>517</v>
      </c>
      <c r="C388" t="s">
        <v>516</v>
      </c>
      <c r="D388" t="s">
        <v>21</v>
      </c>
      <c r="E388" t="s">
        <v>25</v>
      </c>
      <c r="G388" s="2">
        <v>45790.333333333336</v>
      </c>
      <c r="H388" s="2">
        <v>47325.333333333336</v>
      </c>
      <c r="I388" t="s">
        <v>198</v>
      </c>
      <c r="J388" t="s">
        <v>1698</v>
      </c>
      <c r="K388" t="s">
        <v>516</v>
      </c>
    </row>
    <row r="389" spans="1:13">
      <c r="A389" t="s">
        <v>1163</v>
      </c>
      <c r="B389" t="s">
        <v>575</v>
      </c>
      <c r="C389" t="s">
        <v>574</v>
      </c>
      <c r="D389" t="s">
        <v>21</v>
      </c>
      <c r="E389" t="s">
        <v>22</v>
      </c>
      <c r="F389">
        <v>10</v>
      </c>
      <c r="G389" s="2">
        <v>46181.458333333336</v>
      </c>
      <c r="H389" s="2">
        <v>46181.5</v>
      </c>
      <c r="I389" s="1">
        <v>46205</v>
      </c>
      <c r="J389" t="s">
        <v>1698</v>
      </c>
      <c r="K389" t="s">
        <v>2889</v>
      </c>
      <c r="L389" t="s">
        <v>2458</v>
      </c>
      <c r="M389" s="211" t="s">
        <v>2556</v>
      </c>
    </row>
    <row r="390" spans="1:13">
      <c r="A390" t="s">
        <v>560</v>
      </c>
      <c r="B390" t="s">
        <v>575</v>
      </c>
      <c r="C390" t="s">
        <v>574</v>
      </c>
      <c r="D390" t="s">
        <v>21</v>
      </c>
      <c r="E390" t="s">
        <v>22</v>
      </c>
      <c r="F390">
        <v>10</v>
      </c>
      <c r="G390" s="2">
        <v>46181.458333333336</v>
      </c>
      <c r="H390" s="2">
        <v>46181.5</v>
      </c>
      <c r="I390" s="1">
        <v>46205</v>
      </c>
      <c r="J390" t="s">
        <v>1698</v>
      </c>
      <c r="K390" t="s">
        <v>2889</v>
      </c>
      <c r="L390" t="s">
        <v>2858</v>
      </c>
      <c r="M390" s="211" t="s">
        <v>2556</v>
      </c>
    </row>
    <row r="391" spans="1:13">
      <c r="A391" t="s">
        <v>693</v>
      </c>
      <c r="B391" t="s">
        <v>1842</v>
      </c>
      <c r="C391" t="s">
        <v>751</v>
      </c>
      <c r="D391" t="s">
        <v>21</v>
      </c>
      <c r="E391" t="s">
        <v>22</v>
      </c>
      <c r="F391">
        <v>24</v>
      </c>
      <c r="G391" s="2">
        <v>46365.583333333336</v>
      </c>
      <c r="H391" s="2">
        <v>46365.6875</v>
      </c>
      <c r="I391" s="1">
        <v>46217</v>
      </c>
      <c r="J391" t="s">
        <v>1698</v>
      </c>
      <c r="K391" t="s">
        <v>2890</v>
      </c>
      <c r="L391" t="s">
        <v>2489</v>
      </c>
    </row>
    <row r="392" spans="1:13">
      <c r="A392" t="s">
        <v>898</v>
      </c>
      <c r="B392" t="s">
        <v>921</v>
      </c>
      <c r="C392" t="s">
        <v>920</v>
      </c>
      <c r="D392" t="s">
        <v>21</v>
      </c>
      <c r="E392" t="s">
        <v>22</v>
      </c>
      <c r="F392">
        <v>15</v>
      </c>
      <c r="G392" s="2">
        <v>46203.375</v>
      </c>
      <c r="H392" s="2">
        <v>46203.708333333336</v>
      </c>
      <c r="I392" s="1">
        <v>46205</v>
      </c>
      <c r="J392" t="s">
        <v>1698</v>
      </c>
      <c r="K392" t="s">
        <v>920</v>
      </c>
      <c r="L392" t="s">
        <v>2555</v>
      </c>
    </row>
    <row r="393" spans="1:13">
      <c r="A393" t="s">
        <v>898</v>
      </c>
      <c r="B393" t="s">
        <v>899</v>
      </c>
      <c r="C393" t="s">
        <v>1202</v>
      </c>
      <c r="D393" t="s">
        <v>21</v>
      </c>
      <c r="E393" t="s">
        <v>25</v>
      </c>
      <c r="G393" s="2">
        <v>46066.333333333336</v>
      </c>
      <c r="H393" s="2">
        <v>47312.333333333336</v>
      </c>
      <c r="I393" t="s">
        <v>198</v>
      </c>
      <c r="J393" t="s">
        <v>1698</v>
      </c>
      <c r="K393" t="s">
        <v>1202</v>
      </c>
    </row>
    <row r="394" spans="1:13">
      <c r="A394" t="s">
        <v>898</v>
      </c>
      <c r="B394" t="s">
        <v>907</v>
      </c>
      <c r="C394" t="s">
        <v>906</v>
      </c>
      <c r="D394" t="s">
        <v>21</v>
      </c>
      <c r="E394" t="s">
        <v>22</v>
      </c>
      <c r="F394">
        <v>26</v>
      </c>
      <c r="G394" s="2">
        <v>46181.375</v>
      </c>
      <c r="H394" s="2">
        <v>46181.520833333336</v>
      </c>
      <c r="I394" s="1">
        <v>46210</v>
      </c>
      <c r="J394" t="s">
        <v>1698</v>
      </c>
      <c r="K394" t="s">
        <v>906</v>
      </c>
      <c r="L394" t="s">
        <v>2555</v>
      </c>
    </row>
    <row r="395" spans="1:13">
      <c r="A395" t="s">
        <v>190</v>
      </c>
      <c r="B395" t="s">
        <v>244</v>
      </c>
      <c r="C395" t="s">
        <v>243</v>
      </c>
      <c r="D395" t="s">
        <v>21</v>
      </c>
      <c r="E395" t="s">
        <v>22</v>
      </c>
      <c r="F395">
        <v>36</v>
      </c>
      <c r="G395" s="2">
        <v>46315.583333333336</v>
      </c>
      <c r="H395" s="2">
        <v>46315.75</v>
      </c>
      <c r="I395" s="1">
        <v>46216</v>
      </c>
      <c r="J395" t="s">
        <v>1698</v>
      </c>
      <c r="K395" t="s">
        <v>243</v>
      </c>
      <c r="L395" t="s">
        <v>2875</v>
      </c>
    </row>
    <row r="396" spans="1:13">
      <c r="A396" t="s">
        <v>950</v>
      </c>
      <c r="B396" t="s">
        <v>959</v>
      </c>
      <c r="C396" t="s">
        <v>958</v>
      </c>
      <c r="D396" t="s">
        <v>21</v>
      </c>
      <c r="E396" t="s">
        <v>22</v>
      </c>
      <c r="F396">
        <v>41</v>
      </c>
      <c r="G396" s="2">
        <v>46293.354166666664</v>
      </c>
      <c r="H396" s="2">
        <v>46295.729166666664</v>
      </c>
      <c r="I396" s="1">
        <v>46216</v>
      </c>
      <c r="J396" t="s">
        <v>1698</v>
      </c>
      <c r="K396" t="s">
        <v>958</v>
      </c>
      <c r="L396" t="s">
        <v>2532</v>
      </c>
    </row>
    <row r="397" spans="1:13">
      <c r="A397" t="s">
        <v>1766</v>
      </c>
      <c r="B397" t="s">
        <v>617</v>
      </c>
      <c r="C397" t="s">
        <v>616</v>
      </c>
      <c r="D397" t="s">
        <v>21</v>
      </c>
      <c r="E397" t="s">
        <v>22</v>
      </c>
      <c r="F397">
        <v>11</v>
      </c>
      <c r="G397" s="2">
        <v>46189.395833333336</v>
      </c>
      <c r="H397" s="2">
        <v>46189.520833333336</v>
      </c>
      <c r="I397" s="1">
        <v>46197</v>
      </c>
      <c r="J397" t="s">
        <v>1698</v>
      </c>
      <c r="K397" t="s">
        <v>616</v>
      </c>
      <c r="L397" t="s">
        <v>2540</v>
      </c>
    </row>
    <row r="398" spans="1:13">
      <c r="A398" t="s">
        <v>1766</v>
      </c>
      <c r="B398" t="s">
        <v>619</v>
      </c>
      <c r="C398" t="s">
        <v>618</v>
      </c>
      <c r="D398" t="s">
        <v>21</v>
      </c>
      <c r="E398" t="s">
        <v>22</v>
      </c>
      <c r="F398">
        <v>6</v>
      </c>
      <c r="G398" s="2">
        <v>46189.583333333336</v>
      </c>
      <c r="H398" s="2">
        <v>46189.6875</v>
      </c>
      <c r="I398" s="1">
        <v>46197</v>
      </c>
      <c r="J398" t="s">
        <v>1698</v>
      </c>
      <c r="K398" t="s">
        <v>618</v>
      </c>
      <c r="L398" t="s">
        <v>2540</v>
      </c>
    </row>
    <row r="399" spans="1:13">
      <c r="A399" t="s">
        <v>649</v>
      </c>
      <c r="B399" t="s">
        <v>650</v>
      </c>
      <c r="C399" t="s">
        <v>648</v>
      </c>
      <c r="D399" t="s">
        <v>16</v>
      </c>
      <c r="G399" t="s">
        <v>17</v>
      </c>
      <c r="I399" s="1">
        <v>46217</v>
      </c>
      <c r="J399" t="s">
        <v>1698</v>
      </c>
      <c r="K399" t="s">
        <v>2891</v>
      </c>
    </row>
    <row r="400" spans="1:13">
      <c r="A400" t="s">
        <v>388</v>
      </c>
      <c r="B400" t="s">
        <v>402</v>
      </c>
      <c r="C400" t="s">
        <v>401</v>
      </c>
      <c r="D400" t="s">
        <v>16</v>
      </c>
      <c r="G400" t="s">
        <v>17</v>
      </c>
      <c r="I400" s="1">
        <v>46213</v>
      </c>
      <c r="J400" t="s">
        <v>1698</v>
      </c>
      <c r="K400" t="s">
        <v>2892</v>
      </c>
    </row>
    <row r="401" spans="1:13">
      <c r="A401" t="s">
        <v>1766</v>
      </c>
      <c r="B401" t="s">
        <v>602</v>
      </c>
      <c r="C401" t="s">
        <v>601</v>
      </c>
      <c r="D401" t="s">
        <v>21</v>
      </c>
      <c r="E401" t="s">
        <v>25</v>
      </c>
      <c r="G401" s="2">
        <v>46345.604166666664</v>
      </c>
      <c r="H401" s="2">
        <v>46345.666666666664</v>
      </c>
      <c r="I401" s="1">
        <v>46213</v>
      </c>
      <c r="J401" t="s">
        <v>1698</v>
      </c>
      <c r="K401" t="s">
        <v>601</v>
      </c>
      <c r="L401" t="s">
        <v>2540</v>
      </c>
    </row>
    <row r="402" spans="1:13">
      <c r="A402" t="s">
        <v>584</v>
      </c>
      <c r="B402" t="s">
        <v>587</v>
      </c>
      <c r="C402" t="s">
        <v>586</v>
      </c>
      <c r="D402" t="s">
        <v>21</v>
      </c>
      <c r="E402" t="s">
        <v>22</v>
      </c>
      <c r="F402">
        <v>17</v>
      </c>
      <c r="G402" s="2">
        <v>46321.375</v>
      </c>
      <c r="H402" s="2">
        <v>46321.708333333336</v>
      </c>
      <c r="I402" s="1">
        <v>46217</v>
      </c>
      <c r="J402" t="s">
        <v>1698</v>
      </c>
      <c r="K402" t="s">
        <v>586</v>
      </c>
      <c r="L402" t="s">
        <v>2491</v>
      </c>
    </row>
    <row r="403" spans="1:13">
      <c r="A403" t="s">
        <v>1163</v>
      </c>
      <c r="B403" t="s">
        <v>1180</v>
      </c>
      <c r="C403" t="s">
        <v>1181</v>
      </c>
      <c r="D403" t="s">
        <v>21</v>
      </c>
      <c r="E403" t="s">
        <v>25</v>
      </c>
      <c r="I403" s="1">
        <v>46205</v>
      </c>
      <c r="J403" t="s">
        <v>1698</v>
      </c>
      <c r="K403" t="s">
        <v>2893</v>
      </c>
    </row>
    <row r="404" spans="1:13">
      <c r="A404" t="s">
        <v>925</v>
      </c>
      <c r="B404" t="s">
        <v>934</v>
      </c>
      <c r="C404" t="s">
        <v>933</v>
      </c>
      <c r="D404" t="s">
        <v>21</v>
      </c>
      <c r="E404" t="s">
        <v>22</v>
      </c>
      <c r="F404">
        <v>13</v>
      </c>
      <c r="G404" s="2">
        <v>46294.395833333336</v>
      </c>
      <c r="H404" s="2">
        <v>46295.729166666664</v>
      </c>
      <c r="I404" s="1">
        <v>46210</v>
      </c>
      <c r="J404" t="s">
        <v>1698</v>
      </c>
      <c r="K404" t="s">
        <v>933</v>
      </c>
      <c r="L404" t="s">
        <v>2538</v>
      </c>
    </row>
    <row r="405" spans="1:13">
      <c r="A405" t="s">
        <v>1774</v>
      </c>
      <c r="B405" t="s">
        <v>2430</v>
      </c>
      <c r="C405" t="s">
        <v>1008</v>
      </c>
      <c r="D405" t="s">
        <v>16</v>
      </c>
      <c r="G405" t="s">
        <v>17</v>
      </c>
      <c r="I405" s="1">
        <v>46181</v>
      </c>
      <c r="J405" t="s">
        <v>1698</v>
      </c>
      <c r="K405" t="s">
        <v>2894</v>
      </c>
    </row>
    <row r="406" spans="1:13">
      <c r="A406" t="s">
        <v>1774</v>
      </c>
      <c r="B406" t="s">
        <v>2429</v>
      </c>
      <c r="C406" t="s">
        <v>1006</v>
      </c>
      <c r="D406" t="s">
        <v>16</v>
      </c>
      <c r="G406" t="s">
        <v>17</v>
      </c>
      <c r="I406" s="1">
        <v>46213</v>
      </c>
      <c r="J406" t="s">
        <v>1698</v>
      </c>
      <c r="K406" t="s">
        <v>2894</v>
      </c>
    </row>
    <row r="407" spans="1:13">
      <c r="A407" t="s">
        <v>560</v>
      </c>
      <c r="B407" t="s">
        <v>569</v>
      </c>
      <c r="C407" t="s">
        <v>568</v>
      </c>
      <c r="D407" t="s">
        <v>21</v>
      </c>
      <c r="E407" t="s">
        <v>22</v>
      </c>
      <c r="F407">
        <v>31</v>
      </c>
      <c r="G407" s="2">
        <v>46309.375</v>
      </c>
      <c r="H407" s="2">
        <v>46309.708333333336</v>
      </c>
      <c r="I407" s="1">
        <v>46206</v>
      </c>
      <c r="J407" t="s">
        <v>1698</v>
      </c>
      <c r="K407" t="s">
        <v>568</v>
      </c>
      <c r="L407" t="s">
        <v>2491</v>
      </c>
    </row>
    <row r="408" spans="1:13">
      <c r="A408" t="s">
        <v>1163</v>
      </c>
      <c r="B408" t="s">
        <v>1182</v>
      </c>
      <c r="C408" t="s">
        <v>1183</v>
      </c>
      <c r="D408" t="s">
        <v>21</v>
      </c>
      <c r="E408" t="s">
        <v>25</v>
      </c>
      <c r="I408" s="1">
        <v>46216</v>
      </c>
      <c r="J408" t="s">
        <v>1698</v>
      </c>
      <c r="K408" t="s">
        <v>2895</v>
      </c>
    </row>
    <row r="409" spans="1:13">
      <c r="A409" t="s">
        <v>693</v>
      </c>
      <c r="B409" t="s">
        <v>730</v>
      </c>
      <c r="C409" t="s">
        <v>729</v>
      </c>
      <c r="D409" t="s">
        <v>21</v>
      </c>
      <c r="E409" t="s">
        <v>22</v>
      </c>
      <c r="F409">
        <v>85</v>
      </c>
      <c r="G409" s="2">
        <v>46315.385416666664</v>
      </c>
      <c r="H409" s="2">
        <v>46315.708333333336</v>
      </c>
      <c r="I409" s="1">
        <v>46216</v>
      </c>
      <c r="J409" t="s">
        <v>1788</v>
      </c>
      <c r="K409" t="s">
        <v>2896</v>
      </c>
      <c r="L409" t="s">
        <v>2462</v>
      </c>
    </row>
    <row r="410" spans="1:13">
      <c r="A410" t="s">
        <v>941</v>
      </c>
      <c r="B410" t="s">
        <v>942</v>
      </c>
      <c r="C410" t="s">
        <v>940</v>
      </c>
      <c r="D410" t="s">
        <v>21</v>
      </c>
      <c r="E410" t="s">
        <v>22</v>
      </c>
      <c r="F410">
        <v>10</v>
      </c>
      <c r="G410" s="2">
        <v>46107.395833333336</v>
      </c>
      <c r="H410" s="2">
        <v>46107.520833333336</v>
      </c>
      <c r="I410" s="1">
        <v>46202</v>
      </c>
      <c r="J410" t="s">
        <v>1698</v>
      </c>
      <c r="K410" t="s">
        <v>940</v>
      </c>
      <c r="L410" t="s">
        <v>2560</v>
      </c>
      <c r="M410" s="210" t="s">
        <v>2476</v>
      </c>
    </row>
    <row r="411" spans="1:13">
      <c r="A411" t="s">
        <v>19</v>
      </c>
      <c r="B411" t="s">
        <v>40</v>
      </c>
      <c r="C411" t="s">
        <v>39</v>
      </c>
      <c r="D411" t="s">
        <v>21</v>
      </c>
      <c r="E411" t="s">
        <v>22</v>
      </c>
      <c r="F411">
        <v>64</v>
      </c>
      <c r="G411" s="2">
        <v>46351.395833333336</v>
      </c>
      <c r="H411" s="2">
        <v>46351.708333333336</v>
      </c>
      <c r="I411" s="1">
        <v>46216</v>
      </c>
      <c r="J411" t="s">
        <v>1698</v>
      </c>
      <c r="K411" t="s">
        <v>39</v>
      </c>
      <c r="L411" t="s">
        <v>2537</v>
      </c>
    </row>
    <row r="412" spans="1:13">
      <c r="A412" t="s">
        <v>501</v>
      </c>
      <c r="B412" t="s">
        <v>527</v>
      </c>
      <c r="C412" t="s">
        <v>526</v>
      </c>
      <c r="D412" t="s">
        <v>21</v>
      </c>
      <c r="E412" t="s">
        <v>25</v>
      </c>
      <c r="G412" s="2">
        <v>46170.375</v>
      </c>
      <c r="H412" s="2">
        <v>47330.333333333336</v>
      </c>
      <c r="I412" t="s">
        <v>198</v>
      </c>
      <c r="J412" t="s">
        <v>1698</v>
      </c>
      <c r="K412" t="s">
        <v>526</v>
      </c>
    </row>
    <row r="413" spans="1:13">
      <c r="A413" t="s">
        <v>288</v>
      </c>
      <c r="B413" t="s">
        <v>291</v>
      </c>
      <c r="C413" t="s">
        <v>290</v>
      </c>
      <c r="D413" t="s">
        <v>21</v>
      </c>
      <c r="E413" t="s">
        <v>22</v>
      </c>
      <c r="F413">
        <v>6</v>
      </c>
      <c r="G413" s="2">
        <v>46314.375</v>
      </c>
      <c r="H413" s="2">
        <v>46316.708333333336</v>
      </c>
      <c r="I413" s="1">
        <v>46196</v>
      </c>
      <c r="J413" t="s">
        <v>1698</v>
      </c>
      <c r="K413" t="s">
        <v>290</v>
      </c>
      <c r="L413" t="s">
        <v>2474</v>
      </c>
    </row>
    <row r="414" spans="1:13">
      <c r="A414" t="s">
        <v>1023</v>
      </c>
      <c r="B414" t="s">
        <v>472</v>
      </c>
      <c r="C414" t="s">
        <v>1042</v>
      </c>
      <c r="D414" t="s">
        <v>21</v>
      </c>
      <c r="E414" t="s">
        <v>22</v>
      </c>
      <c r="F414">
        <v>20</v>
      </c>
      <c r="G414" s="2">
        <v>46035.375</v>
      </c>
      <c r="H414" s="2">
        <v>46091.4375</v>
      </c>
      <c r="I414" s="1">
        <v>46217</v>
      </c>
      <c r="J414" t="s">
        <v>1698</v>
      </c>
      <c r="K414" t="s">
        <v>1042</v>
      </c>
      <c r="L414" t="s">
        <v>2852</v>
      </c>
      <c r="M414" s="210" t="s">
        <v>2476</v>
      </c>
    </row>
    <row r="415" spans="1:13">
      <c r="A415" t="s">
        <v>786</v>
      </c>
      <c r="B415" t="s">
        <v>789</v>
      </c>
      <c r="C415" t="s">
        <v>788</v>
      </c>
      <c r="D415" t="s">
        <v>16</v>
      </c>
      <c r="G415" t="s">
        <v>17</v>
      </c>
      <c r="I415" s="1">
        <v>46216</v>
      </c>
      <c r="J415" t="s">
        <v>1698</v>
      </c>
      <c r="K415" t="s">
        <v>2897</v>
      </c>
    </row>
    <row r="416" spans="1:13">
      <c r="A416" t="s">
        <v>190</v>
      </c>
      <c r="B416" t="s">
        <v>251</v>
      </c>
      <c r="C416" t="s">
        <v>250</v>
      </c>
      <c r="D416" t="s">
        <v>21</v>
      </c>
      <c r="E416" t="s">
        <v>22</v>
      </c>
      <c r="F416">
        <v>25</v>
      </c>
      <c r="G416" s="2">
        <v>46344.375</v>
      </c>
      <c r="H416" s="2">
        <v>46344.708333333336</v>
      </c>
      <c r="I416" s="1">
        <v>46213</v>
      </c>
      <c r="J416" t="s">
        <v>1698</v>
      </c>
      <c r="K416" t="s">
        <v>250</v>
      </c>
      <c r="L416" t="s">
        <v>2549</v>
      </c>
    </row>
    <row r="417" spans="1:13">
      <c r="A417" t="s">
        <v>190</v>
      </c>
      <c r="B417" t="s">
        <v>242</v>
      </c>
      <c r="C417" t="s">
        <v>241</v>
      </c>
      <c r="D417" t="s">
        <v>21</v>
      </c>
      <c r="E417" t="s">
        <v>22</v>
      </c>
      <c r="F417">
        <v>25</v>
      </c>
      <c r="G417" s="2">
        <v>46356.375</v>
      </c>
      <c r="H417" s="2">
        <v>46356.520833333336</v>
      </c>
      <c r="I417" s="1">
        <v>46211</v>
      </c>
      <c r="J417" t="s">
        <v>1698</v>
      </c>
      <c r="K417" t="s">
        <v>241</v>
      </c>
      <c r="L417" t="s">
        <v>2549</v>
      </c>
    </row>
    <row r="418" spans="1:13">
      <c r="A418" t="s">
        <v>1766</v>
      </c>
      <c r="B418" t="s">
        <v>621</v>
      </c>
      <c r="C418" t="s">
        <v>620</v>
      </c>
      <c r="D418" t="s">
        <v>21</v>
      </c>
      <c r="E418" t="s">
        <v>22</v>
      </c>
      <c r="F418">
        <v>4</v>
      </c>
      <c r="G418" s="2">
        <v>46338.583333333336</v>
      </c>
      <c r="H418" s="2">
        <v>46338.6875</v>
      </c>
      <c r="I418" s="1">
        <v>46197</v>
      </c>
      <c r="J418" t="s">
        <v>1698</v>
      </c>
      <c r="K418" t="s">
        <v>620</v>
      </c>
      <c r="L418" t="s">
        <v>2540</v>
      </c>
    </row>
    <row r="419" spans="1:13">
      <c r="A419" t="s">
        <v>623</v>
      </c>
      <c r="B419" t="s">
        <v>624</v>
      </c>
      <c r="C419" t="s">
        <v>622</v>
      </c>
      <c r="D419" t="s">
        <v>21</v>
      </c>
      <c r="E419" t="s">
        <v>22</v>
      </c>
      <c r="F419">
        <v>2</v>
      </c>
      <c r="G419" s="2">
        <v>45992.392361111109</v>
      </c>
      <c r="H419" s="2">
        <v>46295.333333333336</v>
      </c>
      <c r="I419" s="1">
        <v>46043</v>
      </c>
      <c r="J419" t="s">
        <v>1698</v>
      </c>
      <c r="K419" t="s">
        <v>622</v>
      </c>
      <c r="L419" t="s">
        <v>2527</v>
      </c>
      <c r="M419" s="210" t="s">
        <v>2476</v>
      </c>
    </row>
    <row r="420" spans="1:13">
      <c r="A420" t="s">
        <v>623</v>
      </c>
      <c r="B420" t="s">
        <v>647</v>
      </c>
      <c r="C420" t="s">
        <v>646</v>
      </c>
      <c r="D420" t="s">
        <v>21</v>
      </c>
      <c r="E420" t="s">
        <v>22</v>
      </c>
      <c r="F420">
        <v>5</v>
      </c>
      <c r="G420" s="2">
        <v>45968.416666666664</v>
      </c>
      <c r="H420" s="2">
        <v>45968.5</v>
      </c>
      <c r="I420" s="1">
        <v>45989</v>
      </c>
      <c r="J420" t="s">
        <v>1698</v>
      </c>
      <c r="K420" t="s">
        <v>646</v>
      </c>
      <c r="L420" t="s">
        <v>2851</v>
      </c>
      <c r="M420" s="210" t="s">
        <v>2476</v>
      </c>
    </row>
    <row r="421" spans="1:13">
      <c r="A421" t="s">
        <v>663</v>
      </c>
      <c r="B421" t="s">
        <v>1836</v>
      </c>
      <c r="C421" t="s">
        <v>665</v>
      </c>
      <c r="D421" t="s">
        <v>21</v>
      </c>
      <c r="E421" t="s">
        <v>22</v>
      </c>
      <c r="F421">
        <v>12</v>
      </c>
      <c r="G421" s="2">
        <v>46126.395833333336</v>
      </c>
      <c r="H421" s="2">
        <v>46126.520833333336</v>
      </c>
      <c r="I421" s="1">
        <v>46211</v>
      </c>
      <c r="J421" t="s">
        <v>1698</v>
      </c>
      <c r="K421" t="s">
        <v>665</v>
      </c>
      <c r="L421" t="s">
        <v>2490</v>
      </c>
    </row>
    <row r="422" spans="1:13">
      <c r="A422" t="s">
        <v>19</v>
      </c>
      <c r="B422" t="s">
        <v>210</v>
      </c>
      <c r="C422" t="s">
        <v>209</v>
      </c>
      <c r="D422" t="s">
        <v>21</v>
      </c>
      <c r="E422" t="s">
        <v>22</v>
      </c>
      <c r="F422">
        <v>10</v>
      </c>
      <c r="G422" s="2">
        <v>46191.395833333336</v>
      </c>
      <c r="H422" s="2">
        <v>46191.708333333336</v>
      </c>
      <c r="I422" s="1">
        <v>46191</v>
      </c>
      <c r="J422" t="s">
        <v>1698</v>
      </c>
      <c r="K422" t="s">
        <v>209</v>
      </c>
      <c r="L422" t="s">
        <v>2537</v>
      </c>
    </row>
    <row r="423" spans="1:13">
      <c r="A423" t="s">
        <v>693</v>
      </c>
      <c r="B423" t="s">
        <v>764</v>
      </c>
      <c r="C423" t="s">
        <v>763</v>
      </c>
      <c r="D423" t="s">
        <v>21</v>
      </c>
      <c r="E423" t="s">
        <v>22</v>
      </c>
      <c r="F423">
        <v>7</v>
      </c>
      <c r="G423" s="2">
        <v>46295.375</v>
      </c>
      <c r="H423" s="2">
        <v>46295.5</v>
      </c>
      <c r="I423" s="1">
        <v>46217</v>
      </c>
      <c r="J423" t="s">
        <v>1698</v>
      </c>
      <c r="K423" t="s">
        <v>2898</v>
      </c>
    </row>
    <row r="424" spans="1:13">
      <c r="A424" t="s">
        <v>693</v>
      </c>
      <c r="B424" t="s">
        <v>762</v>
      </c>
      <c r="C424" t="s">
        <v>761</v>
      </c>
      <c r="D424" t="s">
        <v>21</v>
      </c>
      <c r="E424" t="s">
        <v>22</v>
      </c>
      <c r="F424">
        <v>10</v>
      </c>
      <c r="G424" s="2">
        <v>46290.395833333336</v>
      </c>
      <c r="H424" s="2">
        <v>46290.479166666664</v>
      </c>
      <c r="I424" s="1">
        <v>46217</v>
      </c>
      <c r="J424" t="s">
        <v>1698</v>
      </c>
      <c r="K424" t="s">
        <v>2899</v>
      </c>
    </row>
    <row r="425" spans="1:13">
      <c r="A425" t="s">
        <v>663</v>
      </c>
      <c r="B425" t="s">
        <v>668</v>
      </c>
      <c r="C425" t="s">
        <v>667</v>
      </c>
      <c r="D425" t="s">
        <v>21</v>
      </c>
      <c r="E425" t="s">
        <v>22</v>
      </c>
      <c r="F425">
        <v>36</v>
      </c>
      <c r="G425" s="2">
        <v>45973.416666666664</v>
      </c>
      <c r="H425" s="2">
        <v>45973.503472222219</v>
      </c>
      <c r="I425" s="1">
        <v>46163</v>
      </c>
      <c r="J425" t="s">
        <v>1698</v>
      </c>
      <c r="K425" t="s">
        <v>667</v>
      </c>
      <c r="L425" t="s">
        <v>2549</v>
      </c>
      <c r="M425" s="210" t="s">
        <v>2476</v>
      </c>
    </row>
    <row r="426" spans="1:13">
      <c r="A426" t="s">
        <v>2900</v>
      </c>
      <c r="B426" t="s">
        <v>2435</v>
      </c>
      <c r="C426" t="s">
        <v>878</v>
      </c>
      <c r="D426" t="s">
        <v>16</v>
      </c>
      <c r="G426" s="2">
        <v>45943.333333333336</v>
      </c>
      <c r="H426" s="2">
        <v>46387.999305555553</v>
      </c>
      <c r="I426" s="1">
        <v>46217</v>
      </c>
      <c r="J426" t="s">
        <v>1698</v>
      </c>
      <c r="K426" t="s">
        <v>2901</v>
      </c>
      <c r="L426" t="s">
        <v>2902</v>
      </c>
    </row>
    <row r="427" spans="1:13">
      <c r="A427" t="s">
        <v>2900</v>
      </c>
      <c r="B427" t="s">
        <v>851</v>
      </c>
      <c r="C427" t="s">
        <v>850</v>
      </c>
      <c r="D427" t="s">
        <v>16</v>
      </c>
      <c r="G427" s="2">
        <v>45943.333333333336</v>
      </c>
      <c r="H427" s="2">
        <v>46387.999305555553</v>
      </c>
      <c r="I427" s="1">
        <v>46217</v>
      </c>
      <c r="J427" t="s">
        <v>1698</v>
      </c>
      <c r="K427" t="s">
        <v>2901</v>
      </c>
      <c r="L427" t="s">
        <v>2902</v>
      </c>
    </row>
    <row r="428" spans="1:13">
      <c r="A428" t="s">
        <v>2900</v>
      </c>
      <c r="B428" t="s">
        <v>843</v>
      </c>
      <c r="C428" t="s">
        <v>842</v>
      </c>
      <c r="D428" t="s">
        <v>16</v>
      </c>
      <c r="G428" s="2">
        <v>45943.333333333336</v>
      </c>
      <c r="H428" s="2">
        <v>46387.999305555553</v>
      </c>
      <c r="I428" s="1">
        <v>46217</v>
      </c>
      <c r="J428" t="s">
        <v>1698</v>
      </c>
      <c r="K428" t="s">
        <v>2901</v>
      </c>
      <c r="L428" t="s">
        <v>2902</v>
      </c>
    </row>
    <row r="429" spans="1:13">
      <c r="A429" t="s">
        <v>2900</v>
      </c>
      <c r="B429" t="s">
        <v>831</v>
      </c>
      <c r="C429" t="s">
        <v>830</v>
      </c>
      <c r="D429" t="s">
        <v>16</v>
      </c>
      <c r="G429" s="2">
        <v>45943.333333333336</v>
      </c>
      <c r="H429" s="2">
        <v>46387.999305555553</v>
      </c>
      <c r="I429" s="1">
        <v>46142</v>
      </c>
      <c r="J429" t="s">
        <v>1698</v>
      </c>
      <c r="K429" t="s">
        <v>2901</v>
      </c>
      <c r="L429" t="s">
        <v>2902</v>
      </c>
    </row>
    <row r="430" spans="1:13">
      <c r="A430" t="s">
        <v>2900</v>
      </c>
      <c r="B430" t="s">
        <v>829</v>
      </c>
      <c r="C430" t="s">
        <v>827</v>
      </c>
      <c r="D430" t="s">
        <v>16</v>
      </c>
      <c r="G430" s="2">
        <v>45943.333333333336</v>
      </c>
      <c r="H430" s="2">
        <v>46387.999305555553</v>
      </c>
      <c r="I430" s="1">
        <v>46217</v>
      </c>
      <c r="J430" t="s">
        <v>1698</v>
      </c>
      <c r="K430" t="s">
        <v>2901</v>
      </c>
      <c r="L430" t="s">
        <v>2902</v>
      </c>
    </row>
    <row r="431" spans="1:13">
      <c r="A431" t="s">
        <v>2900</v>
      </c>
      <c r="B431" t="s">
        <v>873</v>
      </c>
      <c r="C431" t="s">
        <v>872</v>
      </c>
      <c r="D431" t="s">
        <v>16</v>
      </c>
      <c r="G431" s="2">
        <v>45943.333333333336</v>
      </c>
      <c r="H431" s="2">
        <v>46387.999305555553</v>
      </c>
      <c r="I431" s="1">
        <v>46217</v>
      </c>
      <c r="J431" t="s">
        <v>1698</v>
      </c>
      <c r="K431" t="s">
        <v>2901</v>
      </c>
      <c r="L431" t="s">
        <v>2902</v>
      </c>
    </row>
    <row r="432" spans="1:13">
      <c r="A432" t="s">
        <v>2900</v>
      </c>
      <c r="B432" t="s">
        <v>883</v>
      </c>
      <c r="C432" t="s">
        <v>882</v>
      </c>
      <c r="D432" t="s">
        <v>16</v>
      </c>
      <c r="G432" s="2">
        <v>45943.333333333336</v>
      </c>
      <c r="H432" s="2">
        <v>46387.999305555553</v>
      </c>
      <c r="I432" s="1">
        <v>46209</v>
      </c>
      <c r="J432" t="s">
        <v>1698</v>
      </c>
      <c r="K432" t="s">
        <v>2901</v>
      </c>
      <c r="L432" t="s">
        <v>2902</v>
      </c>
    </row>
    <row r="433" spans="1:12">
      <c r="A433" t="s">
        <v>2900</v>
      </c>
      <c r="B433" t="s">
        <v>833</v>
      </c>
      <c r="C433" t="s">
        <v>832</v>
      </c>
      <c r="D433" t="s">
        <v>16</v>
      </c>
      <c r="G433" s="2">
        <v>45943.333333333336</v>
      </c>
      <c r="H433" s="2">
        <v>46387.999305555553</v>
      </c>
      <c r="I433" s="1">
        <v>46202</v>
      </c>
      <c r="J433" t="s">
        <v>1698</v>
      </c>
      <c r="K433" t="s">
        <v>2901</v>
      </c>
      <c r="L433" t="s">
        <v>2902</v>
      </c>
    </row>
    <row r="434" spans="1:12">
      <c r="A434" t="s">
        <v>2900</v>
      </c>
      <c r="B434" t="s">
        <v>888</v>
      </c>
      <c r="C434" t="s">
        <v>887</v>
      </c>
      <c r="D434" t="s">
        <v>16</v>
      </c>
      <c r="G434" s="2">
        <v>45943.333333333336</v>
      </c>
      <c r="H434" s="2">
        <v>46387.999305555553</v>
      </c>
      <c r="I434" s="1">
        <v>46217</v>
      </c>
      <c r="J434" t="s">
        <v>1698</v>
      </c>
      <c r="K434" t="s">
        <v>2901</v>
      </c>
      <c r="L434" t="s">
        <v>2902</v>
      </c>
    </row>
    <row r="435" spans="1:12">
      <c r="A435" t="s">
        <v>2900</v>
      </c>
      <c r="B435" t="s">
        <v>885</v>
      </c>
      <c r="C435" t="s">
        <v>884</v>
      </c>
      <c r="D435" t="s">
        <v>16</v>
      </c>
      <c r="G435" s="2">
        <v>45943.333333333336</v>
      </c>
      <c r="H435" s="2">
        <v>46387.999305555553</v>
      </c>
      <c r="I435" s="1">
        <v>46198</v>
      </c>
      <c r="J435" t="s">
        <v>1698</v>
      </c>
      <c r="K435" t="s">
        <v>2901</v>
      </c>
      <c r="L435" t="s">
        <v>2902</v>
      </c>
    </row>
    <row r="436" spans="1:12">
      <c r="A436" t="s">
        <v>2900</v>
      </c>
      <c r="B436" t="s">
        <v>859</v>
      </c>
      <c r="C436" t="s">
        <v>858</v>
      </c>
      <c r="D436" t="s">
        <v>16</v>
      </c>
      <c r="G436" s="2">
        <v>45943.333333333336</v>
      </c>
      <c r="H436" s="2">
        <v>46387.999305555553</v>
      </c>
      <c r="I436" s="1">
        <v>46216</v>
      </c>
      <c r="J436" t="s">
        <v>1698</v>
      </c>
      <c r="K436" t="s">
        <v>2901</v>
      </c>
      <c r="L436" t="s">
        <v>2902</v>
      </c>
    </row>
    <row r="437" spans="1:12">
      <c r="A437" t="s">
        <v>2900</v>
      </c>
      <c r="B437" t="s">
        <v>849</v>
      </c>
      <c r="C437" t="s">
        <v>848</v>
      </c>
      <c r="D437" t="s">
        <v>16</v>
      </c>
      <c r="G437" s="2">
        <v>45943.333333333336</v>
      </c>
      <c r="H437" s="2">
        <v>46387.999305555553</v>
      </c>
      <c r="I437" s="1">
        <v>46217</v>
      </c>
      <c r="J437" t="s">
        <v>1698</v>
      </c>
      <c r="K437" t="s">
        <v>2901</v>
      </c>
      <c r="L437" t="s">
        <v>2902</v>
      </c>
    </row>
    <row r="438" spans="1:12">
      <c r="A438" t="s">
        <v>2900</v>
      </c>
      <c r="B438" t="s">
        <v>839</v>
      </c>
      <c r="C438" t="s">
        <v>838</v>
      </c>
      <c r="D438" t="s">
        <v>16</v>
      </c>
      <c r="G438" s="2">
        <v>45943.333333333336</v>
      </c>
      <c r="H438" s="2">
        <v>46387.999305555553</v>
      </c>
      <c r="I438" s="1">
        <v>46211</v>
      </c>
      <c r="J438" t="s">
        <v>1698</v>
      </c>
      <c r="K438" t="s">
        <v>2901</v>
      </c>
      <c r="L438" t="s">
        <v>2902</v>
      </c>
    </row>
    <row r="439" spans="1:12">
      <c r="A439" t="s">
        <v>2900</v>
      </c>
      <c r="B439" t="s">
        <v>853</v>
      </c>
      <c r="C439" t="s">
        <v>852</v>
      </c>
      <c r="D439" t="s">
        <v>16</v>
      </c>
      <c r="G439" s="2">
        <v>45943.333333333336</v>
      </c>
      <c r="H439" s="2">
        <v>46387.999305555553</v>
      </c>
      <c r="I439" s="1">
        <v>46208</v>
      </c>
      <c r="J439" t="s">
        <v>1698</v>
      </c>
      <c r="K439" t="s">
        <v>2901</v>
      </c>
      <c r="L439" t="s">
        <v>2902</v>
      </c>
    </row>
    <row r="440" spans="1:12">
      <c r="A440" t="s">
        <v>2900</v>
      </c>
      <c r="B440" t="s">
        <v>837</v>
      </c>
      <c r="C440" t="s">
        <v>836</v>
      </c>
      <c r="D440" t="s">
        <v>16</v>
      </c>
      <c r="G440" s="2">
        <v>45943.333333333336</v>
      </c>
      <c r="H440" s="2">
        <v>46387.999305555553</v>
      </c>
      <c r="I440" s="1">
        <v>46194</v>
      </c>
      <c r="J440" t="s">
        <v>1698</v>
      </c>
      <c r="K440" t="s">
        <v>2901</v>
      </c>
      <c r="L440" t="s">
        <v>2902</v>
      </c>
    </row>
    <row r="441" spans="1:12">
      <c r="A441" t="s">
        <v>2900</v>
      </c>
      <c r="B441" t="s">
        <v>845</v>
      </c>
      <c r="C441" t="s">
        <v>844</v>
      </c>
      <c r="D441" t="s">
        <v>16</v>
      </c>
      <c r="G441" s="2">
        <v>45943.333333333336</v>
      </c>
      <c r="H441" s="2">
        <v>46387.999305555553</v>
      </c>
      <c r="J441" t="s">
        <v>1698</v>
      </c>
      <c r="K441" t="s">
        <v>2901</v>
      </c>
      <c r="L441" t="s">
        <v>2902</v>
      </c>
    </row>
    <row r="442" spans="1:12">
      <c r="A442" t="s">
        <v>2900</v>
      </c>
      <c r="B442" t="s">
        <v>847</v>
      </c>
      <c r="C442" t="s">
        <v>846</v>
      </c>
      <c r="D442" t="s">
        <v>16</v>
      </c>
      <c r="G442" s="2">
        <v>45943.333333333336</v>
      </c>
      <c r="H442" s="2">
        <v>46387.999305555553</v>
      </c>
      <c r="I442" s="1">
        <v>46153</v>
      </c>
      <c r="J442" t="s">
        <v>1698</v>
      </c>
      <c r="K442" t="s">
        <v>2901</v>
      </c>
      <c r="L442" t="s">
        <v>2902</v>
      </c>
    </row>
    <row r="443" spans="1:12">
      <c r="A443" t="s">
        <v>2900</v>
      </c>
      <c r="B443" t="s">
        <v>857</v>
      </c>
      <c r="C443" t="s">
        <v>856</v>
      </c>
      <c r="D443" t="s">
        <v>16</v>
      </c>
      <c r="G443" s="2">
        <v>45943.333333333336</v>
      </c>
      <c r="H443" s="2">
        <v>46387.999305555553</v>
      </c>
      <c r="I443" s="1">
        <v>46216</v>
      </c>
      <c r="J443" t="s">
        <v>1698</v>
      </c>
      <c r="K443" t="s">
        <v>2901</v>
      </c>
      <c r="L443" t="s">
        <v>2902</v>
      </c>
    </row>
    <row r="444" spans="1:12">
      <c r="A444" t="s">
        <v>2900</v>
      </c>
      <c r="B444" t="s">
        <v>835</v>
      </c>
      <c r="C444" t="s">
        <v>834</v>
      </c>
      <c r="D444" t="s">
        <v>16</v>
      </c>
      <c r="G444" s="2">
        <v>45943.333333333336</v>
      </c>
      <c r="H444" s="2">
        <v>46387.999305555553</v>
      </c>
      <c r="I444" s="1">
        <v>46216</v>
      </c>
      <c r="J444" t="s">
        <v>1698</v>
      </c>
      <c r="K444" t="s">
        <v>2901</v>
      </c>
      <c r="L444" t="s">
        <v>2902</v>
      </c>
    </row>
    <row r="445" spans="1:12">
      <c r="A445" t="s">
        <v>2900</v>
      </c>
      <c r="B445" t="s">
        <v>855</v>
      </c>
      <c r="C445" t="s">
        <v>854</v>
      </c>
      <c r="D445" t="s">
        <v>16</v>
      </c>
      <c r="G445" s="2">
        <v>45943.333333333336</v>
      </c>
      <c r="H445" s="2">
        <v>46387.999305555553</v>
      </c>
      <c r="I445" s="1">
        <v>46216</v>
      </c>
      <c r="J445" t="s">
        <v>1698</v>
      </c>
      <c r="K445" t="s">
        <v>2901</v>
      </c>
      <c r="L445" t="s">
        <v>2902</v>
      </c>
    </row>
    <row r="446" spans="1:12">
      <c r="A446" t="s">
        <v>2900</v>
      </c>
      <c r="B446" t="s">
        <v>863</v>
      </c>
      <c r="C446" t="s">
        <v>862</v>
      </c>
      <c r="D446" t="s">
        <v>16</v>
      </c>
      <c r="G446" s="2">
        <v>45943.333333333336</v>
      </c>
      <c r="H446" s="2">
        <v>46387.999305555553</v>
      </c>
      <c r="I446" s="1">
        <v>45975</v>
      </c>
      <c r="J446" t="s">
        <v>1698</v>
      </c>
      <c r="K446" t="s">
        <v>2901</v>
      </c>
      <c r="L446" t="s">
        <v>2902</v>
      </c>
    </row>
    <row r="447" spans="1:12">
      <c r="A447" t="s">
        <v>2900</v>
      </c>
      <c r="B447" t="s">
        <v>861</v>
      </c>
      <c r="C447" t="s">
        <v>860</v>
      </c>
      <c r="D447" t="s">
        <v>16</v>
      </c>
      <c r="G447" s="2">
        <v>45943.333333333336</v>
      </c>
      <c r="H447" s="2">
        <v>46387.999305555553</v>
      </c>
      <c r="I447" s="1">
        <v>46110</v>
      </c>
      <c r="J447" t="s">
        <v>1698</v>
      </c>
      <c r="K447" t="s">
        <v>2901</v>
      </c>
      <c r="L447" t="s">
        <v>2902</v>
      </c>
    </row>
    <row r="448" spans="1:12">
      <c r="A448" t="s">
        <v>2900</v>
      </c>
      <c r="B448" t="s">
        <v>841</v>
      </c>
      <c r="C448" t="s">
        <v>840</v>
      </c>
      <c r="D448" t="s">
        <v>16</v>
      </c>
      <c r="G448" s="2">
        <v>45943.333333333336</v>
      </c>
      <c r="H448" s="2">
        <v>46387.999305555553</v>
      </c>
      <c r="I448" s="1">
        <v>46216</v>
      </c>
      <c r="J448" t="s">
        <v>1698</v>
      </c>
      <c r="K448" t="s">
        <v>2901</v>
      </c>
      <c r="L448" t="s">
        <v>2902</v>
      </c>
    </row>
    <row r="449" spans="1:13">
      <c r="A449" t="s">
        <v>2900</v>
      </c>
      <c r="B449" t="s">
        <v>865</v>
      </c>
      <c r="C449" t="s">
        <v>864</v>
      </c>
      <c r="D449" t="s">
        <v>16</v>
      </c>
      <c r="G449" s="2">
        <v>45943.333333333336</v>
      </c>
      <c r="H449" s="2">
        <v>46387.999305555553</v>
      </c>
      <c r="I449" s="1">
        <v>46155</v>
      </c>
      <c r="J449" t="s">
        <v>1698</v>
      </c>
      <c r="K449" t="s">
        <v>2901</v>
      </c>
      <c r="L449" t="s">
        <v>2902</v>
      </c>
    </row>
    <row r="450" spans="1:13">
      <c r="A450" t="s">
        <v>2900</v>
      </c>
      <c r="B450" t="s">
        <v>867</v>
      </c>
      <c r="C450" t="s">
        <v>866</v>
      </c>
      <c r="D450" t="s">
        <v>16</v>
      </c>
      <c r="G450" s="2">
        <v>45943.333333333336</v>
      </c>
      <c r="H450" s="2">
        <v>46387.999305555553</v>
      </c>
      <c r="I450" s="1">
        <v>46195</v>
      </c>
      <c r="J450" t="s">
        <v>1698</v>
      </c>
      <c r="K450" t="s">
        <v>2901</v>
      </c>
      <c r="L450" t="s">
        <v>2902</v>
      </c>
    </row>
    <row r="451" spans="1:13">
      <c r="A451" t="s">
        <v>2900</v>
      </c>
      <c r="B451" t="s">
        <v>869</v>
      </c>
      <c r="C451" t="s">
        <v>868</v>
      </c>
      <c r="D451" t="s">
        <v>16</v>
      </c>
      <c r="G451" s="2">
        <v>45943.333333333336</v>
      </c>
      <c r="H451" s="2">
        <v>46387.999305555553</v>
      </c>
      <c r="I451" s="1">
        <v>46213</v>
      </c>
      <c r="J451" t="s">
        <v>1698</v>
      </c>
      <c r="K451" t="s">
        <v>2901</v>
      </c>
      <c r="L451" t="s">
        <v>2902</v>
      </c>
    </row>
    <row r="452" spans="1:13">
      <c r="A452" t="s">
        <v>2900</v>
      </c>
      <c r="B452" t="s">
        <v>871</v>
      </c>
      <c r="C452" t="s">
        <v>870</v>
      </c>
      <c r="D452" t="s">
        <v>16</v>
      </c>
      <c r="G452" s="2">
        <v>45943.333333333336</v>
      </c>
      <c r="H452" s="2">
        <v>46387.999305555553</v>
      </c>
      <c r="I452" s="1">
        <v>46205</v>
      </c>
      <c r="J452" t="s">
        <v>1698</v>
      </c>
      <c r="K452" t="s">
        <v>2901</v>
      </c>
      <c r="L452" t="s">
        <v>2902</v>
      </c>
    </row>
    <row r="453" spans="1:13">
      <c r="A453" t="s">
        <v>2900</v>
      </c>
      <c r="B453" t="s">
        <v>877</v>
      </c>
      <c r="C453" t="s">
        <v>876</v>
      </c>
      <c r="D453" t="s">
        <v>16</v>
      </c>
      <c r="G453" s="2">
        <v>45943.333333333336</v>
      </c>
      <c r="H453" s="2">
        <v>46387.999305555553</v>
      </c>
      <c r="I453" s="1">
        <v>46212</v>
      </c>
      <c r="J453" t="s">
        <v>1698</v>
      </c>
      <c r="K453" t="s">
        <v>2901</v>
      </c>
      <c r="L453" t="s">
        <v>2902</v>
      </c>
    </row>
    <row r="454" spans="1:13">
      <c r="A454" t="s">
        <v>2900</v>
      </c>
      <c r="B454" t="s">
        <v>875</v>
      </c>
      <c r="C454" t="s">
        <v>874</v>
      </c>
      <c r="D454" t="s">
        <v>16</v>
      </c>
      <c r="G454" s="2">
        <v>45943.333333333336</v>
      </c>
      <c r="H454" s="2">
        <v>46387.999305555553</v>
      </c>
      <c r="I454" s="1">
        <v>46157</v>
      </c>
      <c r="J454" t="s">
        <v>1698</v>
      </c>
      <c r="K454" t="s">
        <v>2901</v>
      </c>
      <c r="L454" t="s">
        <v>2902</v>
      </c>
    </row>
    <row r="455" spans="1:13">
      <c r="A455" t="s">
        <v>2900</v>
      </c>
      <c r="B455" t="s">
        <v>881</v>
      </c>
      <c r="C455" t="s">
        <v>880</v>
      </c>
      <c r="D455" t="s">
        <v>16</v>
      </c>
      <c r="G455" s="2">
        <v>45943.333333333336</v>
      </c>
      <c r="H455" s="2">
        <v>46387.999305555553</v>
      </c>
      <c r="I455" s="1">
        <v>46217</v>
      </c>
      <c r="J455" t="s">
        <v>1698</v>
      </c>
      <c r="K455" t="s">
        <v>2901</v>
      </c>
      <c r="L455" t="s">
        <v>2902</v>
      </c>
    </row>
    <row r="456" spans="1:13">
      <c r="A456" t="s">
        <v>663</v>
      </c>
      <c r="B456" t="s">
        <v>670</v>
      </c>
      <c r="C456" t="s">
        <v>669</v>
      </c>
      <c r="D456" t="s">
        <v>21</v>
      </c>
      <c r="E456" t="s">
        <v>25</v>
      </c>
      <c r="G456" s="2">
        <v>45988.395833333336</v>
      </c>
      <c r="H456" s="2">
        <v>45988.4375</v>
      </c>
      <c r="I456" s="1">
        <v>45992</v>
      </c>
      <c r="J456" t="s">
        <v>1698</v>
      </c>
      <c r="K456" t="s">
        <v>669</v>
      </c>
      <c r="L456" t="s">
        <v>2549</v>
      </c>
      <c r="M456" s="210" t="s">
        <v>2476</v>
      </c>
    </row>
    <row r="457" spans="1:13">
      <c r="A457" t="s">
        <v>663</v>
      </c>
      <c r="B457" t="s">
        <v>672</v>
      </c>
      <c r="C457" t="s">
        <v>671</v>
      </c>
      <c r="D457" t="s">
        <v>21</v>
      </c>
      <c r="E457" t="s">
        <v>25</v>
      </c>
      <c r="G457" s="2">
        <v>46106.416666666664</v>
      </c>
      <c r="H457" s="2">
        <v>46106.5</v>
      </c>
      <c r="I457" s="1">
        <v>46106</v>
      </c>
      <c r="J457" t="s">
        <v>1698</v>
      </c>
      <c r="K457" t="s">
        <v>671</v>
      </c>
      <c r="L457" t="s">
        <v>2490</v>
      </c>
      <c r="M457" s="210" t="s">
        <v>2476</v>
      </c>
    </row>
    <row r="458" spans="1:13">
      <c r="A458" t="s">
        <v>2415</v>
      </c>
      <c r="B458" t="s">
        <v>394</v>
      </c>
      <c r="C458" t="s">
        <v>393</v>
      </c>
      <c r="D458" t="s">
        <v>21</v>
      </c>
      <c r="E458" t="s">
        <v>22</v>
      </c>
      <c r="F458">
        <v>25</v>
      </c>
      <c r="G458" s="2">
        <v>46335.375</v>
      </c>
      <c r="H458" s="2">
        <v>46336.708333333336</v>
      </c>
      <c r="I458" s="1">
        <v>46216</v>
      </c>
      <c r="J458" t="s">
        <v>1698</v>
      </c>
      <c r="K458" t="s">
        <v>393</v>
      </c>
      <c r="L458" t="s">
        <v>2474</v>
      </c>
    </row>
    <row r="459" spans="1:13">
      <c r="A459" t="s">
        <v>936</v>
      </c>
      <c r="B459" t="s">
        <v>939</v>
      </c>
      <c r="C459" t="s">
        <v>938</v>
      </c>
      <c r="D459" t="s">
        <v>21</v>
      </c>
      <c r="E459" t="s">
        <v>22</v>
      </c>
      <c r="F459">
        <v>18</v>
      </c>
      <c r="G459" s="2">
        <v>46344.583333333336</v>
      </c>
      <c r="H459" s="2">
        <v>46346.520833333336</v>
      </c>
      <c r="I459" s="1">
        <v>46211</v>
      </c>
      <c r="J459" t="s">
        <v>1698</v>
      </c>
      <c r="K459" t="s">
        <v>938</v>
      </c>
      <c r="L459" t="s">
        <v>2538</v>
      </c>
    </row>
    <row r="460" spans="1:13">
      <c r="A460" t="s">
        <v>2415</v>
      </c>
      <c r="B460" t="s">
        <v>309</v>
      </c>
      <c r="C460" t="s">
        <v>307</v>
      </c>
      <c r="D460" t="s">
        <v>21</v>
      </c>
      <c r="E460" t="s">
        <v>22</v>
      </c>
      <c r="F460">
        <v>6</v>
      </c>
      <c r="G460" s="2">
        <v>46288.375</v>
      </c>
      <c r="H460" s="2">
        <v>46288.541666666664</v>
      </c>
      <c r="I460" s="1">
        <v>46217</v>
      </c>
      <c r="J460" t="s">
        <v>1698</v>
      </c>
      <c r="K460" t="s">
        <v>307</v>
      </c>
      <c r="L460" t="s">
        <v>2474</v>
      </c>
    </row>
    <row r="461" spans="1:13">
      <c r="A461" t="s">
        <v>1163</v>
      </c>
      <c r="B461" t="s">
        <v>1188</v>
      </c>
      <c r="C461" t="s">
        <v>1189</v>
      </c>
      <c r="D461" t="s">
        <v>21</v>
      </c>
      <c r="E461" t="s">
        <v>22</v>
      </c>
      <c r="F461">
        <v>3</v>
      </c>
      <c r="G461" s="2">
        <v>46066.479166666664</v>
      </c>
      <c r="H461" s="2">
        <v>46066.520833333336</v>
      </c>
      <c r="I461" s="1">
        <v>46176</v>
      </c>
      <c r="J461" t="s">
        <v>1698</v>
      </c>
      <c r="K461" t="s">
        <v>2903</v>
      </c>
      <c r="L461" t="s">
        <v>2458</v>
      </c>
      <c r="M461" s="210" t="s">
        <v>2476</v>
      </c>
    </row>
    <row r="462" spans="1:13">
      <c r="A462" t="s">
        <v>388</v>
      </c>
      <c r="B462" t="s">
        <v>416</v>
      </c>
      <c r="C462" t="s">
        <v>415</v>
      </c>
      <c r="D462" t="s">
        <v>21</v>
      </c>
      <c r="E462" t="s">
        <v>22</v>
      </c>
      <c r="F462">
        <v>8</v>
      </c>
      <c r="G462" s="2">
        <v>46335.645833333336</v>
      </c>
      <c r="H462" s="2">
        <v>46335.708333333336</v>
      </c>
      <c r="I462" s="1">
        <v>46192</v>
      </c>
      <c r="J462" t="s">
        <v>1698</v>
      </c>
      <c r="K462" t="s">
        <v>415</v>
      </c>
      <c r="L462" t="s">
        <v>2474</v>
      </c>
    </row>
    <row r="463" spans="1:13">
      <c r="A463" t="s">
        <v>950</v>
      </c>
      <c r="B463" t="s">
        <v>2436</v>
      </c>
      <c r="C463" t="s">
        <v>2437</v>
      </c>
      <c r="D463" t="s">
        <v>21</v>
      </c>
      <c r="E463" t="s">
        <v>22</v>
      </c>
      <c r="F463">
        <v>9</v>
      </c>
      <c r="G463" s="2">
        <v>46314.5625</v>
      </c>
      <c r="H463" s="2">
        <v>46315.5625</v>
      </c>
      <c r="I463" s="1">
        <v>46213</v>
      </c>
      <c r="J463" t="s">
        <v>1698</v>
      </c>
      <c r="K463" t="s">
        <v>2437</v>
      </c>
      <c r="L463" t="s">
        <v>2532</v>
      </c>
    </row>
    <row r="464" spans="1:13">
      <c r="A464" t="s">
        <v>476</v>
      </c>
      <c r="B464" t="s">
        <v>477</v>
      </c>
      <c r="C464" t="s">
        <v>475</v>
      </c>
      <c r="D464" t="s">
        <v>21</v>
      </c>
      <c r="E464" t="s">
        <v>22</v>
      </c>
      <c r="F464">
        <v>17</v>
      </c>
      <c r="G464" s="2">
        <v>46058.583333333336</v>
      </c>
      <c r="H464" s="2">
        <v>46058.666666666664</v>
      </c>
      <c r="I464" s="1">
        <v>46180</v>
      </c>
      <c r="J464" t="s">
        <v>1698</v>
      </c>
      <c r="K464" t="s">
        <v>475</v>
      </c>
      <c r="L464" t="s">
        <v>2549</v>
      </c>
      <c r="M464" s="210" t="s">
        <v>2476</v>
      </c>
    </row>
    <row r="465" spans="1:13">
      <c r="A465" t="s">
        <v>545</v>
      </c>
      <c r="B465" t="s">
        <v>554</v>
      </c>
      <c r="C465" t="s">
        <v>553</v>
      </c>
      <c r="D465" t="s">
        <v>21</v>
      </c>
      <c r="E465" t="s">
        <v>22</v>
      </c>
      <c r="F465">
        <v>23</v>
      </c>
      <c r="G465" s="2">
        <v>46364.375</v>
      </c>
      <c r="H465" s="2">
        <v>46364.729166666664</v>
      </c>
      <c r="I465" s="1">
        <v>46216</v>
      </c>
      <c r="J465" t="s">
        <v>1698</v>
      </c>
      <c r="K465" t="s">
        <v>553</v>
      </c>
      <c r="L465" t="s">
        <v>2533</v>
      </c>
    </row>
    <row r="466" spans="1:13">
      <c r="A466" t="s">
        <v>190</v>
      </c>
      <c r="B466" t="s">
        <v>246</v>
      </c>
      <c r="C466" t="s">
        <v>247</v>
      </c>
      <c r="D466" t="s">
        <v>21</v>
      </c>
      <c r="E466" t="s">
        <v>25</v>
      </c>
      <c r="G466" s="2">
        <v>46324.375</v>
      </c>
      <c r="H466" s="2">
        <v>46324.708333333336</v>
      </c>
      <c r="I466" s="1">
        <v>46196</v>
      </c>
      <c r="J466" t="s">
        <v>1698</v>
      </c>
      <c r="K466" t="s">
        <v>247</v>
      </c>
      <c r="L466" t="s">
        <v>2540</v>
      </c>
    </row>
    <row r="467" spans="1:13">
      <c r="A467" t="s">
        <v>190</v>
      </c>
      <c r="B467" t="s">
        <v>1085</v>
      </c>
      <c r="C467" t="s">
        <v>1086</v>
      </c>
      <c r="D467" t="s">
        <v>21</v>
      </c>
      <c r="E467" t="s">
        <v>22</v>
      </c>
      <c r="F467">
        <v>7</v>
      </c>
      <c r="G467" s="2">
        <v>46295.583333333336</v>
      </c>
      <c r="H467" s="2">
        <v>46295.729166666664</v>
      </c>
      <c r="I467" s="1">
        <v>46216</v>
      </c>
      <c r="J467" t="s">
        <v>1698</v>
      </c>
      <c r="K467" t="s">
        <v>1086</v>
      </c>
      <c r="L467" t="s">
        <v>2549</v>
      </c>
    </row>
    <row r="468" spans="1:13">
      <c r="A468" t="s">
        <v>533</v>
      </c>
      <c r="B468" t="s">
        <v>1112</v>
      </c>
      <c r="C468" t="s">
        <v>1113</v>
      </c>
      <c r="D468" t="s">
        <v>21</v>
      </c>
      <c r="E468" t="s">
        <v>22</v>
      </c>
      <c r="F468">
        <v>36</v>
      </c>
      <c r="G468" s="2">
        <v>46343.395833333336</v>
      </c>
      <c r="H468" s="2">
        <v>46343.708333333336</v>
      </c>
      <c r="I468" s="1">
        <v>46210</v>
      </c>
      <c r="J468" t="s">
        <v>1698</v>
      </c>
      <c r="K468" t="s">
        <v>1113</v>
      </c>
      <c r="L468" t="s">
        <v>2875</v>
      </c>
      <c r="M468" s="211" t="s">
        <v>2556</v>
      </c>
    </row>
    <row r="469" spans="1:13">
      <c r="A469" t="s">
        <v>649</v>
      </c>
      <c r="B469" t="s">
        <v>1112</v>
      </c>
      <c r="C469" t="s">
        <v>1113</v>
      </c>
      <c r="D469" t="s">
        <v>21</v>
      </c>
      <c r="E469" t="s">
        <v>22</v>
      </c>
      <c r="F469">
        <v>36</v>
      </c>
      <c r="G469" s="2">
        <v>46343.395833333336</v>
      </c>
      <c r="H469" s="2">
        <v>46343.708333333336</v>
      </c>
      <c r="I469" s="1">
        <v>46210</v>
      </c>
      <c r="J469" t="s">
        <v>1698</v>
      </c>
      <c r="K469" t="s">
        <v>1113</v>
      </c>
      <c r="L469" t="s">
        <v>2875</v>
      </c>
      <c r="M469" s="211" t="s">
        <v>2556</v>
      </c>
    </row>
    <row r="470" spans="1:13">
      <c r="A470" t="s">
        <v>476</v>
      </c>
      <c r="B470" t="s">
        <v>1112</v>
      </c>
      <c r="C470" t="s">
        <v>1113</v>
      </c>
      <c r="D470" t="s">
        <v>21</v>
      </c>
      <c r="E470" t="s">
        <v>22</v>
      </c>
      <c r="F470">
        <v>36</v>
      </c>
      <c r="G470" s="2">
        <v>46343.395833333336</v>
      </c>
      <c r="H470" s="2">
        <v>46343.708333333336</v>
      </c>
      <c r="I470" s="1">
        <v>46210</v>
      </c>
      <c r="J470" t="s">
        <v>1698</v>
      </c>
      <c r="K470" t="s">
        <v>1113</v>
      </c>
      <c r="L470" t="s">
        <v>2875</v>
      </c>
      <c r="M470" s="211" t="s">
        <v>2556</v>
      </c>
    </row>
    <row r="471" spans="1:13">
      <c r="A471" t="s">
        <v>560</v>
      </c>
      <c r="B471" t="s">
        <v>563</v>
      </c>
      <c r="C471" t="s">
        <v>562</v>
      </c>
      <c r="D471" t="s">
        <v>21</v>
      </c>
      <c r="E471" t="s">
        <v>22</v>
      </c>
      <c r="F471">
        <v>11</v>
      </c>
      <c r="G471" s="2">
        <v>46286.375</v>
      </c>
      <c r="H471" s="2">
        <v>46286.708333333336</v>
      </c>
      <c r="I471" s="1">
        <v>46204</v>
      </c>
      <c r="J471" t="s">
        <v>1698</v>
      </c>
      <c r="K471" t="s">
        <v>562</v>
      </c>
      <c r="L471" t="s">
        <v>2491</v>
      </c>
    </row>
    <row r="472" spans="1:13">
      <c r="A472" t="s">
        <v>465</v>
      </c>
      <c r="B472" t="s">
        <v>466</v>
      </c>
      <c r="C472" t="s">
        <v>464</v>
      </c>
      <c r="D472" t="s">
        <v>21</v>
      </c>
      <c r="E472" t="s">
        <v>22</v>
      </c>
      <c r="F472">
        <v>4</v>
      </c>
      <c r="G472" s="2">
        <v>46141.416666666664</v>
      </c>
      <c r="H472" s="2">
        <v>46141.5</v>
      </c>
      <c r="I472" s="1">
        <v>46161</v>
      </c>
      <c r="J472" t="s">
        <v>1698</v>
      </c>
      <c r="K472" t="s">
        <v>464</v>
      </c>
      <c r="L472" t="s">
        <v>2549</v>
      </c>
    </row>
    <row r="473" spans="1:13">
      <c r="A473" t="s">
        <v>501</v>
      </c>
      <c r="B473" t="s">
        <v>521</v>
      </c>
      <c r="C473" t="s">
        <v>520</v>
      </c>
      <c r="D473" t="s">
        <v>21</v>
      </c>
      <c r="E473" t="s">
        <v>22</v>
      </c>
      <c r="F473">
        <v>4</v>
      </c>
      <c r="G473" s="2">
        <v>46286.583333333336</v>
      </c>
      <c r="H473" s="2">
        <v>46286.645833333336</v>
      </c>
      <c r="I473" s="1">
        <v>46216</v>
      </c>
      <c r="J473" t="s">
        <v>1698</v>
      </c>
      <c r="K473" t="s">
        <v>520</v>
      </c>
      <c r="L473" t="s">
        <v>2875</v>
      </c>
    </row>
    <row r="474" spans="1:13">
      <c r="A474" t="s">
        <v>560</v>
      </c>
      <c r="B474" t="s">
        <v>567</v>
      </c>
      <c r="C474" t="s">
        <v>1154</v>
      </c>
      <c r="D474" t="s">
        <v>21</v>
      </c>
      <c r="E474" t="s">
        <v>22</v>
      </c>
      <c r="F474">
        <v>6</v>
      </c>
      <c r="G474" s="2">
        <v>46169.375</v>
      </c>
      <c r="H474" s="2">
        <v>46170.708333333336</v>
      </c>
      <c r="I474" s="1">
        <v>46176</v>
      </c>
      <c r="J474" t="s">
        <v>1698</v>
      </c>
      <c r="K474" t="s">
        <v>1154</v>
      </c>
      <c r="L474" t="s">
        <v>2491</v>
      </c>
    </row>
    <row r="475" spans="1:13">
      <c r="A475" t="s">
        <v>560</v>
      </c>
      <c r="B475" t="s">
        <v>565</v>
      </c>
      <c r="C475" t="s">
        <v>1153</v>
      </c>
      <c r="D475" t="s">
        <v>21</v>
      </c>
      <c r="E475" t="s">
        <v>22</v>
      </c>
      <c r="F475">
        <v>6</v>
      </c>
      <c r="G475" s="2">
        <v>46268.375</v>
      </c>
      <c r="H475" s="2">
        <v>46269.541666666664</v>
      </c>
      <c r="I475" s="1">
        <v>46212</v>
      </c>
      <c r="J475" t="s">
        <v>1698</v>
      </c>
      <c r="K475" t="s">
        <v>1153</v>
      </c>
      <c r="L475" t="s">
        <v>2491</v>
      </c>
    </row>
    <row r="476" spans="1:13">
      <c r="A476" t="s">
        <v>190</v>
      </c>
      <c r="B476" t="s">
        <v>1081</v>
      </c>
      <c r="C476" t="s">
        <v>1082</v>
      </c>
      <c r="D476" t="s">
        <v>21</v>
      </c>
      <c r="E476" t="s">
        <v>22</v>
      </c>
      <c r="F476">
        <v>11</v>
      </c>
      <c r="G476" s="2">
        <v>46310.375</v>
      </c>
      <c r="H476" s="2">
        <v>46310.520833333336</v>
      </c>
      <c r="I476" s="1">
        <v>46209</v>
      </c>
      <c r="J476" t="s">
        <v>1698</v>
      </c>
      <c r="K476" t="s">
        <v>1082</v>
      </c>
      <c r="L476" t="s">
        <v>2549</v>
      </c>
    </row>
    <row r="477" spans="1:13">
      <c r="A477" t="s">
        <v>1163</v>
      </c>
      <c r="B477" t="s">
        <v>1168</v>
      </c>
      <c r="C477" t="s">
        <v>1169</v>
      </c>
      <c r="D477" t="s">
        <v>21</v>
      </c>
      <c r="E477" t="s">
        <v>22</v>
      </c>
      <c r="F477">
        <v>2</v>
      </c>
      <c r="G477" s="2">
        <v>46133.625</v>
      </c>
      <c r="H477" s="2">
        <v>46133.666666666664</v>
      </c>
      <c r="I477" s="1">
        <v>46136</v>
      </c>
      <c r="J477" t="s">
        <v>1698</v>
      </c>
      <c r="K477" t="s">
        <v>2904</v>
      </c>
      <c r="L477" t="s">
        <v>2458</v>
      </c>
    </row>
    <row r="478" spans="1:13">
      <c r="A478" t="s">
        <v>1163</v>
      </c>
      <c r="B478" t="s">
        <v>1170</v>
      </c>
      <c r="C478" t="s">
        <v>1171</v>
      </c>
      <c r="D478" t="s">
        <v>21</v>
      </c>
      <c r="E478" t="s">
        <v>25</v>
      </c>
      <c r="I478" s="1">
        <v>46207</v>
      </c>
      <c r="J478" t="s">
        <v>1698</v>
      </c>
      <c r="K478" t="s">
        <v>2905</v>
      </c>
    </row>
    <row r="479" spans="1:13">
      <c r="A479" t="s">
        <v>501</v>
      </c>
      <c r="B479" t="s">
        <v>2422</v>
      </c>
      <c r="C479" t="s">
        <v>1761</v>
      </c>
      <c r="D479" t="s">
        <v>21</v>
      </c>
      <c r="E479" t="s">
        <v>25</v>
      </c>
      <c r="G479" s="2">
        <v>46217.625</v>
      </c>
      <c r="H479" s="2">
        <v>46217.708333333336</v>
      </c>
      <c r="I479" s="1">
        <v>46210</v>
      </c>
      <c r="J479" t="s">
        <v>1698</v>
      </c>
      <c r="K479" t="s">
        <v>1761</v>
      </c>
      <c r="L479" t="s">
        <v>2491</v>
      </c>
    </row>
    <row r="480" spans="1:13">
      <c r="A480" t="s">
        <v>1766</v>
      </c>
      <c r="B480" t="s">
        <v>606</v>
      </c>
      <c r="C480" t="s">
        <v>1139</v>
      </c>
      <c r="D480" t="s">
        <v>21</v>
      </c>
      <c r="E480" t="s">
        <v>25</v>
      </c>
      <c r="G480" s="2">
        <v>45489.333333333336</v>
      </c>
      <c r="H480" s="2">
        <v>47325.708333333336</v>
      </c>
      <c r="I480" t="s">
        <v>198</v>
      </c>
      <c r="J480" t="s">
        <v>1698</v>
      </c>
      <c r="K480" t="s">
        <v>1139</v>
      </c>
    </row>
    <row r="481" spans="1:13">
      <c r="A481" t="s">
        <v>1163</v>
      </c>
      <c r="B481" t="s">
        <v>1186</v>
      </c>
      <c r="C481" t="s">
        <v>1187</v>
      </c>
      <c r="D481" t="s">
        <v>21</v>
      </c>
      <c r="E481" t="s">
        <v>25</v>
      </c>
      <c r="I481" s="1">
        <v>46160</v>
      </c>
      <c r="J481" t="s">
        <v>1698</v>
      </c>
      <c r="K481" t="s">
        <v>2906</v>
      </c>
    </row>
    <row r="482" spans="1:13">
      <c r="A482" t="s">
        <v>255</v>
      </c>
      <c r="B482" t="s">
        <v>1093</v>
      </c>
      <c r="C482" t="s">
        <v>1094</v>
      </c>
      <c r="D482" t="s">
        <v>21</v>
      </c>
      <c r="E482" t="s">
        <v>22</v>
      </c>
      <c r="F482">
        <v>23</v>
      </c>
      <c r="G482" s="2">
        <v>46218.583333333336</v>
      </c>
      <c r="H482" s="2">
        <v>46218.666666666664</v>
      </c>
      <c r="I482" s="1">
        <v>46217</v>
      </c>
      <c r="J482" t="s">
        <v>1698</v>
      </c>
      <c r="K482" t="s">
        <v>1094</v>
      </c>
      <c r="L482" t="s">
        <v>2474</v>
      </c>
    </row>
    <row r="483" spans="1:13">
      <c r="A483" t="s">
        <v>693</v>
      </c>
      <c r="B483" t="s">
        <v>1193</v>
      </c>
      <c r="C483" t="s">
        <v>1194</v>
      </c>
      <c r="D483" t="s">
        <v>21</v>
      </c>
      <c r="E483" t="s">
        <v>22</v>
      </c>
      <c r="F483">
        <v>6</v>
      </c>
      <c r="G483" s="2">
        <v>46133.395833333336</v>
      </c>
      <c r="H483" s="2">
        <v>46133.666666666664</v>
      </c>
      <c r="I483" s="1">
        <v>46190</v>
      </c>
      <c r="J483" t="s">
        <v>1698</v>
      </c>
      <c r="K483" t="s">
        <v>1194</v>
      </c>
      <c r="L483" t="s">
        <v>2490</v>
      </c>
    </row>
    <row r="484" spans="1:13">
      <c r="A484" t="s">
        <v>560</v>
      </c>
      <c r="B484" t="s">
        <v>1149</v>
      </c>
      <c r="C484" t="s">
        <v>1150</v>
      </c>
      <c r="D484" t="s">
        <v>21</v>
      </c>
      <c r="E484" t="s">
        <v>22</v>
      </c>
      <c r="F484">
        <v>19</v>
      </c>
      <c r="G484" s="2">
        <v>46100.416666666664</v>
      </c>
      <c r="H484" s="2">
        <v>46100.5</v>
      </c>
      <c r="I484" s="1">
        <v>46209</v>
      </c>
      <c r="J484" t="s">
        <v>1698</v>
      </c>
      <c r="K484" t="s">
        <v>1150</v>
      </c>
      <c r="L484" t="s">
        <v>2907</v>
      </c>
      <c r="M484" s="210" t="s">
        <v>2476</v>
      </c>
    </row>
    <row r="485" spans="1:13">
      <c r="A485" t="s">
        <v>54</v>
      </c>
      <c r="B485" t="s">
        <v>68</v>
      </c>
      <c r="C485" t="s">
        <v>1059</v>
      </c>
      <c r="D485" t="s">
        <v>21</v>
      </c>
      <c r="E485" t="s">
        <v>25</v>
      </c>
      <c r="G485" s="2">
        <v>46072.333333333336</v>
      </c>
      <c r="H485" s="2">
        <v>47177.333333333336</v>
      </c>
      <c r="I485" t="s">
        <v>198</v>
      </c>
      <c r="J485" t="s">
        <v>1698</v>
      </c>
      <c r="K485" t="s">
        <v>1059</v>
      </c>
    </row>
    <row r="486" spans="1:13">
      <c r="A486" t="s">
        <v>54</v>
      </c>
      <c r="B486" t="s">
        <v>65</v>
      </c>
      <c r="C486" t="s">
        <v>1056</v>
      </c>
      <c r="D486" t="s">
        <v>21</v>
      </c>
      <c r="E486" t="s">
        <v>25</v>
      </c>
      <c r="G486" s="2">
        <v>46072.333333333336</v>
      </c>
      <c r="H486" s="2">
        <v>47168.333333333336</v>
      </c>
      <c r="I486" t="s">
        <v>198</v>
      </c>
      <c r="J486" t="s">
        <v>1698</v>
      </c>
      <c r="K486" t="s">
        <v>1056</v>
      </c>
    </row>
    <row r="487" spans="1:13">
      <c r="A487" t="s">
        <v>54</v>
      </c>
      <c r="B487" t="s">
        <v>1053</v>
      </c>
      <c r="C487" t="s">
        <v>1054</v>
      </c>
      <c r="D487" t="s">
        <v>21</v>
      </c>
      <c r="E487" t="s">
        <v>25</v>
      </c>
      <c r="G487" s="2">
        <v>46072.333333333336</v>
      </c>
      <c r="H487" s="2">
        <v>47168.333333333336</v>
      </c>
      <c r="I487" t="s">
        <v>198</v>
      </c>
      <c r="J487" t="s">
        <v>1698</v>
      </c>
      <c r="K487" t="s">
        <v>1054</v>
      </c>
    </row>
    <row r="488" spans="1:13">
      <c r="A488" t="s">
        <v>1163</v>
      </c>
      <c r="B488" t="s">
        <v>1810</v>
      </c>
      <c r="C488" t="s">
        <v>1811</v>
      </c>
      <c r="D488" t="s">
        <v>21</v>
      </c>
      <c r="E488" t="s">
        <v>22</v>
      </c>
      <c r="F488">
        <v>2</v>
      </c>
      <c r="G488" s="2">
        <v>46213.395833333336</v>
      </c>
      <c r="H488" s="2">
        <v>46213.520833333336</v>
      </c>
      <c r="I488" s="1">
        <v>46217</v>
      </c>
      <c r="J488" t="s">
        <v>1795</v>
      </c>
      <c r="K488" t="s">
        <v>2908</v>
      </c>
    </row>
    <row r="489" spans="1:13">
      <c r="A489" t="s">
        <v>501</v>
      </c>
      <c r="B489" t="s">
        <v>1131</v>
      </c>
      <c r="C489" t="s">
        <v>1132</v>
      </c>
      <c r="D489" t="s">
        <v>21</v>
      </c>
      <c r="E489" t="s">
        <v>22</v>
      </c>
      <c r="F489">
        <v>13</v>
      </c>
      <c r="G489" s="2">
        <v>46126.375</v>
      </c>
      <c r="H489" s="2">
        <v>46126.520833333336</v>
      </c>
      <c r="I489" s="1">
        <v>46210</v>
      </c>
      <c r="J489" t="s">
        <v>1698</v>
      </c>
      <c r="K489" t="s">
        <v>1132</v>
      </c>
      <c r="L489" t="s">
        <v>2875</v>
      </c>
    </row>
    <row r="490" spans="1:13">
      <c r="A490" t="s">
        <v>501</v>
      </c>
      <c r="B490" t="s">
        <v>529</v>
      </c>
      <c r="C490" t="s">
        <v>1135</v>
      </c>
      <c r="D490" t="s">
        <v>21</v>
      </c>
      <c r="E490" t="s">
        <v>22</v>
      </c>
      <c r="F490">
        <v>5</v>
      </c>
      <c r="G490" s="2">
        <v>46126.583333333336</v>
      </c>
      <c r="H490" s="2">
        <v>46126.729166666664</v>
      </c>
      <c r="I490" s="1">
        <v>46210</v>
      </c>
      <c r="J490" t="s">
        <v>1698</v>
      </c>
      <c r="K490" t="s">
        <v>1135</v>
      </c>
      <c r="L490" t="s">
        <v>2875</v>
      </c>
    </row>
    <row r="491" spans="1:13">
      <c r="A491" t="s">
        <v>501</v>
      </c>
      <c r="B491" t="s">
        <v>1129</v>
      </c>
      <c r="C491" t="s">
        <v>1130</v>
      </c>
      <c r="D491" t="s">
        <v>21</v>
      </c>
      <c r="E491" t="s">
        <v>22</v>
      </c>
      <c r="F491">
        <v>0</v>
      </c>
      <c r="G491" s="2">
        <v>46293.583333333336</v>
      </c>
      <c r="H491" s="2">
        <v>46293.729166666664</v>
      </c>
      <c r="I491" s="1">
        <v>46210</v>
      </c>
      <c r="J491" t="s">
        <v>1698</v>
      </c>
      <c r="K491" t="s">
        <v>1130</v>
      </c>
      <c r="L491" t="s">
        <v>2875</v>
      </c>
    </row>
    <row r="492" spans="1:13">
      <c r="A492" t="s">
        <v>293</v>
      </c>
      <c r="B492" t="s">
        <v>1725</v>
      </c>
      <c r="C492" t="s">
        <v>1726</v>
      </c>
      <c r="D492" t="s">
        <v>21</v>
      </c>
      <c r="E492" t="s">
        <v>22</v>
      </c>
      <c r="F492">
        <v>50</v>
      </c>
      <c r="G492" s="2">
        <v>46203.375</v>
      </c>
      <c r="H492" s="2">
        <v>46203.708333333336</v>
      </c>
      <c r="I492" s="1">
        <v>46217</v>
      </c>
      <c r="J492" t="s">
        <v>1698</v>
      </c>
      <c r="K492" t="s">
        <v>1726</v>
      </c>
      <c r="L492" t="s">
        <v>2474</v>
      </c>
    </row>
    <row r="493" spans="1:13">
      <c r="A493" t="s">
        <v>623</v>
      </c>
      <c r="B493" t="s">
        <v>2562</v>
      </c>
      <c r="C493" t="s">
        <v>2909</v>
      </c>
      <c r="D493" t="s">
        <v>16</v>
      </c>
      <c r="G493" s="2">
        <v>46217.520833333336</v>
      </c>
      <c r="H493" s="2">
        <v>46217.583333333336</v>
      </c>
      <c r="J493" t="s">
        <v>1698</v>
      </c>
      <c r="K493" t="s">
        <v>2910</v>
      </c>
      <c r="L493" t="s">
        <v>2875</v>
      </c>
    </row>
    <row r="494" spans="1:13">
      <c r="A494" t="s">
        <v>560</v>
      </c>
      <c r="B494" t="s">
        <v>1507</v>
      </c>
      <c r="C494" t="s">
        <v>1508</v>
      </c>
      <c r="D494" t="s">
        <v>21</v>
      </c>
      <c r="E494" t="s">
        <v>22</v>
      </c>
      <c r="F494">
        <v>9</v>
      </c>
      <c r="G494" s="2">
        <v>46183.375</v>
      </c>
      <c r="H494" s="2">
        <v>46183.521527777775</v>
      </c>
      <c r="I494" s="1">
        <v>46217</v>
      </c>
      <c r="J494" t="s">
        <v>1698</v>
      </c>
      <c r="K494" t="s">
        <v>1508</v>
      </c>
      <c r="L494" t="s">
        <v>2533</v>
      </c>
    </row>
    <row r="495" spans="1:13">
      <c r="A495" t="s">
        <v>560</v>
      </c>
      <c r="B495" t="s">
        <v>1513</v>
      </c>
      <c r="C495" t="s">
        <v>1514</v>
      </c>
      <c r="D495" t="s">
        <v>21</v>
      </c>
      <c r="E495" t="s">
        <v>22</v>
      </c>
      <c r="F495">
        <v>15</v>
      </c>
      <c r="G495" s="2">
        <v>46330.375</v>
      </c>
      <c r="H495" s="2">
        <v>46330.520833333336</v>
      </c>
      <c r="I495" s="1">
        <v>46209</v>
      </c>
      <c r="J495" t="s">
        <v>1698</v>
      </c>
      <c r="K495" t="s">
        <v>1514</v>
      </c>
      <c r="L495" t="s">
        <v>2491</v>
      </c>
    </row>
    <row r="496" spans="1:13">
      <c r="A496" t="s">
        <v>190</v>
      </c>
      <c r="B496" t="s">
        <v>33</v>
      </c>
      <c r="C496" t="s">
        <v>1717</v>
      </c>
      <c r="D496" t="s">
        <v>21</v>
      </c>
      <c r="E496" t="s">
        <v>25</v>
      </c>
      <c r="G496" s="2">
        <v>45489.333333333336</v>
      </c>
      <c r="H496" s="2">
        <v>47325.333333333336</v>
      </c>
      <c r="I496" t="s">
        <v>198</v>
      </c>
      <c r="J496" t="s">
        <v>1698</v>
      </c>
      <c r="K496" t="s">
        <v>1717</v>
      </c>
    </row>
    <row r="497" spans="1:13">
      <c r="A497" t="s">
        <v>2414</v>
      </c>
      <c r="B497" t="s">
        <v>1732</v>
      </c>
      <c r="C497" t="s">
        <v>1733</v>
      </c>
      <c r="D497" t="s">
        <v>16</v>
      </c>
      <c r="G497" t="s">
        <v>17</v>
      </c>
      <c r="I497" s="1">
        <v>46217</v>
      </c>
      <c r="J497" t="s">
        <v>1698</v>
      </c>
      <c r="K497" t="s">
        <v>2911</v>
      </c>
    </row>
    <row r="498" spans="1:13">
      <c r="A498" t="s">
        <v>2414</v>
      </c>
      <c r="B498" t="s">
        <v>1736</v>
      </c>
      <c r="C498" t="s">
        <v>1737</v>
      </c>
      <c r="D498" t="s">
        <v>21</v>
      </c>
      <c r="E498" t="s">
        <v>22</v>
      </c>
      <c r="F498">
        <v>0</v>
      </c>
      <c r="G498" s="2">
        <v>46199.416666666664</v>
      </c>
      <c r="H498" s="2">
        <v>46199.5</v>
      </c>
      <c r="I498" s="1">
        <v>46185</v>
      </c>
      <c r="J498" t="s">
        <v>1698</v>
      </c>
      <c r="K498" t="s">
        <v>1737</v>
      </c>
      <c r="L498" t="s">
        <v>2876</v>
      </c>
    </row>
    <row r="499" spans="1:13">
      <c r="A499" t="s">
        <v>293</v>
      </c>
      <c r="B499" t="s">
        <v>1727</v>
      </c>
      <c r="C499" t="s">
        <v>1728</v>
      </c>
      <c r="D499" t="s">
        <v>21</v>
      </c>
      <c r="E499" t="s">
        <v>22</v>
      </c>
      <c r="F499">
        <v>6</v>
      </c>
      <c r="G499" s="2">
        <v>46135.416666666664</v>
      </c>
      <c r="H499" s="2">
        <v>46135.5</v>
      </c>
      <c r="I499" s="1">
        <v>46217</v>
      </c>
      <c r="J499" t="s">
        <v>1698</v>
      </c>
      <c r="K499" t="s">
        <v>1728</v>
      </c>
      <c r="L499" t="s">
        <v>2907</v>
      </c>
    </row>
    <row r="500" spans="1:13">
      <c r="A500" t="s">
        <v>293</v>
      </c>
      <c r="B500" t="s">
        <v>1723</v>
      </c>
      <c r="C500" t="s">
        <v>1724</v>
      </c>
      <c r="D500" t="s">
        <v>21</v>
      </c>
      <c r="E500" t="s">
        <v>22</v>
      </c>
      <c r="F500">
        <v>5</v>
      </c>
      <c r="G500" s="2">
        <v>46149.416666666664</v>
      </c>
      <c r="H500" s="2">
        <v>46149.5</v>
      </c>
      <c r="I500" s="1">
        <v>46217</v>
      </c>
      <c r="J500" t="s">
        <v>1698</v>
      </c>
      <c r="K500" t="s">
        <v>1724</v>
      </c>
      <c r="L500" t="s">
        <v>2907</v>
      </c>
    </row>
    <row r="501" spans="1:13">
      <c r="A501" t="s">
        <v>1163</v>
      </c>
      <c r="B501" t="s">
        <v>1826</v>
      </c>
      <c r="C501" t="s">
        <v>1827</v>
      </c>
      <c r="D501" t="s">
        <v>21</v>
      </c>
      <c r="E501" t="s">
        <v>22</v>
      </c>
      <c r="F501">
        <v>6</v>
      </c>
      <c r="G501" s="2">
        <v>46310.458333333336</v>
      </c>
      <c r="H501" s="2">
        <v>46310.5</v>
      </c>
      <c r="I501" s="1">
        <v>46216</v>
      </c>
      <c r="J501" t="s">
        <v>1698</v>
      </c>
      <c r="K501" t="s">
        <v>2912</v>
      </c>
      <c r="L501" t="s">
        <v>2458</v>
      </c>
    </row>
    <row r="502" spans="1:13">
      <c r="A502" t="s">
        <v>693</v>
      </c>
      <c r="B502" t="s">
        <v>1845</v>
      </c>
      <c r="C502" t="s">
        <v>1846</v>
      </c>
      <c r="D502" t="s">
        <v>16</v>
      </c>
      <c r="G502" s="2">
        <v>46163.416666666664</v>
      </c>
      <c r="H502" s="2">
        <v>46163.5</v>
      </c>
      <c r="I502" s="1">
        <v>46162</v>
      </c>
      <c r="J502" t="s">
        <v>1698</v>
      </c>
      <c r="K502" t="s">
        <v>2913</v>
      </c>
      <c r="L502" t="s">
        <v>2914</v>
      </c>
    </row>
    <row r="503" spans="1:13">
      <c r="A503" t="s">
        <v>190</v>
      </c>
      <c r="B503" t="s">
        <v>1715</v>
      </c>
      <c r="C503" t="s">
        <v>1716</v>
      </c>
      <c r="D503" t="s">
        <v>21</v>
      </c>
      <c r="E503" t="s">
        <v>22</v>
      </c>
      <c r="F503">
        <v>0</v>
      </c>
      <c r="G503" s="2">
        <v>46150.416666666664</v>
      </c>
      <c r="H503" s="2">
        <v>46150.520833333336</v>
      </c>
      <c r="I503" s="1">
        <v>46153</v>
      </c>
      <c r="J503" t="s">
        <v>1698</v>
      </c>
      <c r="K503" t="s">
        <v>1716</v>
      </c>
      <c r="L503" t="s">
        <v>2907</v>
      </c>
    </row>
    <row r="504" spans="1:13">
      <c r="A504" t="s">
        <v>623</v>
      </c>
      <c r="B504" t="s">
        <v>1780</v>
      </c>
      <c r="C504" t="s">
        <v>1781</v>
      </c>
      <c r="D504" t="s">
        <v>16</v>
      </c>
      <c r="G504" s="2">
        <v>46176.4375</v>
      </c>
      <c r="H504" s="2">
        <v>46176.479166666664</v>
      </c>
      <c r="I504" s="1">
        <v>46181</v>
      </c>
      <c r="J504" t="s">
        <v>1698</v>
      </c>
      <c r="K504" t="s">
        <v>2915</v>
      </c>
      <c r="L504" t="s">
        <v>2916</v>
      </c>
    </row>
    <row r="505" spans="1:13">
      <c r="A505" t="s">
        <v>693</v>
      </c>
      <c r="B505" t="s">
        <v>700</v>
      </c>
      <c r="C505" t="s">
        <v>1837</v>
      </c>
      <c r="D505" t="s">
        <v>21</v>
      </c>
      <c r="E505" t="s">
        <v>22</v>
      </c>
      <c r="F505">
        <v>0</v>
      </c>
      <c r="G505" s="2">
        <v>46287.395833333336</v>
      </c>
      <c r="H505" s="2">
        <v>46287.5</v>
      </c>
      <c r="I505" s="1">
        <v>46212</v>
      </c>
      <c r="J505" t="s">
        <v>1698</v>
      </c>
      <c r="K505" t="s">
        <v>1837</v>
      </c>
      <c r="L505" t="s">
        <v>2490</v>
      </c>
    </row>
    <row r="506" spans="1:13">
      <c r="A506" t="s">
        <v>560</v>
      </c>
      <c r="B506" t="s">
        <v>1494</v>
      </c>
      <c r="C506" t="s">
        <v>1495</v>
      </c>
      <c r="D506" t="s">
        <v>21</v>
      </c>
      <c r="E506" t="s">
        <v>22</v>
      </c>
      <c r="F506">
        <v>10</v>
      </c>
      <c r="G506" s="2">
        <v>46184.583333333336</v>
      </c>
      <c r="H506" s="2">
        <v>46184.666666666664</v>
      </c>
      <c r="I506" s="1">
        <v>46210</v>
      </c>
      <c r="J506" t="s">
        <v>1698</v>
      </c>
      <c r="K506" t="s">
        <v>1495</v>
      </c>
      <c r="L506" t="s">
        <v>2917</v>
      </c>
      <c r="M506" s="211" t="s">
        <v>2556</v>
      </c>
    </row>
    <row r="507" spans="1:13">
      <c r="A507" t="s">
        <v>584</v>
      </c>
      <c r="B507" t="s">
        <v>1494</v>
      </c>
      <c r="C507" t="s">
        <v>1495</v>
      </c>
      <c r="D507" t="s">
        <v>21</v>
      </c>
      <c r="E507" t="s">
        <v>22</v>
      </c>
      <c r="F507">
        <v>10</v>
      </c>
      <c r="G507" s="2">
        <v>46184.583333333336</v>
      </c>
      <c r="H507" s="2">
        <v>46184.666666666664</v>
      </c>
      <c r="I507" s="1">
        <v>46210</v>
      </c>
      <c r="J507" t="s">
        <v>1698</v>
      </c>
      <c r="K507" t="s">
        <v>1495</v>
      </c>
      <c r="L507" t="s">
        <v>2917</v>
      </c>
      <c r="M507" s="211" t="s">
        <v>2556</v>
      </c>
    </row>
    <row r="508" spans="1:13">
      <c r="A508" t="s">
        <v>1766</v>
      </c>
      <c r="B508" t="s">
        <v>1772</v>
      </c>
      <c r="C508" t="s">
        <v>1773</v>
      </c>
      <c r="D508" t="s">
        <v>21</v>
      </c>
      <c r="E508" t="s">
        <v>25</v>
      </c>
      <c r="G508" s="2">
        <v>45419.333333333336</v>
      </c>
      <c r="H508" s="2">
        <v>47325.791666666664</v>
      </c>
      <c r="I508" t="s">
        <v>198</v>
      </c>
      <c r="J508" t="s">
        <v>1698</v>
      </c>
      <c r="K508" t="s">
        <v>1773</v>
      </c>
    </row>
    <row r="509" spans="1:13">
      <c r="A509" t="s">
        <v>542</v>
      </c>
      <c r="B509" t="s">
        <v>1775</v>
      </c>
      <c r="C509" t="s">
        <v>1501</v>
      </c>
      <c r="D509" t="s">
        <v>21</v>
      </c>
      <c r="E509" t="s">
        <v>22</v>
      </c>
      <c r="F509">
        <v>9</v>
      </c>
      <c r="G509" s="2">
        <v>46182.375</v>
      </c>
      <c r="H509" s="2">
        <v>46182.524305555555</v>
      </c>
      <c r="I509" s="1">
        <v>46205</v>
      </c>
      <c r="J509" t="s">
        <v>1698</v>
      </c>
      <c r="K509" t="s">
        <v>1501</v>
      </c>
      <c r="L509" t="s">
        <v>2549</v>
      </c>
    </row>
    <row r="510" spans="1:13">
      <c r="A510" t="s">
        <v>501</v>
      </c>
      <c r="B510" t="s">
        <v>2426</v>
      </c>
      <c r="C510" t="s">
        <v>1763</v>
      </c>
      <c r="D510" t="s">
        <v>21</v>
      </c>
      <c r="E510" t="s">
        <v>25</v>
      </c>
      <c r="I510" t="s">
        <v>198</v>
      </c>
      <c r="J510" t="s">
        <v>1698</v>
      </c>
      <c r="K510" t="s">
        <v>1763</v>
      </c>
    </row>
    <row r="511" spans="1:13">
      <c r="A511" t="s">
        <v>501</v>
      </c>
      <c r="B511" t="s">
        <v>2423</v>
      </c>
      <c r="C511" t="s">
        <v>1765</v>
      </c>
      <c r="D511" t="s">
        <v>21</v>
      </c>
      <c r="E511" t="s">
        <v>25</v>
      </c>
      <c r="I511" t="s">
        <v>198</v>
      </c>
      <c r="J511" t="s">
        <v>1698</v>
      </c>
      <c r="K511" t="s">
        <v>1765</v>
      </c>
    </row>
    <row r="512" spans="1:13">
      <c r="A512" t="s">
        <v>693</v>
      </c>
      <c r="B512" t="s">
        <v>1843</v>
      </c>
      <c r="C512" t="s">
        <v>1844</v>
      </c>
      <c r="D512" t="s">
        <v>21</v>
      </c>
      <c r="E512" t="s">
        <v>22</v>
      </c>
      <c r="F512">
        <v>2</v>
      </c>
      <c r="G512" s="2">
        <v>46309.375</v>
      </c>
      <c r="H512" s="2">
        <v>46309.729166666664</v>
      </c>
      <c r="I512" s="1">
        <v>46204</v>
      </c>
      <c r="J512" t="s">
        <v>1698</v>
      </c>
      <c r="K512" t="s">
        <v>1844</v>
      </c>
      <c r="L512" t="s">
        <v>2490</v>
      </c>
    </row>
    <row r="513" spans="1:12">
      <c r="A513" t="s">
        <v>1766</v>
      </c>
      <c r="B513" t="s">
        <v>1767</v>
      </c>
      <c r="C513" t="s">
        <v>1768</v>
      </c>
      <c r="D513" t="s">
        <v>21</v>
      </c>
      <c r="E513" t="s">
        <v>22</v>
      </c>
      <c r="F513">
        <v>3</v>
      </c>
      <c r="G513" s="2">
        <v>46204.416666666664</v>
      </c>
      <c r="H513" s="2">
        <v>46204.5</v>
      </c>
      <c r="I513" s="1">
        <v>46212</v>
      </c>
      <c r="J513" t="s">
        <v>1698</v>
      </c>
      <c r="K513" t="s">
        <v>1768</v>
      </c>
    </row>
    <row r="514" spans="1:12">
      <c r="A514" t="s">
        <v>2414</v>
      </c>
      <c r="B514" t="s">
        <v>1730</v>
      </c>
      <c r="C514" t="s">
        <v>1731</v>
      </c>
      <c r="D514" t="s">
        <v>21</v>
      </c>
      <c r="E514" t="s">
        <v>22</v>
      </c>
      <c r="F514">
        <v>2</v>
      </c>
      <c r="G514" s="2">
        <v>46169.604166666664</v>
      </c>
      <c r="H514" s="2">
        <v>46169.625</v>
      </c>
      <c r="I514" s="1">
        <v>46198</v>
      </c>
      <c r="J514" t="s">
        <v>1698</v>
      </c>
      <c r="K514" t="s">
        <v>1731</v>
      </c>
      <c r="L514" t="s">
        <v>2876</v>
      </c>
    </row>
    <row r="515" spans="1:12">
      <c r="A515" t="s">
        <v>190</v>
      </c>
      <c r="B515" t="s">
        <v>2918</v>
      </c>
      <c r="C515" t="s">
        <v>2412</v>
      </c>
      <c r="D515" t="s">
        <v>21</v>
      </c>
      <c r="E515" t="s">
        <v>25</v>
      </c>
      <c r="G515" s="2">
        <v>46171.333333333336</v>
      </c>
      <c r="H515" s="2">
        <v>47330.333333333336</v>
      </c>
      <c r="I515" t="s">
        <v>198</v>
      </c>
      <c r="J515" t="s">
        <v>1698</v>
      </c>
      <c r="K515" t="s">
        <v>2412</v>
      </c>
    </row>
    <row r="516" spans="1:12">
      <c r="A516" t="s">
        <v>663</v>
      </c>
      <c r="B516" t="s">
        <v>2431</v>
      </c>
      <c r="C516" t="s">
        <v>2432</v>
      </c>
      <c r="D516" t="s">
        <v>16</v>
      </c>
      <c r="G516" t="s">
        <v>17</v>
      </c>
      <c r="I516" s="1">
        <v>46209</v>
      </c>
      <c r="J516" t="s">
        <v>1698</v>
      </c>
      <c r="K516" t="s">
        <v>2919</v>
      </c>
    </row>
    <row r="517" spans="1:12">
      <c r="A517" t="s">
        <v>944</v>
      </c>
      <c r="B517" t="s">
        <v>2920</v>
      </c>
      <c r="C517" t="s">
        <v>2921</v>
      </c>
      <c r="D517" t="s">
        <v>21</v>
      </c>
      <c r="E517" t="s">
        <v>22</v>
      </c>
      <c r="F517">
        <v>4</v>
      </c>
      <c r="G517" s="2">
        <v>46349.4375</v>
      </c>
      <c r="H517" s="2">
        <v>46349.479166666664</v>
      </c>
      <c r="I517" s="1">
        <v>46217</v>
      </c>
      <c r="J517" t="s">
        <v>1698</v>
      </c>
      <c r="K517" t="s">
        <v>2921</v>
      </c>
      <c r="L517" t="s">
        <v>2873</v>
      </c>
    </row>
    <row r="518" spans="1:12">
      <c r="A518" t="s">
        <v>944</v>
      </c>
      <c r="B518" t="s">
        <v>2922</v>
      </c>
      <c r="C518" t="s">
        <v>2923</v>
      </c>
      <c r="D518" t="s">
        <v>21</v>
      </c>
      <c r="E518" t="s">
        <v>22</v>
      </c>
      <c r="F518">
        <v>0</v>
      </c>
      <c r="G518" s="2">
        <v>46311.4375</v>
      </c>
      <c r="H518" s="2">
        <v>46311.479166666664</v>
      </c>
      <c r="I518" t="s">
        <v>198</v>
      </c>
      <c r="J518" t="s">
        <v>1698</v>
      </c>
      <c r="K518" t="s">
        <v>2923</v>
      </c>
    </row>
    <row r="519" spans="1:12">
      <c r="A519" t="s">
        <v>944</v>
      </c>
      <c r="B519" t="s">
        <v>2924</v>
      </c>
      <c r="C519" t="s">
        <v>2925</v>
      </c>
      <c r="D519" t="s">
        <v>21</v>
      </c>
      <c r="E519" t="s">
        <v>22</v>
      </c>
      <c r="F519">
        <v>0</v>
      </c>
      <c r="G519" s="2">
        <v>46304.666666666664</v>
      </c>
      <c r="H519" s="2">
        <v>46304.708333333336</v>
      </c>
      <c r="I519" t="s">
        <v>198</v>
      </c>
      <c r="J519" t="s">
        <v>1698</v>
      </c>
      <c r="K519" t="s">
        <v>2925</v>
      </c>
    </row>
    <row r="520" spans="1:12">
      <c r="A520" t="s">
        <v>944</v>
      </c>
      <c r="B520" t="s">
        <v>2926</v>
      </c>
      <c r="C520" t="s">
        <v>2927</v>
      </c>
      <c r="D520" t="s">
        <v>21</v>
      </c>
      <c r="E520" t="s">
        <v>22</v>
      </c>
      <c r="F520">
        <v>0</v>
      </c>
      <c r="G520" s="2">
        <v>46296.666666666664</v>
      </c>
      <c r="H520" s="2">
        <v>46296.708333333336</v>
      </c>
      <c r="I520" t="s">
        <v>198</v>
      </c>
      <c r="J520" t="s">
        <v>1698</v>
      </c>
      <c r="K520" t="s">
        <v>2927</v>
      </c>
    </row>
    <row r="521" spans="1:12">
      <c r="A521" t="s">
        <v>944</v>
      </c>
      <c r="B521" t="s">
        <v>2928</v>
      </c>
      <c r="C521" t="s">
        <v>2929</v>
      </c>
      <c r="D521" t="s">
        <v>21</v>
      </c>
      <c r="E521" t="s">
        <v>22</v>
      </c>
      <c r="F521">
        <v>0</v>
      </c>
      <c r="G521" s="2">
        <v>46339.4375</v>
      </c>
      <c r="H521" s="2">
        <v>46339.479166666664</v>
      </c>
      <c r="I521" t="s">
        <v>198</v>
      </c>
      <c r="J521" t="s">
        <v>1698</v>
      </c>
      <c r="K521" t="s">
        <v>2929</v>
      </c>
    </row>
    <row r="522" spans="1:12">
      <c r="A522" t="s">
        <v>944</v>
      </c>
      <c r="B522" t="s">
        <v>2930</v>
      </c>
      <c r="C522" t="s">
        <v>2931</v>
      </c>
      <c r="D522" t="s">
        <v>21</v>
      </c>
      <c r="E522" t="s">
        <v>22</v>
      </c>
      <c r="F522">
        <v>0</v>
      </c>
      <c r="G522" s="2">
        <v>46353.4375</v>
      </c>
      <c r="H522" s="2">
        <v>46353.479166666664</v>
      </c>
      <c r="I522" t="s">
        <v>198</v>
      </c>
      <c r="J522" t="s">
        <v>1698</v>
      </c>
      <c r="K522" t="s">
        <v>2931</v>
      </c>
    </row>
    <row r="523" spans="1:12">
      <c r="A523" t="s">
        <v>663</v>
      </c>
      <c r="B523" t="s">
        <v>2433</v>
      </c>
      <c r="C523" t="s">
        <v>2434</v>
      </c>
      <c r="D523" t="s">
        <v>16</v>
      </c>
      <c r="G523" t="s">
        <v>17</v>
      </c>
      <c r="I523" s="1">
        <v>46209</v>
      </c>
      <c r="J523" t="s">
        <v>1698</v>
      </c>
      <c r="K523" t="s">
        <v>2932</v>
      </c>
    </row>
    <row r="524" spans="1:12">
      <c r="A524" t="s">
        <v>944</v>
      </c>
      <c r="B524" t="s">
        <v>2933</v>
      </c>
      <c r="C524" t="s">
        <v>2934</v>
      </c>
      <c r="D524" t="s">
        <v>21</v>
      </c>
      <c r="E524" t="s">
        <v>22</v>
      </c>
      <c r="F524">
        <v>0</v>
      </c>
      <c r="I524" t="s">
        <v>198</v>
      </c>
      <c r="J524" t="s">
        <v>1698</v>
      </c>
      <c r="K524" t="s">
        <v>2934</v>
      </c>
    </row>
    <row r="525" spans="1:12">
      <c r="A525" t="s">
        <v>944</v>
      </c>
      <c r="B525" t="s">
        <v>2935</v>
      </c>
      <c r="C525" t="s">
        <v>2936</v>
      </c>
      <c r="D525" t="s">
        <v>21</v>
      </c>
      <c r="E525" t="s">
        <v>22</v>
      </c>
      <c r="F525">
        <v>0</v>
      </c>
      <c r="G525" s="2">
        <v>46276.4375</v>
      </c>
      <c r="H525" s="2">
        <v>46276.479166666664</v>
      </c>
      <c r="I525" t="s">
        <v>198</v>
      </c>
      <c r="J525" t="s">
        <v>1698</v>
      </c>
      <c r="K525" t="s">
        <v>2936</v>
      </c>
    </row>
    <row r="526" spans="1:12">
      <c r="A526" t="s">
        <v>944</v>
      </c>
      <c r="B526" t="s">
        <v>2937</v>
      </c>
      <c r="C526" t="s">
        <v>2938</v>
      </c>
      <c r="D526" t="s">
        <v>21</v>
      </c>
      <c r="E526" t="s">
        <v>22</v>
      </c>
      <c r="F526">
        <v>0</v>
      </c>
      <c r="G526" s="2">
        <v>46275.666666666664</v>
      </c>
      <c r="H526" s="2">
        <v>46275.708333333336</v>
      </c>
      <c r="I526" t="s">
        <v>198</v>
      </c>
      <c r="J526" t="s">
        <v>1698</v>
      </c>
      <c r="K526" t="s">
        <v>2938</v>
      </c>
    </row>
    <row r="527" spans="1:12">
      <c r="A527" t="s">
        <v>944</v>
      </c>
      <c r="B527" t="s">
        <v>2939</v>
      </c>
      <c r="C527" t="s">
        <v>2940</v>
      </c>
      <c r="D527" t="s">
        <v>21</v>
      </c>
      <c r="E527" t="s">
        <v>22</v>
      </c>
      <c r="F527">
        <v>0</v>
      </c>
      <c r="G527" s="2">
        <v>46279.458333333336</v>
      </c>
      <c r="H527" s="2">
        <v>46279.5</v>
      </c>
      <c r="I527" t="s">
        <v>198</v>
      </c>
      <c r="J527" t="s">
        <v>1698</v>
      </c>
      <c r="K527" t="s">
        <v>2940</v>
      </c>
    </row>
    <row r="528" spans="1:12">
      <c r="A528" t="s">
        <v>944</v>
      </c>
      <c r="B528" t="s">
        <v>2941</v>
      </c>
      <c r="C528" t="s">
        <v>2942</v>
      </c>
      <c r="D528" t="s">
        <v>21</v>
      </c>
      <c r="E528" t="s">
        <v>22</v>
      </c>
      <c r="F528">
        <v>0</v>
      </c>
      <c r="G528" s="2">
        <v>46345.666666666664</v>
      </c>
      <c r="H528" s="2">
        <v>46345.708333333336</v>
      </c>
      <c r="I528" t="s">
        <v>198</v>
      </c>
      <c r="J528" t="s">
        <v>1698</v>
      </c>
      <c r="K528" t="s">
        <v>2942</v>
      </c>
    </row>
    <row r="529" spans="1:12">
      <c r="A529" t="s">
        <v>944</v>
      </c>
      <c r="B529" t="s">
        <v>2943</v>
      </c>
      <c r="C529" t="s">
        <v>2944</v>
      </c>
      <c r="D529" t="s">
        <v>21</v>
      </c>
      <c r="E529" t="s">
        <v>22</v>
      </c>
      <c r="F529">
        <v>0</v>
      </c>
      <c r="I529" t="s">
        <v>198</v>
      </c>
      <c r="J529" t="s">
        <v>1698</v>
      </c>
      <c r="K529" t="s">
        <v>2944</v>
      </c>
    </row>
    <row r="530" spans="1:12">
      <c r="A530" t="s">
        <v>944</v>
      </c>
      <c r="B530" t="s">
        <v>2945</v>
      </c>
      <c r="C530" t="s">
        <v>2946</v>
      </c>
      <c r="D530" t="s">
        <v>21</v>
      </c>
      <c r="E530" t="s">
        <v>22</v>
      </c>
      <c r="F530">
        <v>1</v>
      </c>
      <c r="G530" s="2">
        <v>46363.458333333336</v>
      </c>
      <c r="H530" s="2">
        <v>46363.5</v>
      </c>
      <c r="I530" s="1">
        <v>46217</v>
      </c>
      <c r="J530" t="s">
        <v>1698</v>
      </c>
      <c r="K530" t="s">
        <v>2946</v>
      </c>
      <c r="L530" t="s">
        <v>2873</v>
      </c>
    </row>
    <row r="531" spans="1:12">
      <c r="A531" t="s">
        <v>944</v>
      </c>
      <c r="B531" t="s">
        <v>2947</v>
      </c>
      <c r="C531" t="s">
        <v>2948</v>
      </c>
      <c r="D531" t="s">
        <v>21</v>
      </c>
      <c r="E531" t="s">
        <v>22</v>
      </c>
      <c r="F531">
        <v>0</v>
      </c>
      <c r="G531" s="2">
        <v>46346.4375</v>
      </c>
      <c r="H531" s="2">
        <v>46346.479166666664</v>
      </c>
      <c r="I531" t="s">
        <v>198</v>
      </c>
      <c r="J531" t="s">
        <v>1698</v>
      </c>
      <c r="K531" t="s">
        <v>2948</v>
      </c>
    </row>
    <row r="532" spans="1:12">
      <c r="A532" t="s">
        <v>19</v>
      </c>
      <c r="B532" t="s">
        <v>52</v>
      </c>
      <c r="C532" t="s">
        <v>2949</v>
      </c>
      <c r="D532" t="s">
        <v>21</v>
      </c>
      <c r="E532" t="s">
        <v>25</v>
      </c>
      <c r="G532" s="2">
        <v>46199.333333333336</v>
      </c>
      <c r="H532" s="2">
        <v>47298.333333333336</v>
      </c>
      <c r="I532" t="s">
        <v>198</v>
      </c>
      <c r="J532" t="s">
        <v>1698</v>
      </c>
      <c r="K532" t="s">
        <v>2949</v>
      </c>
    </row>
    <row r="533" spans="1:12">
      <c r="A533" t="s">
        <v>663</v>
      </c>
      <c r="B533" t="s">
        <v>2950</v>
      </c>
      <c r="C533" t="s">
        <v>2951</v>
      </c>
      <c r="D533" t="s">
        <v>21</v>
      </c>
      <c r="E533" t="s">
        <v>22</v>
      </c>
      <c r="F533">
        <v>0</v>
      </c>
      <c r="G533" s="2">
        <v>46309.416666666664</v>
      </c>
      <c r="H533" s="2">
        <v>46309.479166666664</v>
      </c>
      <c r="I533" t="s">
        <v>198</v>
      </c>
      <c r="J533" t="s">
        <v>1698</v>
      </c>
      <c r="K533" t="s">
        <v>2951</v>
      </c>
    </row>
    <row r="534" spans="1:12">
      <c r="A534" t="s">
        <v>623</v>
      </c>
      <c r="B534" t="s">
        <v>634</v>
      </c>
      <c r="C534" t="s">
        <v>633</v>
      </c>
      <c r="D534" t="s">
        <v>38</v>
      </c>
      <c r="I534" s="1">
        <v>46217</v>
      </c>
      <c r="K534" t="s">
        <v>2952</v>
      </c>
    </row>
    <row r="535" spans="1:12">
      <c r="A535" t="s">
        <v>623</v>
      </c>
      <c r="B535" t="s">
        <v>636</v>
      </c>
      <c r="C535" t="s">
        <v>635</v>
      </c>
      <c r="D535" t="s">
        <v>38</v>
      </c>
      <c r="I535" s="1">
        <v>46211</v>
      </c>
      <c r="K535" t="s">
        <v>2952</v>
      </c>
    </row>
    <row r="536" spans="1:12">
      <c r="A536" t="s">
        <v>623</v>
      </c>
      <c r="B536" t="s">
        <v>638</v>
      </c>
      <c r="C536" t="s">
        <v>637</v>
      </c>
      <c r="D536" t="s">
        <v>38</v>
      </c>
      <c r="I536" s="1">
        <v>46128</v>
      </c>
      <c r="K536" t="s">
        <v>2952</v>
      </c>
    </row>
    <row r="537" spans="1:12">
      <c r="A537" t="s">
        <v>2416</v>
      </c>
      <c r="B537" t="s">
        <v>386</v>
      </c>
      <c r="C537" t="s">
        <v>385</v>
      </c>
      <c r="D537" t="s">
        <v>38</v>
      </c>
      <c r="I537" s="1">
        <v>46188</v>
      </c>
      <c r="K537" t="s">
        <v>385</v>
      </c>
    </row>
    <row r="538" spans="1:12">
      <c r="A538" t="s">
        <v>149</v>
      </c>
      <c r="B538" t="s">
        <v>154</v>
      </c>
      <c r="C538" t="s">
        <v>153</v>
      </c>
      <c r="D538" t="s">
        <v>38</v>
      </c>
      <c r="I538" s="1">
        <v>46190</v>
      </c>
      <c r="K538" t="s">
        <v>153</v>
      </c>
    </row>
    <row r="539" spans="1:12">
      <c r="A539" t="s">
        <v>140</v>
      </c>
      <c r="B539" t="s">
        <v>143</v>
      </c>
      <c r="C539" t="s">
        <v>142</v>
      </c>
      <c r="D539" t="s">
        <v>38</v>
      </c>
      <c r="I539" s="1">
        <v>46171</v>
      </c>
      <c r="K539" t="s">
        <v>142</v>
      </c>
    </row>
    <row r="540" spans="1:12">
      <c r="A540" t="s">
        <v>140</v>
      </c>
      <c r="B540" t="s">
        <v>145</v>
      </c>
      <c r="C540" t="s">
        <v>144</v>
      </c>
      <c r="D540" t="s">
        <v>38</v>
      </c>
      <c r="I540" s="1">
        <v>46171</v>
      </c>
      <c r="K540" t="s">
        <v>144</v>
      </c>
    </row>
    <row r="541" spans="1:12">
      <c r="A541" t="s">
        <v>1062</v>
      </c>
      <c r="B541" t="s">
        <v>94</v>
      </c>
      <c r="C541" t="s">
        <v>93</v>
      </c>
      <c r="D541" t="s">
        <v>38</v>
      </c>
      <c r="I541" s="1">
        <v>46079</v>
      </c>
      <c r="K541" t="s">
        <v>93</v>
      </c>
    </row>
    <row r="542" spans="1:12">
      <c r="A542" t="s">
        <v>1062</v>
      </c>
      <c r="B542" t="s">
        <v>88</v>
      </c>
      <c r="C542" t="s">
        <v>87</v>
      </c>
      <c r="D542" t="s">
        <v>38</v>
      </c>
      <c r="I542" s="1">
        <v>46107</v>
      </c>
      <c r="K542" t="s">
        <v>87</v>
      </c>
    </row>
    <row r="543" spans="1:12">
      <c r="A543" t="s">
        <v>1062</v>
      </c>
      <c r="B543" t="s">
        <v>96</v>
      </c>
      <c r="C543" t="s">
        <v>95</v>
      </c>
      <c r="D543" t="s">
        <v>38</v>
      </c>
      <c r="I543" s="1">
        <v>46129</v>
      </c>
      <c r="K543" t="s">
        <v>95</v>
      </c>
    </row>
    <row r="544" spans="1:12">
      <c r="A544" t="s">
        <v>1062</v>
      </c>
      <c r="B544" t="s">
        <v>90</v>
      </c>
      <c r="C544" t="s">
        <v>89</v>
      </c>
      <c r="D544" t="s">
        <v>38</v>
      </c>
      <c r="I544" s="1">
        <v>46184</v>
      </c>
      <c r="K544" t="s">
        <v>89</v>
      </c>
    </row>
    <row r="545" spans="1:11">
      <c r="A545" t="s">
        <v>1063</v>
      </c>
      <c r="B545" t="s">
        <v>103</v>
      </c>
      <c r="C545" t="s">
        <v>102</v>
      </c>
      <c r="D545" t="s">
        <v>38</v>
      </c>
      <c r="I545" s="1">
        <v>45512</v>
      </c>
      <c r="K545" t="s">
        <v>102</v>
      </c>
    </row>
    <row r="546" spans="1:11">
      <c r="A546" t="s">
        <v>1062</v>
      </c>
      <c r="B546" t="s">
        <v>92</v>
      </c>
      <c r="C546" t="s">
        <v>91</v>
      </c>
      <c r="D546" t="s">
        <v>38</v>
      </c>
      <c r="I546" s="1">
        <v>46203</v>
      </c>
      <c r="K546" t="s">
        <v>91</v>
      </c>
    </row>
    <row r="547" spans="1:11">
      <c r="A547" t="s">
        <v>1063</v>
      </c>
      <c r="B547" t="s">
        <v>105</v>
      </c>
      <c r="C547" t="s">
        <v>104</v>
      </c>
      <c r="D547" t="s">
        <v>38</v>
      </c>
      <c r="I547" s="1">
        <v>45964</v>
      </c>
      <c r="K547" t="s">
        <v>104</v>
      </c>
    </row>
    <row r="548" spans="1:11">
      <c r="A548" t="s">
        <v>1062</v>
      </c>
      <c r="B548" t="s">
        <v>82</v>
      </c>
      <c r="C548" t="s">
        <v>80</v>
      </c>
      <c r="D548" t="s">
        <v>38</v>
      </c>
      <c r="I548" s="1">
        <v>46148</v>
      </c>
      <c r="K548" t="s">
        <v>80</v>
      </c>
    </row>
    <row r="549" spans="1:11">
      <c r="A549" t="s">
        <v>1063</v>
      </c>
      <c r="B549" t="s">
        <v>101</v>
      </c>
      <c r="C549" t="s">
        <v>99</v>
      </c>
      <c r="D549" t="s">
        <v>38</v>
      </c>
      <c r="I549" s="1">
        <v>45569</v>
      </c>
      <c r="K549" t="s">
        <v>99</v>
      </c>
    </row>
    <row r="550" spans="1:11">
      <c r="A550" t="s">
        <v>1062</v>
      </c>
      <c r="B550" t="s">
        <v>86</v>
      </c>
      <c r="C550" t="s">
        <v>85</v>
      </c>
      <c r="D550" t="s">
        <v>38</v>
      </c>
      <c r="I550" s="1">
        <v>45688</v>
      </c>
      <c r="K550" t="s">
        <v>85</v>
      </c>
    </row>
    <row r="551" spans="1:11">
      <c r="A551" t="s">
        <v>1062</v>
      </c>
      <c r="B551" t="s">
        <v>84</v>
      </c>
      <c r="C551" t="s">
        <v>83</v>
      </c>
      <c r="D551" t="s">
        <v>38</v>
      </c>
      <c r="I551" s="1">
        <v>46206</v>
      </c>
      <c r="K551" t="s">
        <v>83</v>
      </c>
    </row>
    <row r="552" spans="1:11">
      <c r="A552" t="s">
        <v>173</v>
      </c>
      <c r="B552" t="s">
        <v>178</v>
      </c>
      <c r="C552" t="s">
        <v>177</v>
      </c>
      <c r="D552" t="s">
        <v>38</v>
      </c>
      <c r="I552" s="1">
        <v>46174</v>
      </c>
      <c r="K552" t="s">
        <v>177</v>
      </c>
    </row>
    <row r="553" spans="1:11">
      <c r="A553" t="s">
        <v>173</v>
      </c>
      <c r="B553" t="s">
        <v>174</v>
      </c>
      <c r="C553" t="s">
        <v>172</v>
      </c>
      <c r="D553" t="s">
        <v>38</v>
      </c>
      <c r="I553" s="1">
        <v>46092</v>
      </c>
      <c r="K553" t="s">
        <v>172</v>
      </c>
    </row>
    <row r="554" spans="1:11">
      <c r="A554" t="s">
        <v>140</v>
      </c>
      <c r="B554" t="s">
        <v>141</v>
      </c>
      <c r="C554" t="s">
        <v>139</v>
      </c>
      <c r="D554" t="s">
        <v>38</v>
      </c>
      <c r="I554" s="1">
        <v>46127</v>
      </c>
      <c r="K554" t="s">
        <v>139</v>
      </c>
    </row>
    <row r="555" spans="1:11">
      <c r="A555" t="s">
        <v>140</v>
      </c>
      <c r="B555" t="s">
        <v>147</v>
      </c>
      <c r="C555" t="s">
        <v>146</v>
      </c>
      <c r="D555" t="s">
        <v>38</v>
      </c>
      <c r="I555" s="1">
        <v>45915</v>
      </c>
      <c r="K555" t="s">
        <v>146</v>
      </c>
    </row>
    <row r="556" spans="1:11">
      <c r="A556" t="s">
        <v>173</v>
      </c>
      <c r="B556" t="s">
        <v>184</v>
      </c>
      <c r="C556" t="s">
        <v>183</v>
      </c>
      <c r="D556" t="s">
        <v>38</v>
      </c>
      <c r="I556" s="1">
        <v>46203</v>
      </c>
      <c r="K556" t="s">
        <v>183</v>
      </c>
    </row>
    <row r="557" spans="1:11">
      <c r="A557" t="s">
        <v>1062</v>
      </c>
      <c r="B557" t="s">
        <v>98</v>
      </c>
      <c r="C557" t="s">
        <v>97</v>
      </c>
      <c r="D557" t="s">
        <v>38</v>
      </c>
      <c r="I557" s="1">
        <v>46108</v>
      </c>
      <c r="K557" t="s">
        <v>97</v>
      </c>
    </row>
    <row r="558" spans="1:11">
      <c r="A558" t="s">
        <v>950</v>
      </c>
      <c r="B558" t="s">
        <v>963</v>
      </c>
      <c r="C558" t="s">
        <v>962</v>
      </c>
      <c r="D558" t="s">
        <v>38</v>
      </c>
      <c r="I558" s="1">
        <v>46216</v>
      </c>
      <c r="K558" t="s">
        <v>962</v>
      </c>
    </row>
    <row r="559" spans="1:11">
      <c r="A559" t="s">
        <v>173</v>
      </c>
      <c r="B559" t="s">
        <v>182</v>
      </c>
      <c r="C559" t="s">
        <v>181</v>
      </c>
      <c r="D559" t="s">
        <v>38</v>
      </c>
      <c r="I559" s="1">
        <v>45985</v>
      </c>
      <c r="K559" t="s">
        <v>181</v>
      </c>
    </row>
    <row r="560" spans="1:11">
      <c r="A560" t="s">
        <v>173</v>
      </c>
      <c r="B560" t="s">
        <v>180</v>
      </c>
      <c r="C560" t="s">
        <v>179</v>
      </c>
      <c r="D560" t="s">
        <v>38</v>
      </c>
      <c r="I560" s="1">
        <v>46057</v>
      </c>
      <c r="K560" t="s">
        <v>179</v>
      </c>
    </row>
    <row r="561" spans="1:11">
      <c r="A561" t="s">
        <v>986</v>
      </c>
      <c r="B561" t="s">
        <v>989</v>
      </c>
      <c r="C561" t="s">
        <v>988</v>
      </c>
      <c r="D561" t="s">
        <v>38</v>
      </c>
      <c r="I561" s="1">
        <v>46217</v>
      </c>
      <c r="K561" t="s">
        <v>988</v>
      </c>
    </row>
    <row r="562" spans="1:11">
      <c r="A562" t="s">
        <v>986</v>
      </c>
      <c r="B562" t="s">
        <v>2438</v>
      </c>
      <c r="C562" t="s">
        <v>985</v>
      </c>
      <c r="D562" t="s">
        <v>38</v>
      </c>
      <c r="I562" s="1">
        <v>46195</v>
      </c>
      <c r="K562" t="s">
        <v>985</v>
      </c>
    </row>
    <row r="563" spans="1:11">
      <c r="A563" t="s">
        <v>976</v>
      </c>
      <c r="B563" t="s">
        <v>977</v>
      </c>
      <c r="C563" t="s">
        <v>975</v>
      </c>
      <c r="D563" t="s">
        <v>38</v>
      </c>
      <c r="I563" s="1">
        <v>46183</v>
      </c>
      <c r="K563" t="s">
        <v>975</v>
      </c>
    </row>
    <row r="564" spans="1:11">
      <c r="A564" t="s">
        <v>981</v>
      </c>
      <c r="B564" t="s">
        <v>982</v>
      </c>
      <c r="C564" t="s">
        <v>980</v>
      </c>
      <c r="D564" t="s">
        <v>38</v>
      </c>
      <c r="I564" s="1">
        <v>46122</v>
      </c>
      <c r="K564" t="s">
        <v>980</v>
      </c>
    </row>
    <row r="565" spans="1:11">
      <c r="A565" t="s">
        <v>981</v>
      </c>
      <c r="B565" t="s">
        <v>984</v>
      </c>
      <c r="C565" t="s">
        <v>983</v>
      </c>
      <c r="D565" t="s">
        <v>38</v>
      </c>
      <c r="I565" s="1">
        <v>46149</v>
      </c>
      <c r="K565" t="s">
        <v>983</v>
      </c>
    </row>
    <row r="566" spans="1:11">
      <c r="A566" t="s">
        <v>969</v>
      </c>
      <c r="B566" t="s">
        <v>974</v>
      </c>
      <c r="C566" t="s">
        <v>973</v>
      </c>
      <c r="D566" t="s">
        <v>38</v>
      </c>
      <c r="I566" s="1">
        <v>45961</v>
      </c>
      <c r="K566" t="s">
        <v>973</v>
      </c>
    </row>
    <row r="567" spans="1:11">
      <c r="A567" t="s">
        <v>969</v>
      </c>
      <c r="B567" t="s">
        <v>972</v>
      </c>
      <c r="C567" t="s">
        <v>971</v>
      </c>
      <c r="D567" t="s">
        <v>38</v>
      </c>
      <c r="I567" s="1">
        <v>46198</v>
      </c>
      <c r="K567" t="s">
        <v>971</v>
      </c>
    </row>
    <row r="568" spans="1:11">
      <c r="A568" t="s">
        <v>969</v>
      </c>
      <c r="B568" t="s">
        <v>970</v>
      </c>
      <c r="C568" t="s">
        <v>968</v>
      </c>
      <c r="D568" t="s">
        <v>38</v>
      </c>
      <c r="I568" s="1">
        <v>46157</v>
      </c>
      <c r="K568" t="s">
        <v>968</v>
      </c>
    </row>
    <row r="569" spans="1:11">
      <c r="A569" t="s">
        <v>1212</v>
      </c>
      <c r="B569" t="s">
        <v>1215</v>
      </c>
      <c r="C569" t="s">
        <v>1216</v>
      </c>
      <c r="D569" t="s">
        <v>38</v>
      </c>
      <c r="I569" s="1">
        <v>46217</v>
      </c>
      <c r="K569" t="s">
        <v>1216</v>
      </c>
    </row>
    <row r="570" spans="1:11">
      <c r="A570" t="s">
        <v>1212</v>
      </c>
      <c r="B570" t="s">
        <v>1217</v>
      </c>
      <c r="C570" t="s">
        <v>1218</v>
      </c>
      <c r="D570" t="s">
        <v>38</v>
      </c>
      <c r="K570" t="s">
        <v>1218</v>
      </c>
    </row>
    <row r="571" spans="1:11">
      <c r="A571" t="s">
        <v>976</v>
      </c>
      <c r="B571" t="s">
        <v>979</v>
      </c>
      <c r="C571" t="s">
        <v>978</v>
      </c>
      <c r="D571" t="s">
        <v>38</v>
      </c>
      <c r="I571" s="1">
        <v>46133</v>
      </c>
      <c r="K571" t="s">
        <v>978</v>
      </c>
    </row>
    <row r="572" spans="1:11">
      <c r="A572" t="s">
        <v>324</v>
      </c>
      <c r="B572" t="s">
        <v>329</v>
      </c>
      <c r="C572" t="s">
        <v>328</v>
      </c>
      <c r="D572" t="s">
        <v>38</v>
      </c>
      <c r="I572" s="1">
        <v>46217</v>
      </c>
      <c r="K572" t="s">
        <v>328</v>
      </c>
    </row>
    <row r="573" spans="1:11">
      <c r="A573" t="s">
        <v>149</v>
      </c>
      <c r="B573" t="s">
        <v>152</v>
      </c>
      <c r="C573" t="s">
        <v>151</v>
      </c>
      <c r="D573" t="s">
        <v>38</v>
      </c>
      <c r="I573" s="1">
        <v>46206</v>
      </c>
      <c r="K573" t="s">
        <v>151</v>
      </c>
    </row>
    <row r="574" spans="1:11">
      <c r="A574" t="s">
        <v>890</v>
      </c>
      <c r="B574" t="s">
        <v>891</v>
      </c>
      <c r="C574" t="s">
        <v>889</v>
      </c>
      <c r="D574" t="s">
        <v>38</v>
      </c>
      <c r="I574" s="1">
        <v>46206</v>
      </c>
      <c r="K574" t="s">
        <v>889</v>
      </c>
    </row>
    <row r="575" spans="1:11">
      <c r="A575" t="s">
        <v>173</v>
      </c>
      <c r="B575" t="s">
        <v>186</v>
      </c>
      <c r="C575" t="s">
        <v>185</v>
      </c>
      <c r="D575" t="s">
        <v>38</v>
      </c>
      <c r="I575" s="1">
        <v>46066</v>
      </c>
      <c r="K575" t="s">
        <v>185</v>
      </c>
    </row>
    <row r="576" spans="1:11">
      <c r="A576" t="s">
        <v>173</v>
      </c>
      <c r="B576" t="s">
        <v>176</v>
      </c>
      <c r="C576" t="s">
        <v>175</v>
      </c>
      <c r="D576" t="s">
        <v>38</v>
      </c>
      <c r="I576" s="1">
        <v>46098</v>
      </c>
      <c r="K576" t="s">
        <v>175</v>
      </c>
    </row>
    <row r="577" spans="1:11">
      <c r="A577" t="s">
        <v>129</v>
      </c>
      <c r="B577" t="s">
        <v>134</v>
      </c>
      <c r="C577" t="s">
        <v>133</v>
      </c>
      <c r="D577" t="s">
        <v>38</v>
      </c>
      <c r="I577" s="1">
        <v>45894</v>
      </c>
      <c r="K577" t="s">
        <v>133</v>
      </c>
    </row>
    <row r="578" spans="1:11">
      <c r="A578" t="s">
        <v>129</v>
      </c>
      <c r="B578" t="s">
        <v>130</v>
      </c>
      <c r="C578" t="s">
        <v>128</v>
      </c>
      <c r="D578" t="s">
        <v>38</v>
      </c>
      <c r="I578" s="1">
        <v>46126</v>
      </c>
      <c r="K578" t="s">
        <v>128</v>
      </c>
    </row>
    <row r="579" spans="1:11">
      <c r="A579" t="s">
        <v>129</v>
      </c>
      <c r="B579" t="s">
        <v>136</v>
      </c>
      <c r="C579" t="s">
        <v>135</v>
      </c>
      <c r="D579" t="s">
        <v>38</v>
      </c>
      <c r="I579" s="1">
        <v>45894</v>
      </c>
      <c r="K579" t="s">
        <v>135</v>
      </c>
    </row>
    <row r="580" spans="1:11">
      <c r="A580" t="s">
        <v>129</v>
      </c>
      <c r="B580" t="s">
        <v>138</v>
      </c>
      <c r="C580" t="s">
        <v>137</v>
      </c>
      <c r="D580" t="s">
        <v>38</v>
      </c>
      <c r="I580" s="1">
        <v>45894</v>
      </c>
      <c r="K580" t="s">
        <v>137</v>
      </c>
    </row>
    <row r="581" spans="1:11">
      <c r="A581" t="s">
        <v>149</v>
      </c>
      <c r="B581" t="s">
        <v>160</v>
      </c>
      <c r="C581" t="s">
        <v>159</v>
      </c>
      <c r="D581" t="s">
        <v>38</v>
      </c>
      <c r="I581" s="1">
        <v>45771</v>
      </c>
      <c r="K581" t="s">
        <v>159</v>
      </c>
    </row>
    <row r="582" spans="1:11">
      <c r="A582" t="s">
        <v>190</v>
      </c>
      <c r="B582" t="s">
        <v>232</v>
      </c>
      <c r="C582" t="s">
        <v>231</v>
      </c>
      <c r="D582" t="s">
        <v>38</v>
      </c>
      <c r="I582" s="1">
        <v>46190</v>
      </c>
      <c r="K582" t="s">
        <v>231</v>
      </c>
    </row>
    <row r="583" spans="1:11">
      <c r="A583" t="s">
        <v>149</v>
      </c>
      <c r="B583" t="s">
        <v>150</v>
      </c>
      <c r="C583" t="s">
        <v>148</v>
      </c>
      <c r="D583" t="s">
        <v>38</v>
      </c>
      <c r="I583" s="1">
        <v>46182</v>
      </c>
      <c r="K583" t="s">
        <v>148</v>
      </c>
    </row>
    <row r="584" spans="1:11">
      <c r="A584" t="s">
        <v>129</v>
      </c>
      <c r="B584" t="s">
        <v>132</v>
      </c>
      <c r="C584" t="s">
        <v>131</v>
      </c>
      <c r="D584" t="s">
        <v>38</v>
      </c>
      <c r="I584" s="1">
        <v>46132</v>
      </c>
      <c r="K584" t="s">
        <v>131</v>
      </c>
    </row>
    <row r="585" spans="1:11">
      <c r="A585" t="s">
        <v>149</v>
      </c>
      <c r="B585" t="s">
        <v>156</v>
      </c>
      <c r="C585" t="s">
        <v>155</v>
      </c>
      <c r="D585" t="s">
        <v>38</v>
      </c>
      <c r="I585" s="1">
        <v>46056</v>
      </c>
      <c r="K585" t="s">
        <v>155</v>
      </c>
    </row>
    <row r="586" spans="1:11">
      <c r="A586" t="s">
        <v>149</v>
      </c>
      <c r="B586" t="s">
        <v>158</v>
      </c>
      <c r="C586" t="s">
        <v>157</v>
      </c>
      <c r="D586" t="s">
        <v>38</v>
      </c>
      <c r="I586" s="1">
        <v>46199</v>
      </c>
      <c r="K586" t="s">
        <v>157</v>
      </c>
    </row>
    <row r="587" spans="1:11">
      <c r="A587" t="s">
        <v>162</v>
      </c>
      <c r="B587" t="s">
        <v>163</v>
      </c>
      <c r="C587" t="s">
        <v>161</v>
      </c>
      <c r="D587" t="s">
        <v>38</v>
      </c>
      <c r="I587" s="1">
        <v>46196</v>
      </c>
      <c r="K587" t="s">
        <v>161</v>
      </c>
    </row>
    <row r="588" spans="1:11">
      <c r="A588" t="s">
        <v>173</v>
      </c>
      <c r="B588" t="s">
        <v>188</v>
      </c>
      <c r="C588" t="s">
        <v>187</v>
      </c>
      <c r="D588" t="s">
        <v>38</v>
      </c>
      <c r="I588" s="1">
        <v>45839</v>
      </c>
      <c r="K588" t="s">
        <v>187</v>
      </c>
    </row>
    <row r="589" spans="1:11">
      <c r="A589" t="s">
        <v>293</v>
      </c>
      <c r="B589" t="s">
        <v>298</v>
      </c>
      <c r="C589" t="s">
        <v>297</v>
      </c>
      <c r="D589" t="s">
        <v>38</v>
      </c>
      <c r="I589" s="1">
        <v>46217</v>
      </c>
      <c r="K589" t="s">
        <v>297</v>
      </c>
    </row>
    <row r="590" spans="1:11">
      <c r="A590" t="s">
        <v>162</v>
      </c>
      <c r="B590" t="s">
        <v>171</v>
      </c>
      <c r="C590" t="s">
        <v>170</v>
      </c>
      <c r="D590" t="s">
        <v>38</v>
      </c>
      <c r="I590" s="1">
        <v>46142</v>
      </c>
      <c r="K590" t="s">
        <v>170</v>
      </c>
    </row>
    <row r="591" spans="1:11">
      <c r="A591" t="s">
        <v>162</v>
      </c>
      <c r="B591" t="s">
        <v>165</v>
      </c>
      <c r="C591" t="s">
        <v>164</v>
      </c>
      <c r="D591" t="s">
        <v>38</v>
      </c>
      <c r="I591" s="1">
        <v>46185</v>
      </c>
      <c r="K591" t="s">
        <v>164</v>
      </c>
    </row>
    <row r="592" spans="1:11">
      <c r="A592" t="s">
        <v>1064</v>
      </c>
      <c r="B592" t="s">
        <v>79</v>
      </c>
      <c r="C592" t="s">
        <v>77</v>
      </c>
      <c r="D592" t="s">
        <v>38</v>
      </c>
      <c r="I592" s="1">
        <v>46212</v>
      </c>
      <c r="K592" t="s">
        <v>77</v>
      </c>
    </row>
    <row r="593" spans="1:11">
      <c r="A593" t="s">
        <v>674</v>
      </c>
      <c r="B593" t="s">
        <v>683</v>
      </c>
      <c r="C593" t="s">
        <v>682</v>
      </c>
      <c r="D593" t="s">
        <v>38</v>
      </c>
      <c r="I593" s="1">
        <v>46211</v>
      </c>
      <c r="K593" t="s">
        <v>682</v>
      </c>
    </row>
    <row r="594" spans="1:11">
      <c r="A594" t="s">
        <v>674</v>
      </c>
      <c r="B594" t="s">
        <v>687</v>
      </c>
      <c r="C594" t="s">
        <v>686</v>
      </c>
      <c r="D594" t="s">
        <v>38</v>
      </c>
      <c r="I594" s="1">
        <v>46210</v>
      </c>
      <c r="K594" t="s">
        <v>686</v>
      </c>
    </row>
    <row r="595" spans="1:11">
      <c r="A595" t="s">
        <v>674</v>
      </c>
      <c r="B595" t="s">
        <v>685</v>
      </c>
      <c r="C595" t="s">
        <v>684</v>
      </c>
      <c r="D595" t="s">
        <v>38</v>
      </c>
      <c r="I595" s="1">
        <v>46202</v>
      </c>
      <c r="K595" t="s">
        <v>684</v>
      </c>
    </row>
    <row r="596" spans="1:11">
      <c r="A596" t="s">
        <v>674</v>
      </c>
      <c r="B596" t="s">
        <v>675</v>
      </c>
      <c r="C596" t="s">
        <v>673</v>
      </c>
      <c r="D596" t="s">
        <v>38</v>
      </c>
      <c r="I596" s="1">
        <v>46211</v>
      </c>
      <c r="K596" t="s">
        <v>673</v>
      </c>
    </row>
    <row r="597" spans="1:11">
      <c r="A597" t="s">
        <v>674</v>
      </c>
      <c r="B597" t="s">
        <v>689</v>
      </c>
      <c r="C597" t="s">
        <v>688</v>
      </c>
      <c r="D597" t="s">
        <v>38</v>
      </c>
      <c r="I597" s="1">
        <v>46177</v>
      </c>
      <c r="K597" t="s">
        <v>688</v>
      </c>
    </row>
    <row r="598" spans="1:11">
      <c r="A598" t="s">
        <v>674</v>
      </c>
      <c r="B598" t="s">
        <v>691</v>
      </c>
      <c r="C598" t="s">
        <v>690</v>
      </c>
      <c r="D598" t="s">
        <v>38</v>
      </c>
      <c r="I598" s="1">
        <v>46197</v>
      </c>
      <c r="K598" t="s">
        <v>690</v>
      </c>
    </row>
    <row r="599" spans="1:11">
      <c r="A599" t="s">
        <v>674</v>
      </c>
      <c r="B599" t="s">
        <v>679</v>
      </c>
      <c r="C599" t="s">
        <v>678</v>
      </c>
      <c r="D599" t="s">
        <v>38</v>
      </c>
      <c r="I599" s="1">
        <v>46189</v>
      </c>
      <c r="K599" t="s">
        <v>678</v>
      </c>
    </row>
    <row r="600" spans="1:11">
      <c r="A600" t="s">
        <v>674</v>
      </c>
      <c r="B600" t="s">
        <v>677</v>
      </c>
      <c r="C600" t="s">
        <v>676</v>
      </c>
      <c r="D600" t="s">
        <v>38</v>
      </c>
      <c r="I600" s="1">
        <v>46183</v>
      </c>
      <c r="K600" t="s">
        <v>676</v>
      </c>
    </row>
    <row r="601" spans="1:11">
      <c r="A601" t="s">
        <v>674</v>
      </c>
      <c r="B601" t="s">
        <v>681</v>
      </c>
      <c r="C601" t="s">
        <v>680</v>
      </c>
      <c r="D601" t="s">
        <v>38</v>
      </c>
      <c r="I601" s="1">
        <v>46202</v>
      </c>
      <c r="K601" t="s">
        <v>680</v>
      </c>
    </row>
    <row r="602" spans="1:11">
      <c r="A602" t="s">
        <v>465</v>
      </c>
      <c r="B602" t="s">
        <v>468</v>
      </c>
      <c r="C602" t="s">
        <v>467</v>
      </c>
      <c r="D602" t="s">
        <v>38</v>
      </c>
      <c r="I602" s="1">
        <v>46198</v>
      </c>
      <c r="K602" t="s">
        <v>467</v>
      </c>
    </row>
    <row r="603" spans="1:11">
      <c r="A603" t="s">
        <v>162</v>
      </c>
      <c r="B603" t="s">
        <v>167</v>
      </c>
      <c r="C603" t="s">
        <v>166</v>
      </c>
      <c r="D603" t="s">
        <v>38</v>
      </c>
      <c r="I603" s="1">
        <v>46157</v>
      </c>
      <c r="K603" t="s">
        <v>166</v>
      </c>
    </row>
    <row r="604" spans="1:11">
      <c r="A604" t="s">
        <v>162</v>
      </c>
      <c r="B604" t="s">
        <v>169</v>
      </c>
      <c r="C604" t="s">
        <v>168</v>
      </c>
      <c r="D604" t="s">
        <v>38</v>
      </c>
      <c r="I604" s="1">
        <v>46203</v>
      </c>
      <c r="K604" t="s">
        <v>168</v>
      </c>
    </row>
    <row r="605" spans="1:11">
      <c r="A605" t="s">
        <v>693</v>
      </c>
      <c r="B605" t="s">
        <v>497</v>
      </c>
      <c r="C605" t="s">
        <v>496</v>
      </c>
      <c r="D605" t="s">
        <v>38</v>
      </c>
      <c r="I605" s="1">
        <v>46202</v>
      </c>
      <c r="K605" t="s">
        <v>496</v>
      </c>
    </row>
    <row r="606" spans="1:11">
      <c r="A606" t="s">
        <v>1703</v>
      </c>
      <c r="B606" t="s">
        <v>1704</v>
      </c>
      <c r="C606" t="s">
        <v>1705</v>
      </c>
      <c r="D606" t="s">
        <v>38</v>
      </c>
      <c r="I606" s="1">
        <v>46203</v>
      </c>
      <c r="K606" t="s">
        <v>1705</v>
      </c>
    </row>
    <row r="607" spans="1:11">
      <c r="A607" t="s">
        <v>1064</v>
      </c>
      <c r="B607" t="s">
        <v>1075</v>
      </c>
      <c r="C607" t="s">
        <v>1076</v>
      </c>
      <c r="D607" t="s">
        <v>38</v>
      </c>
      <c r="I607" s="1">
        <v>46154</v>
      </c>
      <c r="K607" t="s">
        <v>1076</v>
      </c>
    </row>
    <row r="608" spans="1:11">
      <c r="A608" t="s">
        <v>1212</v>
      </c>
      <c r="B608" t="s">
        <v>1213</v>
      </c>
      <c r="C608" t="s">
        <v>1214</v>
      </c>
      <c r="D608" t="s">
        <v>38</v>
      </c>
      <c r="I608" s="1">
        <v>46177</v>
      </c>
      <c r="K608" t="s">
        <v>1214</v>
      </c>
    </row>
    <row r="609" spans="1:11">
      <c r="A609" t="s">
        <v>1064</v>
      </c>
      <c r="B609" t="s">
        <v>1079</v>
      </c>
      <c r="C609" t="s">
        <v>1080</v>
      </c>
      <c r="D609" t="s">
        <v>38</v>
      </c>
      <c r="I609" s="1">
        <v>46185</v>
      </c>
      <c r="K609" t="s">
        <v>1080</v>
      </c>
    </row>
    <row r="610" spans="1:11">
      <c r="A610" t="s">
        <v>1064</v>
      </c>
      <c r="B610" t="s">
        <v>1065</v>
      </c>
      <c r="C610" t="s">
        <v>1066</v>
      </c>
      <c r="D610" t="s">
        <v>38</v>
      </c>
      <c r="I610" s="1">
        <v>46153</v>
      </c>
      <c r="K610" t="s">
        <v>1066</v>
      </c>
    </row>
    <row r="611" spans="1:11">
      <c r="A611" t="s">
        <v>1064</v>
      </c>
      <c r="B611" t="s">
        <v>1067</v>
      </c>
      <c r="C611" t="s">
        <v>1068</v>
      </c>
      <c r="D611" t="s">
        <v>38</v>
      </c>
      <c r="I611" s="1">
        <v>46149</v>
      </c>
      <c r="K611" t="s">
        <v>1068</v>
      </c>
    </row>
    <row r="612" spans="1:11">
      <c r="A612" t="s">
        <v>1064</v>
      </c>
      <c r="B612" t="s">
        <v>1073</v>
      </c>
      <c r="C612" t="s">
        <v>1074</v>
      </c>
      <c r="D612" t="s">
        <v>38</v>
      </c>
      <c r="I612" s="1">
        <v>46212</v>
      </c>
      <c r="K612" t="s">
        <v>1074</v>
      </c>
    </row>
    <row r="613" spans="1:11">
      <c r="A613" t="s">
        <v>1064</v>
      </c>
      <c r="B613" t="s">
        <v>1077</v>
      </c>
      <c r="C613" t="s">
        <v>1078</v>
      </c>
      <c r="D613" t="s">
        <v>38</v>
      </c>
      <c r="I613" s="1">
        <v>46177</v>
      </c>
      <c r="K613" t="s">
        <v>1078</v>
      </c>
    </row>
    <row r="614" spans="1:11">
      <c r="A614" t="s">
        <v>1064</v>
      </c>
      <c r="B614" t="s">
        <v>1071</v>
      </c>
      <c r="C614" t="s">
        <v>1072</v>
      </c>
      <c r="D614" t="s">
        <v>38</v>
      </c>
      <c r="I614" s="1">
        <v>46154</v>
      </c>
      <c r="K614" t="s">
        <v>1072</v>
      </c>
    </row>
    <row r="615" spans="1:11">
      <c r="A615" t="s">
        <v>1064</v>
      </c>
      <c r="B615" t="s">
        <v>1069</v>
      </c>
      <c r="C615" t="s">
        <v>1070</v>
      </c>
      <c r="D615" t="s">
        <v>38</v>
      </c>
      <c r="I615" s="1">
        <v>46191</v>
      </c>
      <c r="K615" t="s">
        <v>1070</v>
      </c>
    </row>
    <row r="616" spans="1:11">
      <c r="A616" t="s">
        <v>1703</v>
      </c>
      <c r="B616" t="s">
        <v>1706</v>
      </c>
      <c r="C616" t="s">
        <v>1707</v>
      </c>
      <c r="D616" t="s">
        <v>38</v>
      </c>
      <c r="K616" t="s">
        <v>1707</v>
      </c>
    </row>
    <row r="617" spans="1:11">
      <c r="A617" t="s">
        <v>1703</v>
      </c>
      <c r="B617" t="s">
        <v>1708</v>
      </c>
      <c r="C617" t="s">
        <v>1709</v>
      </c>
      <c r="D617" t="s">
        <v>38</v>
      </c>
      <c r="I617" s="1">
        <v>46130</v>
      </c>
      <c r="K617" t="s">
        <v>1709</v>
      </c>
    </row>
    <row r="618" spans="1:11">
      <c r="A618" t="s">
        <v>1703</v>
      </c>
      <c r="B618" t="s">
        <v>1710</v>
      </c>
      <c r="C618" t="s">
        <v>1711</v>
      </c>
      <c r="D618" t="s">
        <v>38</v>
      </c>
      <c r="I618" s="1">
        <v>46162</v>
      </c>
      <c r="K618" t="s">
        <v>1711</v>
      </c>
    </row>
    <row r="619" spans="1:11">
      <c r="A619" t="s">
        <v>1703</v>
      </c>
      <c r="B619" t="s">
        <v>1712</v>
      </c>
      <c r="C619" t="s">
        <v>1713</v>
      </c>
      <c r="D619" t="s">
        <v>38</v>
      </c>
      <c r="I619" s="1">
        <v>46195</v>
      </c>
      <c r="K619" t="s">
        <v>1713</v>
      </c>
    </row>
    <row r="620" spans="1:11">
      <c r="A620" t="s">
        <v>19</v>
      </c>
      <c r="B620" t="s">
        <v>1700</v>
      </c>
      <c r="C620" t="s">
        <v>1701</v>
      </c>
      <c r="D620" t="s">
        <v>38</v>
      </c>
      <c r="I620" s="1">
        <v>46215</v>
      </c>
      <c r="K620" t="s">
        <v>1701</v>
      </c>
    </row>
    <row r="621" spans="1:11">
      <c r="A621" t="s">
        <v>255</v>
      </c>
      <c r="B621" t="s">
        <v>280</v>
      </c>
      <c r="C621" t="s">
        <v>2413</v>
      </c>
      <c r="D621" t="s">
        <v>38</v>
      </c>
      <c r="I621" s="1">
        <v>46213</v>
      </c>
      <c r="K621" t="s">
        <v>2413</v>
      </c>
    </row>
    <row r="622" spans="1:11">
      <c r="A622" t="s">
        <v>693</v>
      </c>
      <c r="B622" t="s">
        <v>2953</v>
      </c>
      <c r="C622" t="s">
        <v>2954</v>
      </c>
      <c r="D622" t="s">
        <v>38</v>
      </c>
      <c r="I622" s="1">
        <v>46216</v>
      </c>
      <c r="K622" t="s">
        <v>2954</v>
      </c>
    </row>
    <row r="623" spans="1:11">
      <c r="A623" t="s">
        <v>693</v>
      </c>
      <c r="B623" t="s">
        <v>2955</v>
      </c>
      <c r="C623" t="s">
        <v>2956</v>
      </c>
      <c r="D623" t="s">
        <v>38</v>
      </c>
      <c r="I623" s="1">
        <v>46216</v>
      </c>
      <c r="K623" t="s">
        <v>2956</v>
      </c>
    </row>
    <row r="624" spans="1:11">
      <c r="A624" t="s">
        <v>2957</v>
      </c>
      <c r="B624" t="s">
        <v>2958</v>
      </c>
      <c r="C624" t="s">
        <v>2959</v>
      </c>
      <c r="D624" t="s">
        <v>38</v>
      </c>
      <c r="I624" s="1">
        <v>46204</v>
      </c>
      <c r="K624" t="s">
        <v>2959</v>
      </c>
    </row>
    <row r="625" spans="1:11">
      <c r="A625" t="s">
        <v>2957</v>
      </c>
      <c r="B625" t="s">
        <v>2960</v>
      </c>
      <c r="C625" t="s">
        <v>2961</v>
      </c>
      <c r="D625" t="s">
        <v>38</v>
      </c>
      <c r="K625" t="s">
        <v>2961</v>
      </c>
    </row>
    <row r="626" spans="1:11">
      <c r="A626" t="s">
        <v>74</v>
      </c>
      <c r="B626" t="s">
        <v>75</v>
      </c>
      <c r="D626" t="s">
        <v>76</v>
      </c>
      <c r="K626" t="s">
        <v>2902</v>
      </c>
    </row>
    <row r="627" spans="1:11">
      <c r="A627" t="s">
        <v>324</v>
      </c>
      <c r="B627" t="s">
        <v>325</v>
      </c>
      <c r="D627" t="s">
        <v>76</v>
      </c>
      <c r="K627" t="s">
        <v>2902</v>
      </c>
    </row>
    <row r="628" spans="1:11">
      <c r="A628" t="s">
        <v>324</v>
      </c>
      <c r="B628" t="s">
        <v>330</v>
      </c>
      <c r="D628" t="s">
        <v>76</v>
      </c>
      <c r="K628" t="s">
        <v>2902</v>
      </c>
    </row>
    <row r="629" spans="1:11">
      <c r="A629" t="s">
        <v>324</v>
      </c>
      <c r="B629" t="s">
        <v>333</v>
      </c>
      <c r="D629" t="s">
        <v>76</v>
      </c>
      <c r="K629" t="s">
        <v>2902</v>
      </c>
    </row>
    <row r="630" spans="1:11">
      <c r="A630" t="s">
        <v>388</v>
      </c>
      <c r="B630" t="s">
        <v>390</v>
      </c>
      <c r="D630" t="s">
        <v>76</v>
      </c>
      <c r="K630" t="s">
        <v>2902</v>
      </c>
    </row>
    <row r="631" spans="1:11">
      <c r="A631" t="s">
        <v>447</v>
      </c>
      <c r="B631" t="s">
        <v>448</v>
      </c>
      <c r="D631" t="s">
        <v>76</v>
      </c>
      <c r="K631" t="s">
        <v>2902</v>
      </c>
    </row>
    <row r="632" spans="1:11">
      <c r="A632" t="s">
        <v>447</v>
      </c>
      <c r="B632" t="s">
        <v>1748</v>
      </c>
      <c r="D632" t="s">
        <v>76</v>
      </c>
      <c r="K632" t="s">
        <v>2902</v>
      </c>
    </row>
    <row r="633" spans="1:11">
      <c r="A633" t="s">
        <v>447</v>
      </c>
      <c r="B633" t="s">
        <v>449</v>
      </c>
      <c r="D633" t="s">
        <v>76</v>
      </c>
      <c r="K633" t="s">
        <v>2902</v>
      </c>
    </row>
    <row r="634" spans="1:11">
      <c r="A634" t="s">
        <v>447</v>
      </c>
      <c r="B634" t="s">
        <v>450</v>
      </c>
      <c r="D634" t="s">
        <v>76</v>
      </c>
      <c r="K634" t="s">
        <v>2902</v>
      </c>
    </row>
    <row r="635" spans="1:11">
      <c r="A635" t="s">
        <v>447</v>
      </c>
      <c r="B635" t="s">
        <v>451</v>
      </c>
      <c r="D635" t="s">
        <v>76</v>
      </c>
      <c r="K635" t="s">
        <v>2902</v>
      </c>
    </row>
    <row r="636" spans="1:11">
      <c r="A636" t="s">
        <v>447</v>
      </c>
      <c r="B636" t="s">
        <v>452</v>
      </c>
      <c r="D636" t="s">
        <v>76</v>
      </c>
      <c r="K636" t="s">
        <v>2902</v>
      </c>
    </row>
    <row r="637" spans="1:11">
      <c r="A637" t="s">
        <v>447</v>
      </c>
      <c r="B637" t="s">
        <v>453</v>
      </c>
      <c r="D637" t="s">
        <v>76</v>
      </c>
      <c r="K637" t="s">
        <v>2902</v>
      </c>
    </row>
    <row r="638" spans="1:11">
      <c r="A638" t="s">
        <v>447</v>
      </c>
      <c r="B638" t="s">
        <v>454</v>
      </c>
      <c r="D638" t="s">
        <v>76</v>
      </c>
      <c r="K638" t="s">
        <v>2902</v>
      </c>
    </row>
    <row r="639" spans="1:11">
      <c r="A639" t="s">
        <v>447</v>
      </c>
      <c r="B639" t="s">
        <v>455</v>
      </c>
      <c r="D639" t="s">
        <v>76</v>
      </c>
      <c r="K639" t="s">
        <v>2902</v>
      </c>
    </row>
    <row r="640" spans="1:11">
      <c r="A640" t="s">
        <v>447</v>
      </c>
      <c r="B640" t="s">
        <v>456</v>
      </c>
      <c r="D640" t="s">
        <v>76</v>
      </c>
      <c r="K640" t="s">
        <v>2902</v>
      </c>
    </row>
    <row r="641" spans="1:11">
      <c r="A641" t="s">
        <v>447</v>
      </c>
      <c r="B641" t="s">
        <v>1749</v>
      </c>
      <c r="D641" t="s">
        <v>76</v>
      </c>
      <c r="K641" t="s">
        <v>2902</v>
      </c>
    </row>
    <row r="642" spans="1:11">
      <c r="A642" t="s">
        <v>447</v>
      </c>
      <c r="B642" t="s">
        <v>457</v>
      </c>
      <c r="D642" t="s">
        <v>76</v>
      </c>
      <c r="K642" t="s">
        <v>2902</v>
      </c>
    </row>
    <row r="643" spans="1:11">
      <c r="A643" t="s">
        <v>447</v>
      </c>
      <c r="B643" t="s">
        <v>458</v>
      </c>
      <c r="D643" t="s">
        <v>76</v>
      </c>
      <c r="K643" t="s">
        <v>2902</v>
      </c>
    </row>
    <row r="644" spans="1:11">
      <c r="A644" t="s">
        <v>447</v>
      </c>
      <c r="B644" t="s">
        <v>459</v>
      </c>
      <c r="D644" t="s">
        <v>76</v>
      </c>
      <c r="K644" t="s">
        <v>2902</v>
      </c>
    </row>
    <row r="645" spans="1:11">
      <c r="A645" t="s">
        <v>447</v>
      </c>
      <c r="B645" t="s">
        <v>460</v>
      </c>
      <c r="D645" t="s">
        <v>76</v>
      </c>
      <c r="K645" t="s">
        <v>2902</v>
      </c>
    </row>
    <row r="646" spans="1:11">
      <c r="A646" t="s">
        <v>447</v>
      </c>
      <c r="B646" t="s">
        <v>1750</v>
      </c>
      <c r="D646" t="s">
        <v>76</v>
      </c>
      <c r="K646" t="s">
        <v>2902</v>
      </c>
    </row>
    <row r="647" spans="1:11">
      <c r="A647" t="s">
        <v>447</v>
      </c>
      <c r="B647" t="s">
        <v>461</v>
      </c>
      <c r="D647" t="s">
        <v>76</v>
      </c>
      <c r="K647" t="s">
        <v>2902</v>
      </c>
    </row>
    <row r="648" spans="1:11">
      <c r="A648" t="s">
        <v>447</v>
      </c>
      <c r="B648" t="s">
        <v>462</v>
      </c>
      <c r="D648" t="s">
        <v>76</v>
      </c>
      <c r="K648" t="s">
        <v>2902</v>
      </c>
    </row>
    <row r="649" spans="1:11">
      <c r="A649" t="s">
        <v>447</v>
      </c>
      <c r="B649" t="s">
        <v>2418</v>
      </c>
      <c r="D649" t="s">
        <v>76</v>
      </c>
      <c r="K649" t="s">
        <v>2902</v>
      </c>
    </row>
    <row r="650" spans="1:11">
      <c r="A650" t="s">
        <v>447</v>
      </c>
      <c r="B650" t="s">
        <v>463</v>
      </c>
      <c r="D650" t="s">
        <v>76</v>
      </c>
      <c r="K650" t="s">
        <v>2902</v>
      </c>
    </row>
    <row r="651" spans="1:11">
      <c r="A651" t="s">
        <v>447</v>
      </c>
      <c r="B651" t="s">
        <v>1751</v>
      </c>
      <c r="D651" t="s">
        <v>76</v>
      </c>
      <c r="K651" t="s">
        <v>2902</v>
      </c>
    </row>
    <row r="652" spans="1:11">
      <c r="A652" t="s">
        <v>447</v>
      </c>
      <c r="B652" t="s">
        <v>2419</v>
      </c>
      <c r="D652" t="s">
        <v>76</v>
      </c>
      <c r="K652" t="s">
        <v>2902</v>
      </c>
    </row>
    <row r="653" spans="1:11">
      <c r="A653" t="s">
        <v>501</v>
      </c>
      <c r="B653" t="s">
        <v>1759</v>
      </c>
      <c r="D653" t="s">
        <v>76</v>
      </c>
      <c r="K653" t="s">
        <v>2902</v>
      </c>
    </row>
    <row r="654" spans="1:11">
      <c r="A654" t="s">
        <v>501</v>
      </c>
      <c r="B654" t="s">
        <v>513</v>
      </c>
      <c r="D654" t="s">
        <v>76</v>
      </c>
      <c r="K654" t="s">
        <v>2902</v>
      </c>
    </row>
    <row r="655" spans="1:11">
      <c r="A655" t="s">
        <v>944</v>
      </c>
      <c r="B655" t="s">
        <v>946</v>
      </c>
      <c r="D655" t="s">
        <v>76</v>
      </c>
      <c r="K655" t="s">
        <v>2902</v>
      </c>
    </row>
  </sheetData>
  <conditionalFormatting sqref="C13:C655">
    <cfRule type="duplicateValues" dxfId="5" priority="4"/>
  </conditionalFormatting>
  <dataValidations count="1">
    <dataValidation type="list" allowBlank="1" showInputMessage="1" showErrorMessage="1" sqref="N13:N655" xr:uid="{EED1B89D-9C1F-455B-8398-B4D2157C140A}">
      <formula1>$I$3:$I$12</formula1>
    </dataValidation>
  </dataValidations>
  <pageMargins left="0.7" right="0.7" top="0.75" bottom="0.75" header="0.3" footer="0.3"/>
  <pageSetup paperSize="9"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D8E6F-C976-4C16-9D2A-0258205F0C0C}">
  <dimension ref="B2:L22"/>
  <sheetViews>
    <sheetView workbookViewId="0">
      <selection activeCell="E33" sqref="E33"/>
    </sheetView>
  </sheetViews>
  <sheetFormatPr defaultRowHeight="14.65"/>
  <cols>
    <col min="2" max="2" width="28.140625" bestFit="1" customWidth="1"/>
    <col min="3" max="3" width="21.5703125" bestFit="1" customWidth="1"/>
    <col min="4" max="4" width="26.7109375" bestFit="1" customWidth="1"/>
    <col min="8" max="8" width="15.85546875" bestFit="1" customWidth="1"/>
    <col min="9" max="9" width="20.5703125" bestFit="1" customWidth="1"/>
    <col min="11" max="11" width="31.28515625" bestFit="1" customWidth="1"/>
    <col min="12" max="12" width="20.5703125" bestFit="1" customWidth="1"/>
  </cols>
  <sheetData>
    <row r="2" spans="2:12">
      <c r="B2" s="5" t="s">
        <v>1043</v>
      </c>
      <c r="C2" s="5" t="s">
        <v>3</v>
      </c>
      <c r="D2" t="s">
        <v>2962</v>
      </c>
      <c r="H2" s="5" t="s">
        <v>2963</v>
      </c>
      <c r="I2" t="s">
        <v>2964</v>
      </c>
      <c r="K2" s="5" t="s">
        <v>2963</v>
      </c>
      <c r="L2" t="s">
        <v>2964</v>
      </c>
    </row>
    <row r="3" spans="2:12">
      <c r="B3" t="s">
        <v>1045</v>
      </c>
      <c r="D3">
        <v>503</v>
      </c>
      <c r="H3" s="9" t="s">
        <v>16</v>
      </c>
      <c r="I3">
        <v>108</v>
      </c>
      <c r="K3" s="9" t="s">
        <v>19</v>
      </c>
      <c r="L3">
        <v>17</v>
      </c>
    </row>
    <row r="4" spans="2:12">
      <c r="B4" t="s">
        <v>22</v>
      </c>
      <c r="D4">
        <v>95</v>
      </c>
      <c r="H4" s="9" t="s">
        <v>21</v>
      </c>
      <c r="I4">
        <v>859</v>
      </c>
      <c r="K4" s="9" t="s">
        <v>72</v>
      </c>
      <c r="L4">
        <v>2</v>
      </c>
    </row>
    <row r="5" spans="2:12">
      <c r="B5" t="s">
        <v>2965</v>
      </c>
      <c r="D5">
        <v>598</v>
      </c>
      <c r="H5" s="9" t="s">
        <v>38</v>
      </c>
      <c r="I5">
        <v>88</v>
      </c>
      <c r="K5" s="9" t="s">
        <v>74</v>
      </c>
      <c r="L5">
        <v>55</v>
      </c>
    </row>
    <row r="6" spans="2:12">
      <c r="H6" s="9" t="s">
        <v>76</v>
      </c>
      <c r="I6">
        <v>28</v>
      </c>
      <c r="K6" s="9" t="s">
        <v>190</v>
      </c>
      <c r="L6">
        <v>21</v>
      </c>
    </row>
    <row r="7" spans="2:12">
      <c r="H7" s="9" t="s">
        <v>2965</v>
      </c>
      <c r="I7">
        <v>1083</v>
      </c>
      <c r="K7" s="9" t="s">
        <v>1720</v>
      </c>
      <c r="L7">
        <v>89</v>
      </c>
    </row>
    <row r="8" spans="2:12">
      <c r="K8" s="9" t="s">
        <v>1747</v>
      </c>
      <c r="L8">
        <v>22</v>
      </c>
    </row>
    <row r="9" spans="2:12">
      <c r="K9" s="9" t="s">
        <v>465</v>
      </c>
      <c r="L9">
        <v>41</v>
      </c>
    </row>
    <row r="10" spans="2:12">
      <c r="K10" s="9" t="s">
        <v>595</v>
      </c>
      <c r="L10">
        <v>16</v>
      </c>
    </row>
    <row r="11" spans="2:12">
      <c r="K11" s="9" t="s">
        <v>542</v>
      </c>
      <c r="L11">
        <v>30</v>
      </c>
    </row>
    <row r="12" spans="2:12">
      <c r="K12" s="9" t="s">
        <v>623</v>
      </c>
      <c r="L12">
        <v>52</v>
      </c>
    </row>
    <row r="13" spans="2:12">
      <c r="K13" s="9" t="s">
        <v>649</v>
      </c>
      <c r="L13">
        <v>71</v>
      </c>
    </row>
    <row r="14" spans="2:12">
      <c r="K14" s="9" t="s">
        <v>809</v>
      </c>
      <c r="L14">
        <v>9</v>
      </c>
    </row>
    <row r="15" spans="2:12">
      <c r="K15" s="9" t="s">
        <v>1199</v>
      </c>
      <c r="L15">
        <v>603</v>
      </c>
    </row>
    <row r="16" spans="2:12">
      <c r="K16" s="9" t="s">
        <v>890</v>
      </c>
      <c r="L16">
        <v>19</v>
      </c>
    </row>
    <row r="17" spans="11:12">
      <c r="K17" s="9" t="s">
        <v>14</v>
      </c>
      <c r="L17">
        <v>1</v>
      </c>
    </row>
    <row r="18" spans="11:12">
      <c r="K18" s="9" t="s">
        <v>944</v>
      </c>
      <c r="L18">
        <v>3</v>
      </c>
    </row>
    <row r="19" spans="11:12">
      <c r="K19" s="9" t="s">
        <v>950</v>
      </c>
      <c r="L19">
        <v>10</v>
      </c>
    </row>
    <row r="20" spans="11:12">
      <c r="K20" s="9" t="s">
        <v>1210</v>
      </c>
      <c r="L20">
        <v>12</v>
      </c>
    </row>
    <row r="21" spans="11:12">
      <c r="K21" s="9" t="s">
        <v>1023</v>
      </c>
      <c r="L21">
        <v>10</v>
      </c>
    </row>
    <row r="22" spans="11:12">
      <c r="K22" s="9" t="s">
        <v>2965</v>
      </c>
      <c r="L22">
        <v>1083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77"/>
  <sheetViews>
    <sheetView tabSelected="1" workbookViewId="0">
      <selection activeCell="I3" sqref="I3:I10"/>
    </sheetView>
  </sheetViews>
  <sheetFormatPr defaultRowHeight="14.65"/>
  <cols>
    <col min="2" max="2" width="64.42578125" bestFit="1" customWidth="1"/>
    <col min="3" max="3" width="21" bestFit="1" customWidth="1"/>
  </cols>
  <sheetData>
    <row r="2" spans="2:9">
      <c r="B2" s="5" t="s">
        <v>3</v>
      </c>
      <c r="C2" t="s">
        <v>2964</v>
      </c>
      <c r="H2" t="s">
        <v>2966</v>
      </c>
    </row>
    <row r="3" spans="2:9">
      <c r="B3" t="s">
        <v>19</v>
      </c>
      <c r="C3">
        <v>16</v>
      </c>
      <c r="D3" t="s">
        <v>2967</v>
      </c>
      <c r="E3" t="s">
        <v>2968</v>
      </c>
      <c r="H3" t="s">
        <v>22</v>
      </c>
      <c r="I3" t="s">
        <v>2969</v>
      </c>
    </row>
    <row r="4" spans="2:9">
      <c r="B4" t="s">
        <v>54</v>
      </c>
      <c r="C4">
        <v>12</v>
      </c>
      <c r="D4" t="s">
        <v>2970</v>
      </c>
      <c r="E4" t="s">
        <v>2971</v>
      </c>
      <c r="H4" t="s">
        <v>1045</v>
      </c>
      <c r="I4" t="s">
        <v>2972</v>
      </c>
    </row>
    <row r="5" spans="2:9">
      <c r="B5" t="s">
        <v>72</v>
      </c>
      <c r="C5">
        <v>2</v>
      </c>
      <c r="D5" t="s">
        <v>2973</v>
      </c>
      <c r="I5" t="s">
        <v>2974</v>
      </c>
    </row>
    <row r="6" spans="2:9">
      <c r="B6" t="s">
        <v>74</v>
      </c>
      <c r="C6">
        <v>1</v>
      </c>
      <c r="D6" t="s">
        <v>2975</v>
      </c>
    </row>
    <row r="7" spans="2:9">
      <c r="B7" t="s">
        <v>1061</v>
      </c>
      <c r="C7">
        <v>1</v>
      </c>
      <c r="D7" t="s">
        <v>2975</v>
      </c>
    </row>
    <row r="8" spans="2:9">
      <c r="B8" t="s">
        <v>1062</v>
      </c>
      <c r="C8">
        <v>9</v>
      </c>
      <c r="D8" t="s">
        <v>2975</v>
      </c>
    </row>
    <row r="9" spans="2:9">
      <c r="B9" t="s">
        <v>1063</v>
      </c>
      <c r="C9">
        <v>3</v>
      </c>
      <c r="D9" t="s">
        <v>2975</v>
      </c>
    </row>
    <row r="10" spans="2:9">
      <c r="B10" t="s">
        <v>1064</v>
      </c>
      <c r="C10">
        <v>9</v>
      </c>
      <c r="D10" t="s">
        <v>2975</v>
      </c>
    </row>
    <row r="11" spans="2:9">
      <c r="B11" t="s">
        <v>108</v>
      </c>
      <c r="C11">
        <v>3</v>
      </c>
      <c r="D11" t="s">
        <v>2975</v>
      </c>
    </row>
    <row r="12" spans="2:9">
      <c r="B12" t="s">
        <v>115</v>
      </c>
      <c r="C12">
        <v>3</v>
      </c>
      <c r="D12" t="s">
        <v>2975</v>
      </c>
    </row>
    <row r="13" spans="2:9">
      <c r="B13" t="s">
        <v>122</v>
      </c>
      <c r="C13">
        <v>3</v>
      </c>
      <c r="D13" t="s">
        <v>2975</v>
      </c>
    </row>
    <row r="14" spans="2:9">
      <c r="B14" t="s">
        <v>129</v>
      </c>
      <c r="C14">
        <v>5</v>
      </c>
      <c r="D14" t="s">
        <v>2975</v>
      </c>
    </row>
    <row r="15" spans="2:9">
      <c r="B15" t="s">
        <v>140</v>
      </c>
      <c r="C15">
        <v>4</v>
      </c>
      <c r="D15" t="s">
        <v>2975</v>
      </c>
    </row>
    <row r="16" spans="2:9">
      <c r="B16" t="s">
        <v>149</v>
      </c>
      <c r="C16">
        <v>6</v>
      </c>
      <c r="D16" t="s">
        <v>2975</v>
      </c>
    </row>
    <row r="17" spans="2:5">
      <c r="B17" t="s">
        <v>162</v>
      </c>
      <c r="C17">
        <v>5</v>
      </c>
      <c r="D17" t="s">
        <v>2975</v>
      </c>
    </row>
    <row r="18" spans="2:5">
      <c r="B18" t="s">
        <v>173</v>
      </c>
      <c r="C18">
        <v>8</v>
      </c>
      <c r="D18" t="s">
        <v>2975</v>
      </c>
    </row>
    <row r="19" spans="2:5">
      <c r="B19" t="s">
        <v>190</v>
      </c>
      <c r="C19">
        <v>35</v>
      </c>
      <c r="D19" t="s">
        <v>2967</v>
      </c>
      <c r="E19" t="s">
        <v>2971</v>
      </c>
    </row>
    <row r="20" spans="2:5">
      <c r="B20" t="s">
        <v>1136</v>
      </c>
      <c r="D20" t="s">
        <v>2970</v>
      </c>
      <c r="E20" t="s">
        <v>2976</v>
      </c>
    </row>
    <row r="21" spans="2:5">
      <c r="B21" t="s">
        <v>1097</v>
      </c>
      <c r="D21" t="s">
        <v>2970</v>
      </c>
      <c r="E21" t="s">
        <v>2976</v>
      </c>
    </row>
    <row r="22" spans="2:5">
      <c r="B22" t="s">
        <v>255</v>
      </c>
      <c r="C22">
        <v>17</v>
      </c>
      <c r="D22" t="s">
        <v>2970</v>
      </c>
      <c r="E22" t="s">
        <v>2976</v>
      </c>
    </row>
    <row r="23" spans="2:5">
      <c r="B23" t="s">
        <v>288</v>
      </c>
      <c r="C23">
        <v>2</v>
      </c>
      <c r="D23" t="s">
        <v>2970</v>
      </c>
      <c r="E23" t="s">
        <v>2976</v>
      </c>
    </row>
    <row r="24" spans="2:5">
      <c r="B24" t="s">
        <v>293</v>
      </c>
      <c r="C24">
        <v>7</v>
      </c>
      <c r="D24" t="s">
        <v>2970</v>
      </c>
      <c r="E24" t="s">
        <v>2976</v>
      </c>
    </row>
    <row r="25" spans="2:5">
      <c r="B25" t="s">
        <v>308</v>
      </c>
      <c r="C25">
        <v>2</v>
      </c>
      <c r="D25" t="s">
        <v>2970</v>
      </c>
      <c r="E25" t="s">
        <v>2976</v>
      </c>
    </row>
    <row r="26" spans="2:5">
      <c r="B26" t="s">
        <v>313</v>
      </c>
      <c r="C26">
        <v>4</v>
      </c>
      <c r="D26" t="s">
        <v>2970</v>
      </c>
      <c r="E26" t="s">
        <v>2976</v>
      </c>
    </row>
    <row r="27" spans="2:5">
      <c r="B27" t="s">
        <v>322</v>
      </c>
      <c r="C27">
        <v>1</v>
      </c>
      <c r="D27" t="s">
        <v>2970</v>
      </c>
      <c r="E27" t="s">
        <v>2976</v>
      </c>
    </row>
    <row r="28" spans="2:5">
      <c r="B28" t="s">
        <v>324</v>
      </c>
      <c r="C28">
        <v>8</v>
      </c>
      <c r="D28" t="s">
        <v>2970</v>
      </c>
      <c r="E28" t="s">
        <v>2976</v>
      </c>
    </row>
    <row r="29" spans="2:5">
      <c r="B29" t="s">
        <v>339</v>
      </c>
      <c r="C29">
        <v>5</v>
      </c>
      <c r="D29" t="s">
        <v>2970</v>
      </c>
      <c r="E29" t="s">
        <v>2976</v>
      </c>
    </row>
    <row r="30" spans="2:5">
      <c r="B30" t="s">
        <v>350</v>
      </c>
      <c r="C30">
        <v>19</v>
      </c>
      <c r="D30" t="s">
        <v>2970</v>
      </c>
      <c r="E30" t="s">
        <v>2976</v>
      </c>
    </row>
    <row r="31" spans="2:5">
      <c r="B31" t="s">
        <v>388</v>
      </c>
      <c r="C31">
        <v>17</v>
      </c>
      <c r="D31" t="s">
        <v>2970</v>
      </c>
      <c r="E31" t="s">
        <v>2976</v>
      </c>
    </row>
    <row r="32" spans="2:5">
      <c r="B32" t="s">
        <v>418</v>
      </c>
      <c r="C32">
        <v>2</v>
      </c>
      <c r="D32" t="s">
        <v>2970</v>
      </c>
      <c r="E32" t="s">
        <v>2976</v>
      </c>
    </row>
    <row r="33" spans="2:5">
      <c r="B33" t="s">
        <v>423</v>
      </c>
      <c r="C33">
        <v>1</v>
      </c>
      <c r="D33" t="s">
        <v>2970</v>
      </c>
      <c r="E33" t="s">
        <v>2976</v>
      </c>
    </row>
    <row r="34" spans="2:5">
      <c r="B34" t="s">
        <v>426</v>
      </c>
      <c r="C34">
        <v>6</v>
      </c>
      <c r="D34" t="s">
        <v>2977</v>
      </c>
    </row>
    <row r="35" spans="2:5">
      <c r="B35" t="s">
        <v>439</v>
      </c>
      <c r="C35">
        <v>4</v>
      </c>
      <c r="D35" t="s">
        <v>2967</v>
      </c>
      <c r="E35" t="s">
        <v>2976</v>
      </c>
    </row>
    <row r="36" spans="2:5">
      <c r="B36" t="s">
        <v>1108</v>
      </c>
      <c r="D36" t="s">
        <v>2967</v>
      </c>
      <c r="E36" t="s">
        <v>2978</v>
      </c>
    </row>
    <row r="37" spans="2:5">
      <c r="B37" t="s">
        <v>447</v>
      </c>
      <c r="C37">
        <v>14</v>
      </c>
      <c r="D37" t="s">
        <v>2967</v>
      </c>
      <c r="E37" t="s">
        <v>2978</v>
      </c>
    </row>
    <row r="38" spans="2:5">
      <c r="B38" t="s">
        <v>465</v>
      </c>
      <c r="C38">
        <v>5</v>
      </c>
      <c r="D38" t="s">
        <v>2967</v>
      </c>
      <c r="E38" t="s">
        <v>2978</v>
      </c>
    </row>
    <row r="39" spans="2:5">
      <c r="B39" t="s">
        <v>476</v>
      </c>
      <c r="C39">
        <v>16</v>
      </c>
      <c r="D39" t="s">
        <v>2979</v>
      </c>
      <c r="E39" t="s">
        <v>2976</v>
      </c>
    </row>
    <row r="40" spans="2:5">
      <c r="B40" t="s">
        <v>501</v>
      </c>
      <c r="C40">
        <v>19</v>
      </c>
      <c r="D40" t="s">
        <v>2980</v>
      </c>
      <c r="E40" t="s">
        <v>2978</v>
      </c>
    </row>
    <row r="41" spans="2:5">
      <c r="B41" t="s">
        <v>533</v>
      </c>
      <c r="C41">
        <v>4</v>
      </c>
      <c r="D41" t="s">
        <v>2980</v>
      </c>
      <c r="E41" t="s">
        <v>2978</v>
      </c>
    </row>
    <row r="42" spans="2:5">
      <c r="B42" t="s">
        <v>1141</v>
      </c>
      <c r="D42" t="s">
        <v>2980</v>
      </c>
      <c r="E42" t="s">
        <v>2978</v>
      </c>
    </row>
    <row r="43" spans="2:5">
      <c r="B43" t="s">
        <v>595</v>
      </c>
      <c r="C43">
        <v>16</v>
      </c>
      <c r="D43" t="s">
        <v>2980</v>
      </c>
      <c r="E43" t="s">
        <v>2978</v>
      </c>
    </row>
    <row r="44" spans="2:5">
      <c r="B44" t="s">
        <v>542</v>
      </c>
      <c r="C44">
        <v>1</v>
      </c>
      <c r="D44" t="s">
        <v>2981</v>
      </c>
      <c r="E44" t="s">
        <v>2976</v>
      </c>
    </row>
    <row r="45" spans="2:5">
      <c r="B45" t="s">
        <v>545</v>
      </c>
      <c r="C45">
        <v>9</v>
      </c>
      <c r="D45" t="s">
        <v>2967</v>
      </c>
      <c r="E45" t="s">
        <v>2968</v>
      </c>
    </row>
    <row r="46" spans="2:5">
      <c r="B46" t="s">
        <v>560</v>
      </c>
      <c r="C46">
        <v>16</v>
      </c>
      <c r="D46" t="s">
        <v>2967</v>
      </c>
      <c r="E46" t="s">
        <v>2968</v>
      </c>
    </row>
    <row r="47" spans="2:5">
      <c r="B47" t="s">
        <v>584</v>
      </c>
      <c r="C47">
        <v>8</v>
      </c>
      <c r="D47" t="s">
        <v>2967</v>
      </c>
      <c r="E47" t="s">
        <v>2968</v>
      </c>
    </row>
    <row r="48" spans="2:5">
      <c r="B48" t="s">
        <v>623</v>
      </c>
      <c r="C48">
        <v>15</v>
      </c>
      <c r="D48" t="s">
        <v>2967</v>
      </c>
      <c r="E48" t="s">
        <v>2968</v>
      </c>
    </row>
    <row r="49" spans="2:5">
      <c r="B49" t="s">
        <v>1163</v>
      </c>
      <c r="C49">
        <v>17</v>
      </c>
      <c r="D49" t="s">
        <v>2967</v>
      </c>
      <c r="E49" t="s">
        <v>2968</v>
      </c>
    </row>
    <row r="50" spans="2:5">
      <c r="B50" t="s">
        <v>649</v>
      </c>
      <c r="C50">
        <v>7</v>
      </c>
    </row>
    <row r="51" spans="2:5">
      <c r="B51" t="s">
        <v>663</v>
      </c>
      <c r="C51">
        <v>5</v>
      </c>
      <c r="D51" t="s">
        <v>2982</v>
      </c>
    </row>
    <row r="52" spans="2:5">
      <c r="B52" t="s">
        <v>674</v>
      </c>
      <c r="C52">
        <v>9</v>
      </c>
      <c r="D52" t="s">
        <v>2982</v>
      </c>
    </row>
    <row r="53" spans="2:5">
      <c r="B53" t="s">
        <v>693</v>
      </c>
      <c r="C53">
        <v>47</v>
      </c>
      <c r="D53" t="s">
        <v>2983</v>
      </c>
      <c r="E53" t="s">
        <v>2978</v>
      </c>
    </row>
    <row r="54" spans="2:5">
      <c r="B54" t="s">
        <v>786</v>
      </c>
      <c r="C54">
        <v>11</v>
      </c>
    </row>
    <row r="55" spans="2:5">
      <c r="B55" t="s">
        <v>1196</v>
      </c>
      <c r="C55">
        <v>1</v>
      </c>
    </row>
    <row r="56" spans="2:5">
      <c r="B56" t="s">
        <v>809</v>
      </c>
      <c r="C56">
        <v>9</v>
      </c>
      <c r="D56" t="s">
        <v>2973</v>
      </c>
    </row>
    <row r="57" spans="2:5">
      <c r="B57" t="s">
        <v>1199</v>
      </c>
      <c r="D57" t="s">
        <v>2973</v>
      </c>
    </row>
    <row r="58" spans="2:5">
      <c r="B58" t="s">
        <v>828</v>
      </c>
      <c r="C58">
        <v>29</v>
      </c>
      <c r="D58" t="s">
        <v>2973</v>
      </c>
    </row>
    <row r="59" spans="2:5">
      <c r="B59" t="s">
        <v>886</v>
      </c>
      <c r="C59">
        <v>30</v>
      </c>
      <c r="D59" t="s">
        <v>2973</v>
      </c>
    </row>
    <row r="60" spans="2:5">
      <c r="B60" t="s">
        <v>890</v>
      </c>
      <c r="C60">
        <v>2</v>
      </c>
      <c r="D60" t="s">
        <v>2973</v>
      </c>
    </row>
    <row r="61" spans="2:5">
      <c r="B61" t="s">
        <v>895</v>
      </c>
      <c r="C61">
        <v>1</v>
      </c>
      <c r="D61" t="s">
        <v>2973</v>
      </c>
    </row>
    <row r="62" spans="2:5">
      <c r="B62" t="s">
        <v>898</v>
      </c>
      <c r="C62">
        <v>14</v>
      </c>
      <c r="D62" t="s">
        <v>2973</v>
      </c>
    </row>
    <row r="63" spans="2:5">
      <c r="B63" t="s">
        <v>925</v>
      </c>
      <c r="C63">
        <v>5</v>
      </c>
      <c r="D63" t="s">
        <v>2984</v>
      </c>
      <c r="E63" t="s">
        <v>2978</v>
      </c>
    </row>
    <row r="64" spans="2:5">
      <c r="B64" t="s">
        <v>936</v>
      </c>
      <c r="C64">
        <v>5</v>
      </c>
      <c r="D64" t="s">
        <v>2985</v>
      </c>
      <c r="E64" t="s">
        <v>2968</v>
      </c>
    </row>
    <row r="65" spans="2:5">
      <c r="B65" t="s">
        <v>941</v>
      </c>
      <c r="C65">
        <v>1</v>
      </c>
      <c r="D65" t="s">
        <v>2986</v>
      </c>
      <c r="E65" t="s">
        <v>2971</v>
      </c>
    </row>
    <row r="66" spans="2:5">
      <c r="B66" t="s">
        <v>14</v>
      </c>
      <c r="C66">
        <v>1</v>
      </c>
      <c r="D66" t="s">
        <v>2986</v>
      </c>
      <c r="E66" t="s">
        <v>2971</v>
      </c>
    </row>
    <row r="67" spans="2:5">
      <c r="B67" t="s">
        <v>944</v>
      </c>
      <c r="C67">
        <v>4</v>
      </c>
      <c r="D67" t="s">
        <v>2986</v>
      </c>
      <c r="E67" t="s">
        <v>2971</v>
      </c>
    </row>
    <row r="68" spans="2:5">
      <c r="B68" t="s">
        <v>950</v>
      </c>
      <c r="C68">
        <v>12</v>
      </c>
      <c r="D68" t="s">
        <v>2986</v>
      </c>
      <c r="E68" t="s">
        <v>2971</v>
      </c>
    </row>
    <row r="69" spans="2:5">
      <c r="B69" t="s">
        <v>1210</v>
      </c>
      <c r="D69" t="s">
        <v>2986</v>
      </c>
      <c r="E69" t="s">
        <v>2971</v>
      </c>
    </row>
    <row r="70" spans="2:5">
      <c r="B70" t="s">
        <v>969</v>
      </c>
      <c r="C70">
        <v>3</v>
      </c>
      <c r="D70" t="s">
        <v>2986</v>
      </c>
      <c r="E70" t="s">
        <v>2971</v>
      </c>
    </row>
    <row r="71" spans="2:5">
      <c r="B71" t="s">
        <v>976</v>
      </c>
      <c r="C71">
        <v>2</v>
      </c>
    </row>
    <row r="72" spans="2:5">
      <c r="B72" t="s">
        <v>981</v>
      </c>
      <c r="C72">
        <v>2</v>
      </c>
    </row>
    <row r="73" spans="2:5">
      <c r="B73" t="s">
        <v>986</v>
      </c>
      <c r="C73">
        <v>2</v>
      </c>
    </row>
    <row r="74" spans="2:5">
      <c r="B74" t="s">
        <v>1212</v>
      </c>
      <c r="C74">
        <v>3</v>
      </c>
    </row>
    <row r="75" spans="2:5">
      <c r="B75" t="s">
        <v>1023</v>
      </c>
      <c r="C75">
        <v>11</v>
      </c>
    </row>
    <row r="76" spans="2:5">
      <c r="B76" t="s">
        <v>2987</v>
      </c>
    </row>
    <row r="77" spans="2:5">
      <c r="B77" t="s">
        <v>2965</v>
      </c>
      <c r="C77">
        <v>576</v>
      </c>
    </row>
  </sheetData>
  <sortState xmlns:xlrd2="http://schemas.microsoft.com/office/spreadsheetml/2017/richdata2" ref="C3:C18">
    <sortCondition ref="C3:C1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8f9bcb3-cccf-491b-b816-1d914e2c866a">
      <Terms xmlns="http://schemas.microsoft.com/office/infopath/2007/PartnerControls"/>
    </lcf76f155ced4ddcb4097134ff3c332f>
    <TaxCatchAll xmlns="e176ac5b-5652-40c8-951f-42a0c0cd51b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DA88CD1A93B148A1BDF5876D9070E7" ma:contentTypeVersion="15" ma:contentTypeDescription="Create a new document." ma:contentTypeScope="" ma:versionID="572b4080add6729ebcfce23fa6efb29c">
  <xsd:schema xmlns:xsd="http://www.w3.org/2001/XMLSchema" xmlns:xs="http://www.w3.org/2001/XMLSchema" xmlns:p="http://schemas.microsoft.com/office/2006/metadata/properties" xmlns:ns2="98f9bcb3-cccf-491b-b816-1d914e2c866a" xmlns:ns3="e176ac5b-5652-40c8-951f-42a0c0cd51b8" targetNamespace="http://schemas.microsoft.com/office/2006/metadata/properties" ma:root="true" ma:fieldsID="940915d58ede9e1adffba98a4b0d841f" ns2:_="" ns3:_="">
    <xsd:import namespace="98f9bcb3-cccf-491b-b816-1d914e2c866a"/>
    <xsd:import namespace="e176ac5b-5652-40c8-951f-42a0c0cd51b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f9bcb3-cccf-491b-b816-1d914e2c86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8f03ee4-0c36-4230-a835-ae45e77fcb25"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76ac5b-5652-40c8-951f-42a0c0cd51b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691eee-6488-45eb-9408-da365ccfbb17}" ma:internalName="TaxCatchAll" ma:showField="CatchAllData" ma:web="e176ac5b-5652-40c8-951f-42a0c0cd51b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892DA4-7C15-49A0-A3B3-2D82879A3214}"/>
</file>

<file path=customXml/itemProps2.xml><?xml version="1.0" encoding="utf-8"?>
<ds:datastoreItem xmlns:ds="http://schemas.openxmlformats.org/officeDocument/2006/customXml" ds:itemID="{4D07CCE4-029F-492A-AD92-1FB75D2F99A4}"/>
</file>

<file path=customXml/itemProps3.xml><?xml version="1.0" encoding="utf-8"?>
<ds:datastoreItem xmlns:ds="http://schemas.openxmlformats.org/officeDocument/2006/customXml" ds:itemID="{736D64AD-022B-4AC2-930F-E42C5AB028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HENNINGSEN Philipp Alexander</dc:creator>
  <cp:keywords/>
  <dc:description/>
  <cp:lastModifiedBy/>
  <cp:revision/>
  <dcterms:created xsi:type="dcterms:W3CDTF">2025-10-15T09:02:32Z</dcterms:created>
  <dcterms:modified xsi:type="dcterms:W3CDTF">2026-09-08T19:35:03Z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0x0101002CDA88CD1A93B148A1BDF5876D9070E7</vt:lpwstr>
  </property>
  <property fmtid="{D5CDD505-2E9C-101B-9397-08002B2CF9AE}" pid="3" name="MediaServiceImageTags">
    <vt:lpwstr/>
  </property>
</Properties>
</file>